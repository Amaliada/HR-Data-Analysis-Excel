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6.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ctrlProps/ctrlProp1.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40773\Desktop\"/>
    </mc:Choice>
  </mc:AlternateContent>
  <xr:revisionPtr revIDLastSave="0" documentId="8_{60892504-FD80-480D-8AE6-85447FB34900}" xr6:coauthVersionLast="47" xr6:coauthVersionMax="47" xr10:uidLastSave="{00000000-0000-0000-0000-000000000000}"/>
  <bookViews>
    <workbookView xWindow="420" yWindow="2304" windowWidth="22620" windowHeight="10428" activeTab="2" xr2:uid="{00000000-000D-0000-FFFF-FFFF00000000}"/>
  </bookViews>
  <sheets>
    <sheet name="README" sheetId="2" r:id="rId1"/>
    <sheet name="messy_HR_data" sheetId="1" r:id="rId2"/>
    <sheet name="Data_cleaning" sheetId="4" r:id="rId3"/>
    <sheet name="Conversion_Table_age" sheetId="3" r:id="rId4"/>
    <sheet name="Data_Quality_Check" sheetId="5" r:id="rId5"/>
    <sheet name="Data_Transformations" sheetId="6" r:id="rId6"/>
    <sheet name="Lookup_Functions" sheetId="7" r:id="rId7"/>
    <sheet name="Pivot_Analysis" sheetId="8" r:id="rId8"/>
    <sheet name="Dashboard" sheetId="9" r:id="rId9"/>
    <sheet name="What_If_Analysis" sheetId="10" r:id="rId10"/>
    <sheet name="Scenario Summary" sheetId="12" r:id="rId11"/>
  </sheets>
  <definedNames>
    <definedName name="Slicer_Department">#N/A</definedName>
    <definedName name="Slicer_Department1">#N/A</definedName>
    <definedName name="Slicer_Gender">#N/A</definedName>
    <definedName name="Slicer_Gender1">#N/A</definedName>
  </definedNames>
  <calcPr calcId="191029"/>
  <pivotCaches>
    <pivotCache cacheId="12"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21" i="10" l="1"/>
  <c r="D14" i="10"/>
  <c r="D15" i="10"/>
  <c r="D16" i="10"/>
  <c r="D17" i="10"/>
  <c r="D13" i="10"/>
  <c r="Y5" i="9"/>
  <c r="O2" i="6" a="1"/>
  <c r="O2" i="6" s="1"/>
  <c r="Y6" i="9" s="1"/>
  <c r="O3" i="6" a="1"/>
  <c r="O3" i="6" s="1"/>
  <c r="O4" i="6" a="1"/>
  <c r="O4" i="6" s="1"/>
  <c r="O5" i="6" a="1"/>
  <c r="O5" i="6" s="1"/>
  <c r="O6" i="6" a="1"/>
  <c r="O6" i="6" s="1"/>
  <c r="O7" i="6" a="1"/>
  <c r="O7" i="6" s="1"/>
  <c r="O8" i="6" a="1"/>
  <c r="O8" i="6" s="1"/>
  <c r="O9" i="6" a="1"/>
  <c r="O9" i="6" s="1"/>
  <c r="O10" i="6" a="1"/>
  <c r="O10" i="6" s="1"/>
  <c r="O11" i="6" a="1"/>
  <c r="O11" i="6" s="1"/>
  <c r="O12" i="6" a="1"/>
  <c r="O12" i="6" s="1"/>
  <c r="O13" i="6" a="1"/>
  <c r="O13" i="6" s="1"/>
  <c r="O14" i="6" a="1"/>
  <c r="O14" i="6" s="1"/>
  <c r="O15" i="6" a="1"/>
  <c r="O15" i="6" s="1"/>
  <c r="O16" i="6" a="1"/>
  <c r="O16" i="6" s="1"/>
  <c r="O17" i="6" a="1"/>
  <c r="O17" i="6" s="1"/>
  <c r="O18" i="6" a="1"/>
  <c r="O18" i="6"/>
  <c r="O19" i="6" a="1"/>
  <c r="O19" i="6" s="1"/>
  <c r="O20" i="6" a="1"/>
  <c r="O20" i="6" s="1"/>
  <c r="O21" i="6" a="1"/>
  <c r="O21" i="6" s="1"/>
  <c r="O22" i="6" a="1"/>
  <c r="O22" i="6" s="1"/>
  <c r="O23" i="6" a="1"/>
  <c r="O23" i="6" s="1"/>
  <c r="O24" i="6" a="1"/>
  <c r="O24" i="6" s="1"/>
  <c r="O25" i="6" a="1"/>
  <c r="O25" i="6" s="1"/>
  <c r="O26" i="6" a="1"/>
  <c r="O26" i="6" s="1"/>
  <c r="O27" i="6" a="1"/>
  <c r="O27" i="6" s="1"/>
  <c r="O28" i="6" a="1"/>
  <c r="O28" i="6" s="1"/>
  <c r="O29" i="6" a="1"/>
  <c r="O29" i="6" s="1"/>
  <c r="O30" i="6" a="1"/>
  <c r="O30" i="6" s="1"/>
  <c r="O31" i="6" a="1"/>
  <c r="O31" i="6" s="1"/>
  <c r="O32" i="6" a="1"/>
  <c r="O32" i="6" s="1"/>
  <c r="O33" i="6" a="1"/>
  <c r="O33" i="6" s="1"/>
  <c r="O34" i="6" a="1"/>
  <c r="O34" i="6" s="1"/>
  <c r="O35" i="6" a="1"/>
  <c r="O35" i="6" s="1"/>
  <c r="O36" i="6" a="1"/>
  <c r="O36" i="6" s="1"/>
  <c r="O37" i="6" a="1"/>
  <c r="O37" i="6" s="1"/>
  <c r="O38" i="6" a="1"/>
  <c r="O38" i="6" s="1"/>
  <c r="O39" i="6" a="1"/>
  <c r="O39" i="6" s="1"/>
  <c r="O40" i="6" a="1"/>
  <c r="O40" i="6" s="1"/>
  <c r="O41" i="6" a="1"/>
  <c r="O41" i="6" s="1"/>
  <c r="O42" i="6" a="1"/>
  <c r="O42" i="6" s="1"/>
  <c r="O43" i="6" a="1"/>
  <c r="O43" i="6" s="1"/>
  <c r="O44" i="6" a="1"/>
  <c r="O44" i="6" s="1"/>
  <c r="O45" i="6" a="1"/>
  <c r="O45" i="6" s="1"/>
  <c r="O46" i="6" a="1"/>
  <c r="O46" i="6" s="1"/>
  <c r="O47" i="6" a="1"/>
  <c r="O47" i="6"/>
  <c r="O48" i="6" a="1"/>
  <c r="O48" i="6" s="1"/>
  <c r="O49" i="6" a="1"/>
  <c r="O49" i="6" s="1"/>
  <c r="O50" i="6" a="1"/>
  <c r="O50" i="6" s="1"/>
  <c r="O51" i="6" a="1"/>
  <c r="O51" i="6" s="1"/>
  <c r="O52" i="6" a="1"/>
  <c r="O52" i="6" s="1"/>
  <c r="O53" i="6" a="1"/>
  <c r="O53" i="6" s="1"/>
  <c r="O54" i="6" a="1"/>
  <c r="O54" i="6" s="1"/>
  <c r="O55" i="6" a="1"/>
  <c r="O55" i="6" s="1"/>
  <c r="O56" i="6" a="1"/>
  <c r="O56" i="6" s="1"/>
  <c r="O57" i="6" a="1"/>
  <c r="O57" i="6"/>
  <c r="O58" i="6" a="1"/>
  <c r="O58" i="6" s="1"/>
  <c r="O59" i="6" a="1"/>
  <c r="O59" i="6"/>
  <c r="O60" i="6" a="1"/>
  <c r="O60" i="6" s="1"/>
  <c r="O61" i="6" a="1"/>
  <c r="O61" i="6" s="1"/>
  <c r="O62" i="6" a="1"/>
  <c r="O62" i="6" s="1"/>
  <c r="O63" i="6" a="1"/>
  <c r="O63" i="6" s="1"/>
  <c r="O64" i="6" a="1"/>
  <c r="O64" i="6" s="1"/>
  <c r="O65" i="6" a="1"/>
  <c r="O65" i="6"/>
  <c r="O66" i="6" a="1"/>
  <c r="O66" i="6" s="1"/>
  <c r="O67" i="6" a="1"/>
  <c r="O67" i="6" s="1"/>
  <c r="O68" i="6" a="1"/>
  <c r="O68" i="6" s="1"/>
  <c r="O69" i="6" a="1"/>
  <c r="O69" i="6" s="1"/>
  <c r="O70" i="6" a="1"/>
  <c r="O70" i="6" s="1"/>
  <c r="O71" i="6" a="1"/>
  <c r="O71" i="6" s="1"/>
  <c r="O72" i="6" a="1"/>
  <c r="O72" i="6" s="1"/>
  <c r="O73" i="6" a="1"/>
  <c r="O73" i="6" s="1"/>
  <c r="O74" i="6" a="1"/>
  <c r="O74" i="6"/>
  <c r="O75" i="6" a="1"/>
  <c r="O75" i="6" s="1"/>
  <c r="O76" i="6" a="1"/>
  <c r="O76" i="6" s="1"/>
  <c r="O77" i="6" a="1"/>
  <c r="O77" i="6" s="1"/>
  <c r="O78" i="6" a="1"/>
  <c r="O78" i="6" s="1"/>
  <c r="O79" i="6" a="1"/>
  <c r="O79" i="6" s="1"/>
  <c r="O80" i="6" a="1"/>
  <c r="O80" i="6" s="1"/>
  <c r="O81" i="6" a="1"/>
  <c r="O81" i="6" s="1"/>
  <c r="O82" i="6" a="1"/>
  <c r="O82" i="6"/>
  <c r="O83" i="6" a="1"/>
  <c r="O83" i="6" s="1"/>
  <c r="O84" i="6" a="1"/>
  <c r="O84" i="6" s="1"/>
  <c r="O85" i="6" a="1"/>
  <c r="O85" i="6" s="1"/>
  <c r="O86" i="6" a="1"/>
  <c r="O86" i="6" s="1"/>
  <c r="O87" i="6" a="1"/>
  <c r="O87" i="6" s="1"/>
  <c r="O88" i="6" a="1"/>
  <c r="O88" i="6" s="1"/>
  <c r="O89" i="6" a="1"/>
  <c r="O89" i="6"/>
  <c r="O90" i="6" a="1"/>
  <c r="O90" i="6" s="1"/>
  <c r="O91" i="6" a="1"/>
  <c r="O91" i="6" s="1"/>
  <c r="O92" i="6" a="1"/>
  <c r="O92" i="6" s="1"/>
  <c r="O93" i="6" a="1"/>
  <c r="O93" i="6" s="1"/>
  <c r="O94" i="6" a="1"/>
  <c r="O94" i="6" s="1"/>
  <c r="O95" i="6" a="1"/>
  <c r="O95" i="6" s="1"/>
  <c r="O96" i="6" a="1"/>
  <c r="O96" i="6" s="1"/>
  <c r="O97" i="6" a="1"/>
  <c r="O97" i="6" s="1"/>
  <c r="O98" i="6" a="1"/>
  <c r="O98" i="6" s="1"/>
  <c r="O99" i="6" a="1"/>
  <c r="O99" i="6" s="1"/>
  <c r="O100" i="6" a="1"/>
  <c r="O100" i="6" s="1"/>
  <c r="O101" i="6" a="1"/>
  <c r="O101" i="6" s="1"/>
  <c r="O102" i="6" a="1"/>
  <c r="O102" i="6" s="1"/>
  <c r="O103" i="6" a="1"/>
  <c r="O103" i="6" s="1"/>
  <c r="O104" i="6" a="1"/>
  <c r="O104" i="6" s="1"/>
  <c r="O105" i="6" a="1"/>
  <c r="O105" i="6" s="1"/>
  <c r="O106" i="6" a="1"/>
  <c r="O106" i="6" s="1"/>
  <c r="O107" i="6" a="1"/>
  <c r="O107" i="6" s="1"/>
  <c r="O108" i="6" a="1"/>
  <c r="O108" i="6" s="1"/>
  <c r="O109" i="6" a="1"/>
  <c r="O109" i="6" s="1"/>
  <c r="O110" i="6" a="1"/>
  <c r="O110" i="6" s="1"/>
  <c r="O111" i="6" a="1"/>
  <c r="O111" i="6"/>
  <c r="O112" i="6" a="1"/>
  <c r="O112" i="6" s="1"/>
  <c r="O113" i="6" a="1"/>
  <c r="O113" i="6" s="1"/>
  <c r="O114" i="6" a="1"/>
  <c r="O114" i="6"/>
  <c r="O115" i="6" a="1"/>
  <c r="O115" i="6" s="1"/>
  <c r="O116" i="6" a="1"/>
  <c r="O116" i="6" s="1"/>
  <c r="O117" i="6" a="1"/>
  <c r="O117" i="6" s="1"/>
  <c r="O118" i="6" a="1"/>
  <c r="O118" i="6" s="1"/>
  <c r="O119" i="6" a="1"/>
  <c r="O119" i="6" s="1"/>
  <c r="O120" i="6" a="1"/>
  <c r="O120" i="6" s="1"/>
  <c r="O121" i="6" a="1"/>
  <c r="O121" i="6" s="1"/>
  <c r="O122" i="6" a="1"/>
  <c r="O122" i="6" s="1"/>
  <c r="O123" i="6" a="1"/>
  <c r="O123" i="6" s="1"/>
  <c r="O124" i="6" a="1"/>
  <c r="O124" i="6" s="1"/>
  <c r="O125" i="6" a="1"/>
  <c r="O125" i="6" s="1"/>
  <c r="O126" i="6" a="1"/>
  <c r="O126" i="6" s="1"/>
  <c r="O127" i="6" a="1"/>
  <c r="O127" i="6" s="1"/>
  <c r="O128" i="6" a="1"/>
  <c r="O128" i="6" s="1"/>
  <c r="O129" i="6" a="1"/>
  <c r="O129" i="6" s="1"/>
  <c r="O130" i="6" a="1"/>
  <c r="O130" i="6" s="1"/>
  <c r="O131" i="6" a="1"/>
  <c r="O131" i="6" s="1"/>
  <c r="O132" i="6" a="1"/>
  <c r="O132" i="6" s="1"/>
  <c r="O133" i="6" a="1"/>
  <c r="O133" i="6" s="1"/>
  <c r="O134" i="6" a="1"/>
  <c r="O134" i="6"/>
  <c r="O135" i="6" a="1"/>
  <c r="O135" i="6" s="1"/>
  <c r="O136" i="6" a="1"/>
  <c r="O136" i="6" s="1"/>
  <c r="O137" i="6" a="1"/>
  <c r="O137" i="6" s="1"/>
  <c r="O138" i="6" a="1"/>
  <c r="O138" i="6" s="1"/>
  <c r="O139" i="6" a="1"/>
  <c r="O139" i="6"/>
  <c r="O140" i="6" a="1"/>
  <c r="O140" i="6" s="1"/>
  <c r="O141" i="6" a="1"/>
  <c r="O141" i="6" s="1"/>
  <c r="O142" i="6" a="1"/>
  <c r="O142" i="6" s="1"/>
  <c r="O143" i="6" a="1"/>
  <c r="O143" i="6"/>
  <c r="O144" i="6" a="1"/>
  <c r="O144" i="6" s="1"/>
  <c r="O145" i="6" a="1"/>
  <c r="O145" i="6"/>
  <c r="O146" i="6" a="1"/>
  <c r="O146" i="6" s="1"/>
  <c r="O147" i="6" a="1"/>
  <c r="O147" i="6" s="1"/>
  <c r="O148" i="6" a="1"/>
  <c r="O148" i="6" s="1"/>
  <c r="O149" i="6" a="1"/>
  <c r="O149" i="6" s="1"/>
  <c r="O150" i="6" a="1"/>
  <c r="O150" i="6" s="1"/>
  <c r="O151" i="6" a="1"/>
  <c r="O151" i="6" s="1"/>
  <c r="O152" i="6" a="1"/>
  <c r="O152" i="6" s="1"/>
  <c r="O153" i="6" a="1"/>
  <c r="O153" i="6" s="1"/>
  <c r="O154" i="6" a="1"/>
  <c r="O154" i="6"/>
  <c r="O155" i="6" a="1"/>
  <c r="O155" i="6" s="1"/>
  <c r="O156" i="6" a="1"/>
  <c r="O156" i="6" s="1"/>
  <c r="O157" i="6" a="1"/>
  <c r="O157" i="6" s="1"/>
  <c r="O158" i="6" a="1"/>
  <c r="O158" i="6" s="1"/>
  <c r="O159" i="6" a="1"/>
  <c r="O159" i="6" s="1"/>
  <c r="O160" i="6" a="1"/>
  <c r="O160" i="6" s="1"/>
  <c r="O161" i="6" a="1"/>
  <c r="O161" i="6" s="1"/>
  <c r="O162" i="6" a="1"/>
  <c r="O162" i="6"/>
  <c r="O163" i="6" a="1"/>
  <c r="O163" i="6" s="1"/>
  <c r="O164" i="6" a="1"/>
  <c r="O164" i="6" s="1"/>
  <c r="O165" i="6" a="1"/>
  <c r="O165" i="6" s="1"/>
  <c r="O166" i="6" a="1"/>
  <c r="O166" i="6" s="1"/>
  <c r="O167" i="6" a="1"/>
  <c r="O167" i="6" s="1"/>
  <c r="O168" i="6" a="1"/>
  <c r="O168" i="6" s="1"/>
  <c r="O169" i="6" a="1"/>
  <c r="O169" i="6" s="1"/>
  <c r="O170" i="6" a="1"/>
  <c r="O170" i="6" s="1"/>
  <c r="O171" i="6" a="1"/>
  <c r="O171" i="6" s="1"/>
  <c r="O172" i="6" a="1"/>
  <c r="O172" i="6" s="1"/>
  <c r="O173" i="6" a="1"/>
  <c r="O173" i="6" s="1"/>
  <c r="O174" i="6" a="1"/>
  <c r="O174" i="6" s="1"/>
  <c r="O175" i="6" a="1"/>
  <c r="O175" i="6" s="1"/>
  <c r="O176" i="6" a="1"/>
  <c r="O176" i="6" s="1"/>
  <c r="O177" i="6" a="1"/>
  <c r="O177" i="6" s="1"/>
  <c r="O178" i="6" a="1"/>
  <c r="O178" i="6"/>
  <c r="O179" i="6" a="1"/>
  <c r="O179" i="6" s="1"/>
  <c r="O180" i="6" a="1"/>
  <c r="O180" i="6" s="1"/>
  <c r="O181" i="6" a="1"/>
  <c r="O181" i="6" s="1"/>
  <c r="O182" i="6" a="1"/>
  <c r="O182" i="6" s="1"/>
  <c r="O183" i="6" a="1"/>
  <c r="O183" i="6" s="1"/>
  <c r="O184" i="6" a="1"/>
  <c r="O184" i="6" s="1"/>
  <c r="O185" i="6" a="1"/>
  <c r="O185" i="6"/>
  <c r="O186" i="6" a="1"/>
  <c r="O186" i="6" s="1"/>
  <c r="O187" i="6" a="1"/>
  <c r="O187" i="6"/>
  <c r="O188" i="6" a="1"/>
  <c r="O188" i="6" s="1"/>
  <c r="O189" i="6" a="1"/>
  <c r="O189" i="6"/>
  <c r="O190" i="6" a="1"/>
  <c r="O190" i="6" s="1"/>
  <c r="O191" i="6" a="1"/>
  <c r="O191" i="6" s="1"/>
  <c r="O192" i="6" a="1"/>
  <c r="O192" i="6" s="1"/>
  <c r="O193" i="6" a="1"/>
  <c r="O193" i="6"/>
  <c r="O194" i="6" a="1"/>
  <c r="O194" i="6" s="1"/>
  <c r="O195" i="6" a="1"/>
  <c r="O195" i="6" s="1"/>
  <c r="O196" i="6" a="1"/>
  <c r="O196" i="6" s="1"/>
  <c r="O197" i="6" a="1"/>
  <c r="O197" i="6" s="1"/>
  <c r="O198" i="6" a="1"/>
  <c r="O198" i="6" s="1"/>
  <c r="O199" i="6" a="1"/>
  <c r="O199" i="6" s="1"/>
  <c r="O200" i="6" a="1"/>
  <c r="O200" i="6" s="1"/>
  <c r="O201" i="6" a="1"/>
  <c r="O201" i="6"/>
  <c r="O202" i="6" a="1"/>
  <c r="O202" i="6" s="1"/>
  <c r="O203" i="6" a="1"/>
  <c r="O203" i="6" s="1"/>
  <c r="O204" i="6" a="1"/>
  <c r="O204" i="6" s="1"/>
  <c r="O205" i="6" a="1"/>
  <c r="O205" i="6" s="1"/>
  <c r="O206" i="6" a="1"/>
  <c r="O206" i="6" s="1"/>
  <c r="O207" i="6" a="1"/>
  <c r="O207" i="6"/>
  <c r="O208" i="6" a="1"/>
  <c r="O208" i="6" s="1"/>
  <c r="O209" i="6" a="1"/>
  <c r="O209" i="6" s="1"/>
  <c r="O210" i="6" a="1"/>
  <c r="O210" i="6" s="1"/>
  <c r="O211" i="6" a="1"/>
  <c r="O211" i="6"/>
  <c r="O212" i="6" a="1"/>
  <c r="O212" i="6" s="1"/>
  <c r="O213" i="6" a="1"/>
  <c r="O213" i="6" s="1"/>
  <c r="O214" i="6" a="1"/>
  <c r="O214" i="6" s="1"/>
  <c r="O215" i="6" a="1"/>
  <c r="O215" i="6" s="1"/>
  <c r="O216" i="6" a="1"/>
  <c r="O216" i="6" s="1"/>
  <c r="O217" i="6" a="1"/>
  <c r="O217" i="6" s="1"/>
  <c r="O218" i="6" a="1"/>
  <c r="O218" i="6"/>
  <c r="O219" i="6" a="1"/>
  <c r="O219" i="6" s="1"/>
  <c r="O220" i="6" a="1"/>
  <c r="O220" i="6" s="1"/>
  <c r="O221" i="6" a="1"/>
  <c r="O221" i="6" s="1"/>
  <c r="O222" i="6" a="1"/>
  <c r="O222" i="6" s="1"/>
  <c r="O223" i="6" a="1"/>
  <c r="O223" i="6" s="1"/>
  <c r="O224" i="6" a="1"/>
  <c r="O224" i="6" s="1"/>
  <c r="O225" i="6" a="1"/>
  <c r="O225" i="6" s="1"/>
  <c r="O226" i="6" a="1"/>
  <c r="O226" i="6"/>
  <c r="O227" i="6" a="1"/>
  <c r="O227" i="6" s="1"/>
  <c r="O228" i="6" a="1"/>
  <c r="O228" i="6" s="1"/>
  <c r="O229" i="6" a="1"/>
  <c r="O229" i="6" s="1"/>
  <c r="O230" i="6" a="1"/>
  <c r="O230" i="6" s="1"/>
  <c r="O231" i="6" a="1"/>
  <c r="O231" i="6" s="1"/>
  <c r="O232" i="6" a="1"/>
  <c r="O232" i="6" s="1"/>
  <c r="O233" i="6" a="1"/>
  <c r="O233" i="6" s="1"/>
  <c r="O234" i="6" a="1"/>
  <c r="O234" i="6"/>
  <c r="O235" i="6" a="1"/>
  <c r="O235" i="6" s="1"/>
  <c r="O236" i="6" a="1"/>
  <c r="O236" i="6" s="1"/>
  <c r="O237" i="6" a="1"/>
  <c r="O237" i="6" s="1"/>
  <c r="O238" i="6" a="1"/>
  <c r="O238" i="6" s="1"/>
  <c r="O239" i="6" a="1"/>
  <c r="O239" i="6" s="1"/>
  <c r="O240" i="6" a="1"/>
  <c r="O240" i="6" s="1"/>
  <c r="O241" i="6" a="1"/>
  <c r="O241" i="6" s="1"/>
  <c r="O242" i="6" a="1"/>
  <c r="O242" i="6" s="1"/>
  <c r="O243" i="6" a="1"/>
  <c r="O243" i="6" s="1"/>
  <c r="O244" i="6" a="1"/>
  <c r="O244" i="6" s="1"/>
  <c r="O245" i="6" a="1"/>
  <c r="O245" i="6" s="1"/>
  <c r="O246" i="6" a="1"/>
  <c r="O246" i="6" s="1"/>
  <c r="O247" i="6" a="1"/>
  <c r="O247" i="6" s="1"/>
  <c r="O248" i="6" a="1"/>
  <c r="O248" i="6" s="1"/>
  <c r="O249" i="6" a="1"/>
  <c r="O249" i="6"/>
  <c r="O250" i="6" a="1"/>
  <c r="O250" i="6" s="1"/>
  <c r="O251" i="6" a="1"/>
  <c r="O251" i="6"/>
  <c r="O252" i="6" a="1"/>
  <c r="O252" i="6" s="1"/>
  <c r="O253" i="6" a="1"/>
  <c r="O253" i="6" s="1"/>
  <c r="O254" i="6" a="1"/>
  <c r="O254" i="6" s="1"/>
  <c r="O255" i="6" a="1"/>
  <c r="O255" i="6" s="1"/>
  <c r="O256" i="6" a="1"/>
  <c r="O256" i="6" s="1"/>
  <c r="O257" i="6" a="1"/>
  <c r="O257" i="6" s="1"/>
  <c r="O258" i="6" a="1"/>
  <c r="O258" i="6" s="1"/>
  <c r="O259" i="6" a="1"/>
  <c r="O259" i="6" s="1"/>
  <c r="O260" i="6" a="1"/>
  <c r="O260" i="6" s="1"/>
  <c r="O261" i="6" a="1"/>
  <c r="O261" i="6" s="1"/>
  <c r="O262" i="6" a="1"/>
  <c r="O262" i="6"/>
  <c r="O263" i="6" a="1"/>
  <c r="O263" i="6" s="1"/>
  <c r="O264" i="6" a="1"/>
  <c r="O264" i="6" s="1"/>
  <c r="O265" i="6" a="1"/>
  <c r="O265" i="6" s="1"/>
  <c r="O266" i="6" a="1"/>
  <c r="O266" i="6" s="1"/>
  <c r="O267" i="6" a="1"/>
  <c r="O267" i="6"/>
  <c r="O268" i="6" a="1"/>
  <c r="O268" i="6" s="1"/>
  <c r="O269" i="6" a="1"/>
  <c r="O269" i="6" s="1"/>
  <c r="O270" i="6" a="1"/>
  <c r="O270" i="6" s="1"/>
  <c r="O271" i="6" a="1"/>
  <c r="O271" i="6" s="1"/>
  <c r="O272" i="6" a="1"/>
  <c r="O272" i="6" s="1"/>
  <c r="O273" i="6" a="1"/>
  <c r="O273" i="6" s="1"/>
  <c r="O274" i="6" a="1"/>
  <c r="O274" i="6"/>
  <c r="O275" i="6" a="1"/>
  <c r="O275" i="6" s="1"/>
  <c r="O276" i="6" a="1"/>
  <c r="O276" i="6" s="1"/>
  <c r="O277" i="6" a="1"/>
  <c r="O277" i="6" s="1"/>
  <c r="O278" i="6" a="1"/>
  <c r="O278" i="6" s="1"/>
  <c r="O279" i="6" a="1"/>
  <c r="O279" i="6" s="1"/>
  <c r="O280" i="6" a="1"/>
  <c r="O280" i="6" s="1"/>
  <c r="O281" i="6" a="1"/>
  <c r="O281" i="6" s="1"/>
  <c r="O282" i="6" a="1"/>
  <c r="O282" i="6" s="1"/>
  <c r="O283" i="6" a="1"/>
  <c r="O283" i="6" s="1"/>
  <c r="O284" i="6" a="1"/>
  <c r="O284" i="6" s="1"/>
  <c r="O285" i="6" a="1"/>
  <c r="O285" i="6" s="1"/>
  <c r="O286" i="6" a="1"/>
  <c r="O286" i="6" s="1"/>
  <c r="O287" i="6" a="1"/>
  <c r="O287" i="6" s="1"/>
  <c r="O288" i="6" a="1"/>
  <c r="O288" i="6" s="1"/>
  <c r="O289" i="6" a="1"/>
  <c r="O289" i="6"/>
  <c r="O290" i="6" a="1"/>
  <c r="O290" i="6" s="1"/>
  <c r="O291" i="6" a="1"/>
  <c r="O291" i="6" s="1"/>
  <c r="O292" i="6" a="1"/>
  <c r="O292" i="6" s="1"/>
  <c r="O293" i="6" a="1"/>
  <c r="O293" i="6" s="1"/>
  <c r="O294" i="6" a="1"/>
  <c r="O294" i="6" s="1"/>
  <c r="O295" i="6" a="1"/>
  <c r="O295" i="6" s="1"/>
  <c r="O296" i="6" a="1"/>
  <c r="O296" i="6" s="1"/>
  <c r="O297" i="6" a="1"/>
  <c r="O297" i="6" s="1"/>
  <c r="O298" i="6" a="1"/>
  <c r="O298" i="6"/>
  <c r="O299" i="6" a="1"/>
  <c r="O299" i="6" s="1"/>
  <c r="O300" i="6" a="1"/>
  <c r="O300" i="6" s="1"/>
  <c r="O301" i="6" a="1"/>
  <c r="O301" i="6" s="1"/>
  <c r="O302" i="6" a="1"/>
  <c r="O302" i="6" s="1"/>
  <c r="O303" i="6" a="1"/>
  <c r="O303" i="6" s="1"/>
  <c r="O304" i="6" a="1"/>
  <c r="O304" i="6" s="1"/>
  <c r="O305" i="6" a="1"/>
  <c r="O305" i="6" s="1"/>
  <c r="O306" i="6" a="1"/>
  <c r="O306" i="6" s="1"/>
  <c r="O307" i="6" a="1"/>
  <c r="O307" i="6"/>
  <c r="O308" i="6" a="1"/>
  <c r="O308" i="6" s="1"/>
  <c r="O309" i="6" a="1"/>
  <c r="O309" i="6" s="1"/>
  <c r="O310" i="6" a="1"/>
  <c r="O310" i="6" s="1"/>
  <c r="O311" i="6" a="1"/>
  <c r="O311" i="6" s="1"/>
  <c r="O312" i="6" a="1"/>
  <c r="O312" i="6" s="1"/>
  <c r="O313" i="6" a="1"/>
  <c r="O313" i="6" s="1"/>
  <c r="O314" i="6" a="1"/>
  <c r="O314" i="6" s="1"/>
  <c r="O315" i="6" a="1"/>
  <c r="O315" i="6"/>
  <c r="O316" i="6" a="1"/>
  <c r="O316" i="6" s="1"/>
  <c r="O317" i="6" a="1"/>
  <c r="O317" i="6" s="1"/>
  <c r="O318" i="6" a="1"/>
  <c r="O318" i="6" s="1"/>
  <c r="O319" i="6" a="1"/>
  <c r="O319" i="6" s="1"/>
  <c r="O320" i="6" a="1"/>
  <c r="O320" i="6" s="1"/>
  <c r="O321" i="6" a="1"/>
  <c r="O321" i="6" s="1"/>
  <c r="O322" i="6" a="1"/>
  <c r="O322" i="6" s="1"/>
  <c r="O323" i="6" a="1"/>
  <c r="O323" i="6" s="1"/>
  <c r="O324" i="6" a="1"/>
  <c r="O324" i="6" s="1"/>
  <c r="O325" i="6" a="1"/>
  <c r="O325" i="6" s="1"/>
  <c r="O326" i="6" a="1"/>
  <c r="O326" i="6" s="1"/>
  <c r="O327" i="6" a="1"/>
  <c r="O327" i="6" s="1"/>
  <c r="O328" i="6" a="1"/>
  <c r="O328" i="6" s="1"/>
  <c r="O329" i="6" a="1"/>
  <c r="O329" i="6"/>
  <c r="O330" i="6" a="1"/>
  <c r="O330" i="6" s="1"/>
  <c r="O331" i="6" a="1"/>
  <c r="O331" i="6" s="1"/>
  <c r="O332" i="6" a="1"/>
  <c r="O332" i="6" s="1"/>
  <c r="O333" i="6" a="1"/>
  <c r="O333" i="6" s="1"/>
  <c r="O334" i="6" a="1"/>
  <c r="O334" i="6" s="1"/>
  <c r="O335" i="6" a="1"/>
  <c r="O335" i="6" s="1"/>
  <c r="O336" i="6" a="1"/>
  <c r="O336" i="6" s="1"/>
  <c r="O337" i="6" a="1"/>
  <c r="O337" i="6" s="1"/>
  <c r="O338" i="6" a="1"/>
  <c r="O338" i="6" s="1"/>
  <c r="O339" i="6" a="1"/>
  <c r="O339" i="6"/>
  <c r="O340" i="6" a="1"/>
  <c r="O340" i="6" s="1"/>
  <c r="O341" i="6" a="1"/>
  <c r="O341" i="6"/>
  <c r="O342" i="6" a="1"/>
  <c r="O342" i="6" s="1"/>
  <c r="O343" i="6" a="1"/>
  <c r="O343" i="6" s="1"/>
  <c r="O344" i="6" a="1"/>
  <c r="O344" i="6" s="1"/>
  <c r="O345" i="6" a="1"/>
  <c r="O345" i="6" s="1"/>
  <c r="O346" i="6" a="1"/>
  <c r="O346" i="6" s="1"/>
  <c r="O347" i="6" a="1"/>
  <c r="O347" i="6" s="1"/>
  <c r="O348" i="6" a="1"/>
  <c r="O348" i="6" s="1"/>
  <c r="O349" i="6" a="1"/>
  <c r="O349" i="6" s="1"/>
  <c r="O350" i="6" a="1"/>
  <c r="O350" i="6" s="1"/>
  <c r="O351" i="6" a="1"/>
  <c r="O351" i="6" s="1"/>
  <c r="O352" i="6" a="1"/>
  <c r="O352" i="6" s="1"/>
  <c r="O353" i="6" a="1"/>
  <c r="O353" i="6" s="1"/>
  <c r="O354" i="6" a="1"/>
  <c r="O354" i="6" s="1"/>
  <c r="O355" i="6" a="1"/>
  <c r="O355" i="6" s="1"/>
  <c r="O356" i="6" a="1"/>
  <c r="O356" i="6" s="1"/>
  <c r="O357" i="6" a="1"/>
  <c r="O357" i="6"/>
  <c r="O358" i="6" a="1"/>
  <c r="O358" i="6" s="1"/>
  <c r="O359" i="6" a="1"/>
  <c r="O359" i="6" s="1"/>
  <c r="O360" i="6" a="1"/>
  <c r="O360" i="6" s="1"/>
  <c r="O361" i="6" a="1"/>
  <c r="O361" i="6" s="1"/>
  <c r="O362" i="6" a="1"/>
  <c r="O362" i="6" s="1"/>
  <c r="O363" i="6" a="1"/>
  <c r="O363" i="6" s="1"/>
  <c r="O364" i="6" a="1"/>
  <c r="O364" i="6" s="1"/>
  <c r="O365" i="6" a="1"/>
  <c r="O365" i="6" s="1"/>
  <c r="O366" i="6" a="1"/>
  <c r="O366" i="6" s="1"/>
  <c r="O367" i="6" a="1"/>
  <c r="O367" i="6" s="1"/>
  <c r="O368" i="6" a="1"/>
  <c r="O368" i="6" s="1"/>
  <c r="O369" i="6" a="1"/>
  <c r="O369" i="6" s="1"/>
  <c r="O370" i="6" a="1"/>
  <c r="O370" i="6" s="1"/>
  <c r="O371" i="6" a="1"/>
  <c r="O371" i="6" s="1"/>
  <c r="O372" i="6" a="1"/>
  <c r="O372" i="6" s="1"/>
  <c r="O373" i="6" a="1"/>
  <c r="O373" i="6" s="1"/>
  <c r="O374" i="6" a="1"/>
  <c r="O374" i="6" s="1"/>
  <c r="O375" i="6" a="1"/>
  <c r="O375" i="6" s="1"/>
  <c r="O376" i="6" a="1"/>
  <c r="O376" i="6" s="1"/>
  <c r="O377" i="6" a="1"/>
  <c r="O377" i="6" s="1"/>
  <c r="O378" i="6" a="1"/>
  <c r="O378" i="6" s="1"/>
  <c r="O379" i="6" a="1"/>
  <c r="O379" i="6" s="1"/>
  <c r="O380" i="6" a="1"/>
  <c r="O380" i="6" s="1"/>
  <c r="O381" i="6" a="1"/>
  <c r="O381" i="6" s="1"/>
  <c r="O382" i="6" a="1"/>
  <c r="O382" i="6" s="1"/>
  <c r="O383" i="6" a="1"/>
  <c r="O383" i="6" s="1"/>
  <c r="O384" i="6" a="1"/>
  <c r="O384" i="6"/>
  <c r="O385" i="6" a="1"/>
  <c r="O385" i="6" s="1"/>
  <c r="O386" i="6" a="1"/>
  <c r="O386" i="6" s="1"/>
  <c r="O387" i="6" a="1"/>
  <c r="O387" i="6" s="1"/>
  <c r="O388" i="6" a="1"/>
  <c r="O388" i="6" s="1"/>
  <c r="O389" i="6" a="1"/>
  <c r="O389" i="6" s="1"/>
  <c r="O390" i="6" a="1"/>
  <c r="O390" i="6" s="1"/>
  <c r="O391" i="6" a="1"/>
  <c r="O391" i="6" s="1"/>
  <c r="O392" i="6" a="1"/>
  <c r="O392" i="6" s="1"/>
  <c r="O393" i="6" a="1"/>
  <c r="O393" i="6" s="1"/>
  <c r="O394" i="6" a="1"/>
  <c r="O394" i="6" s="1"/>
  <c r="O395" i="6" a="1"/>
  <c r="O395" i="6" s="1"/>
  <c r="O396" i="6" a="1"/>
  <c r="O396" i="6" s="1"/>
  <c r="O397" i="6" a="1"/>
  <c r="O397" i="6" s="1"/>
  <c r="O398" i="6" a="1"/>
  <c r="O398" i="6" s="1"/>
  <c r="O399" i="6" a="1"/>
  <c r="O399" i="6" s="1"/>
  <c r="O400" i="6" a="1"/>
  <c r="O400" i="6" s="1"/>
  <c r="O401" i="6" a="1"/>
  <c r="O401" i="6" s="1"/>
  <c r="O402" i="6" a="1"/>
  <c r="O402" i="6" s="1"/>
  <c r="O403" i="6" a="1"/>
  <c r="O403" i="6" s="1"/>
  <c r="O404" i="6" a="1"/>
  <c r="O404" i="6" s="1"/>
  <c r="O405" i="6" a="1"/>
  <c r="O405" i="6" s="1"/>
  <c r="O406" i="6" a="1"/>
  <c r="O406" i="6" s="1"/>
  <c r="O407" i="6" a="1"/>
  <c r="O407" i="6" s="1"/>
  <c r="O408" i="6" a="1"/>
  <c r="O408" i="6" s="1"/>
  <c r="O409" i="6" a="1"/>
  <c r="O409" i="6" s="1"/>
  <c r="O410" i="6" a="1"/>
  <c r="O410" i="6" s="1"/>
  <c r="O411" i="6" a="1"/>
  <c r="O411" i="6" s="1"/>
  <c r="O412" i="6" a="1"/>
  <c r="O412" i="6" s="1"/>
  <c r="O413" i="6" a="1"/>
  <c r="O413" i="6" s="1"/>
  <c r="O414" i="6" a="1"/>
  <c r="O414" i="6" s="1"/>
  <c r="O415" i="6" a="1"/>
  <c r="O415" i="6" s="1"/>
  <c r="O416" i="6" a="1"/>
  <c r="O416" i="6" s="1"/>
  <c r="O417" i="6" a="1"/>
  <c r="O417" i="6" s="1"/>
  <c r="O418" i="6" a="1"/>
  <c r="O418" i="6" s="1"/>
  <c r="O419" i="6" a="1"/>
  <c r="O419" i="6" s="1"/>
  <c r="O420" i="6" a="1"/>
  <c r="O420" i="6" s="1"/>
  <c r="O421" i="6" a="1"/>
  <c r="O421" i="6"/>
  <c r="O422" i="6" a="1"/>
  <c r="O422" i="6" s="1"/>
  <c r="O423" i="6" a="1"/>
  <c r="O423" i="6" s="1"/>
  <c r="O424" i="6" a="1"/>
  <c r="O424" i="6" s="1"/>
  <c r="O425" i="6" a="1"/>
  <c r="O425" i="6" s="1"/>
  <c r="O426" i="6" a="1"/>
  <c r="O426" i="6" s="1"/>
  <c r="O427" i="6" a="1"/>
  <c r="O427" i="6" s="1"/>
  <c r="O428" i="6" a="1"/>
  <c r="O428" i="6" s="1"/>
  <c r="O429" i="6" a="1"/>
  <c r="O429" i="6" s="1"/>
  <c r="O430" i="6" a="1"/>
  <c r="O430" i="6" s="1"/>
  <c r="O431" i="6" a="1"/>
  <c r="O431" i="6" s="1"/>
  <c r="O432" i="6" a="1"/>
  <c r="O432" i="6" s="1"/>
  <c r="O433" i="6" a="1"/>
  <c r="O433" i="6" s="1"/>
  <c r="O434" i="6" a="1"/>
  <c r="O434" i="6" s="1"/>
  <c r="O435" i="6" a="1"/>
  <c r="O435" i="6" s="1"/>
  <c r="O436" i="6" a="1"/>
  <c r="O436" i="6" s="1"/>
  <c r="O437" i="6" a="1"/>
  <c r="O437" i="6" s="1"/>
  <c r="O438" i="6" a="1"/>
  <c r="O438" i="6" s="1"/>
  <c r="O439" i="6" a="1"/>
  <c r="O439" i="6" s="1"/>
  <c r="O440" i="6" a="1"/>
  <c r="O440" i="6" s="1"/>
  <c r="O441" i="6" a="1"/>
  <c r="O441" i="6" s="1"/>
  <c r="O442" i="6" a="1"/>
  <c r="O442" i="6" s="1"/>
  <c r="O443" i="6" a="1"/>
  <c r="O443" i="6" s="1"/>
  <c r="O444" i="6" a="1"/>
  <c r="O444" i="6" s="1"/>
  <c r="O445" i="6" a="1"/>
  <c r="O445" i="6" s="1"/>
  <c r="O446" i="6" a="1"/>
  <c r="O446" i="6" s="1"/>
  <c r="O447" i="6" a="1"/>
  <c r="O447" i="6" s="1"/>
  <c r="O448" i="6" a="1"/>
  <c r="O448" i="6" s="1"/>
  <c r="O449" i="6" a="1"/>
  <c r="O449" i="6" s="1"/>
  <c r="O450" i="6" a="1"/>
  <c r="O450" i="6" s="1"/>
  <c r="O451" i="6" a="1"/>
  <c r="O451" i="6" s="1"/>
  <c r="O452" i="6" a="1"/>
  <c r="O452" i="6" s="1"/>
  <c r="O453" i="6" a="1"/>
  <c r="O453" i="6" s="1"/>
  <c r="O454" i="6" a="1"/>
  <c r="O454" i="6" s="1"/>
  <c r="O455" i="6" a="1"/>
  <c r="O455" i="6" s="1"/>
  <c r="O456" i="6" a="1"/>
  <c r="O456" i="6" s="1"/>
  <c r="O457" i="6" a="1"/>
  <c r="O457" i="6" s="1"/>
  <c r="O458" i="6" a="1"/>
  <c r="O458" i="6" s="1"/>
  <c r="O459" i="6" a="1"/>
  <c r="O459" i="6" s="1"/>
  <c r="O460" i="6" a="1"/>
  <c r="O460" i="6" s="1"/>
  <c r="O461" i="6" a="1"/>
  <c r="O461" i="6" s="1"/>
  <c r="O462" i="6" a="1"/>
  <c r="O462" i="6" s="1"/>
  <c r="O463" i="6" a="1"/>
  <c r="O463" i="6" s="1"/>
  <c r="O464" i="6" a="1"/>
  <c r="O464" i="6" s="1"/>
  <c r="O465" i="6" a="1"/>
  <c r="O465" i="6" s="1"/>
  <c r="O466" i="6" a="1"/>
  <c r="O466" i="6" s="1"/>
  <c r="O467" i="6" a="1"/>
  <c r="O467" i="6" s="1"/>
  <c r="O468" i="6" a="1"/>
  <c r="O468" i="6" s="1"/>
  <c r="O469" i="6" a="1"/>
  <c r="O469" i="6"/>
  <c r="O470" i="6" a="1"/>
  <c r="O470" i="6" s="1"/>
  <c r="O471" i="6" a="1"/>
  <c r="O471" i="6" s="1"/>
  <c r="O472" i="6" a="1"/>
  <c r="O472" i="6" s="1"/>
  <c r="O473" i="6" a="1"/>
  <c r="O473" i="6" s="1"/>
  <c r="O474" i="6" a="1"/>
  <c r="O474" i="6" s="1"/>
  <c r="O475" i="6" a="1"/>
  <c r="O475" i="6" s="1"/>
  <c r="O476" i="6" a="1"/>
  <c r="O476" i="6" s="1"/>
  <c r="O477" i="6" a="1"/>
  <c r="O477" i="6" s="1"/>
  <c r="O478" i="6" a="1"/>
  <c r="O478" i="6" s="1"/>
  <c r="O479" i="6" a="1"/>
  <c r="O479" i="6" s="1"/>
  <c r="O480" i="6" a="1"/>
  <c r="O480" i="6" s="1"/>
  <c r="O481" i="6" a="1"/>
  <c r="O481" i="6" s="1"/>
  <c r="O482" i="6" a="1"/>
  <c r="O482" i="6" s="1"/>
  <c r="O483" i="6" a="1"/>
  <c r="O483" i="6" s="1"/>
  <c r="O484" i="6" a="1"/>
  <c r="O484" i="6" s="1"/>
  <c r="O485" i="6" a="1"/>
  <c r="O485" i="6" s="1"/>
  <c r="O486" i="6" a="1"/>
  <c r="O486" i="6" s="1"/>
  <c r="O487" i="6" a="1"/>
  <c r="O487" i="6" s="1"/>
  <c r="O488" i="6" a="1"/>
  <c r="O488" i="6" s="1"/>
  <c r="O489" i="6" a="1"/>
  <c r="O489" i="6" s="1"/>
  <c r="O490" i="6" a="1"/>
  <c r="O490" i="6" s="1"/>
  <c r="O491" i="6" a="1"/>
  <c r="O491" i="6" s="1"/>
  <c r="O492" i="6" a="1"/>
  <c r="O492" i="6" s="1"/>
  <c r="O493" i="6" a="1"/>
  <c r="O493" i="6" s="1"/>
  <c r="O494" i="6" a="1"/>
  <c r="O494" i="6" s="1"/>
  <c r="O495" i="6" a="1"/>
  <c r="O495" i="6" s="1"/>
  <c r="O496" i="6" a="1"/>
  <c r="O496" i="6" s="1"/>
  <c r="O497" i="6" a="1"/>
  <c r="O497" i="6" s="1"/>
  <c r="O498" i="6" a="1"/>
  <c r="O498" i="6" s="1"/>
  <c r="O499" i="6" a="1"/>
  <c r="O499" i="6" s="1"/>
  <c r="O500" i="6" a="1"/>
  <c r="O500" i="6" s="1"/>
  <c r="O501" i="6" a="1"/>
  <c r="O501" i="6" s="1"/>
  <c r="O502" i="6" a="1"/>
  <c r="O502" i="6" s="1"/>
  <c r="O503" i="6" a="1"/>
  <c r="O503" i="6" s="1"/>
  <c r="O504" i="6" a="1"/>
  <c r="O504" i="6" s="1"/>
  <c r="O505" i="6" a="1"/>
  <c r="O505" i="6" s="1"/>
  <c r="O506" i="6" a="1"/>
  <c r="O506" i="6" s="1"/>
  <c r="O507" i="6" a="1"/>
  <c r="O507" i="6" s="1"/>
  <c r="O508" i="6" a="1"/>
  <c r="O508" i="6" s="1"/>
  <c r="O509" i="6" a="1"/>
  <c r="O509" i="6" s="1"/>
  <c r="O510" i="6" a="1"/>
  <c r="O510" i="6" s="1"/>
  <c r="O511" i="6" a="1"/>
  <c r="O511" i="6" s="1"/>
  <c r="O512" i="6" a="1"/>
  <c r="O512" i="6"/>
  <c r="O513" i="6" a="1"/>
  <c r="O513" i="6" s="1"/>
  <c r="O514" i="6" a="1"/>
  <c r="O514" i="6" s="1"/>
  <c r="O515" i="6" a="1"/>
  <c r="O515" i="6" s="1"/>
  <c r="O516" i="6" a="1"/>
  <c r="O516" i="6" s="1"/>
  <c r="O517" i="6" a="1"/>
  <c r="O517" i="6" s="1"/>
  <c r="O518" i="6" a="1"/>
  <c r="O518" i="6" s="1"/>
  <c r="O519" i="6" a="1"/>
  <c r="O519" i="6" s="1"/>
  <c r="O520" i="6" a="1"/>
  <c r="O520" i="6" s="1"/>
  <c r="O521" i="6" a="1"/>
  <c r="O521" i="6" s="1"/>
  <c r="O522" i="6" a="1"/>
  <c r="O522" i="6" s="1"/>
  <c r="O523" i="6" a="1"/>
  <c r="O523" i="6" s="1"/>
  <c r="O524" i="6" a="1"/>
  <c r="O524" i="6" s="1"/>
  <c r="O525" i="6" a="1"/>
  <c r="O525" i="6" s="1"/>
  <c r="O526" i="6" a="1"/>
  <c r="O526" i="6" s="1"/>
  <c r="O527" i="6" a="1"/>
  <c r="O527" i="6" s="1"/>
  <c r="O528" i="6" a="1"/>
  <c r="O528" i="6" s="1"/>
  <c r="O529" i="6" a="1"/>
  <c r="O529" i="6" s="1"/>
  <c r="O530" i="6" a="1"/>
  <c r="O530" i="6" s="1"/>
  <c r="O531" i="6" a="1"/>
  <c r="O531" i="6" s="1"/>
  <c r="O532" i="6" a="1"/>
  <c r="O532" i="6" s="1"/>
  <c r="O533" i="6" a="1"/>
  <c r="O533" i="6" s="1"/>
  <c r="O534" i="6" a="1"/>
  <c r="O534" i="6" s="1"/>
  <c r="O535" i="6" a="1"/>
  <c r="O535" i="6" s="1"/>
  <c r="O536" i="6" a="1"/>
  <c r="O536" i="6" s="1"/>
  <c r="O537" i="6" a="1"/>
  <c r="O537" i="6" s="1"/>
  <c r="O538" i="6" a="1"/>
  <c r="O538" i="6" s="1"/>
  <c r="O539" i="6" a="1"/>
  <c r="O539" i="6" s="1"/>
  <c r="O540" i="6" a="1"/>
  <c r="O540" i="6" s="1"/>
  <c r="O541" i="6" a="1"/>
  <c r="O541" i="6" s="1"/>
  <c r="O542" i="6" a="1"/>
  <c r="O542" i="6" s="1"/>
  <c r="O543" i="6" a="1"/>
  <c r="O543" i="6" s="1"/>
  <c r="O544" i="6" a="1"/>
  <c r="O544" i="6" s="1"/>
  <c r="O545" i="6" a="1"/>
  <c r="O545" i="6" s="1"/>
  <c r="O546" i="6" a="1"/>
  <c r="O546" i="6" s="1"/>
  <c r="O547" i="6" a="1"/>
  <c r="O547" i="6" s="1"/>
  <c r="O548" i="6" a="1"/>
  <c r="O548" i="6" s="1"/>
  <c r="O549" i="6" a="1"/>
  <c r="O549" i="6"/>
  <c r="O550" i="6" a="1"/>
  <c r="O550" i="6" s="1"/>
  <c r="O551" i="6" a="1"/>
  <c r="O551" i="6" s="1"/>
  <c r="O552" i="6" a="1"/>
  <c r="O552" i="6" s="1"/>
  <c r="O553" i="6" a="1"/>
  <c r="O553" i="6" s="1"/>
  <c r="O554" i="6" a="1"/>
  <c r="O554" i="6" s="1"/>
  <c r="O555" i="6" a="1"/>
  <c r="O555" i="6" s="1"/>
  <c r="O556" i="6" a="1"/>
  <c r="O556" i="6" s="1"/>
  <c r="O557" i="6" a="1"/>
  <c r="O557" i="6" s="1"/>
  <c r="O558" i="6" a="1"/>
  <c r="O558" i="6" s="1"/>
  <c r="O559" i="6" a="1"/>
  <c r="O559" i="6"/>
  <c r="O560" i="6" a="1"/>
  <c r="O560" i="6" s="1"/>
  <c r="O561" i="6" a="1"/>
  <c r="O561" i="6" s="1"/>
  <c r="O562" i="6" a="1"/>
  <c r="O562" i="6" s="1"/>
  <c r="O563" i="6" a="1"/>
  <c r="O563" i="6"/>
  <c r="O564" i="6" a="1"/>
  <c r="O564" i="6" s="1"/>
  <c r="O565" i="6" a="1"/>
  <c r="O565" i="6" s="1"/>
  <c r="O566" i="6" a="1"/>
  <c r="O566" i="6" s="1"/>
  <c r="O567" i="6" a="1"/>
  <c r="O567" i="6" s="1"/>
  <c r="O568" i="6" a="1"/>
  <c r="O568" i="6" s="1"/>
  <c r="O569" i="6" a="1"/>
  <c r="O569" i="6" s="1"/>
  <c r="O570" i="6" a="1"/>
  <c r="O570" i="6" s="1"/>
  <c r="O571" i="6" a="1"/>
  <c r="O571" i="6" s="1"/>
  <c r="O572" i="6" a="1"/>
  <c r="O572" i="6" s="1"/>
  <c r="O573" i="6" a="1"/>
  <c r="O573" i="6" s="1"/>
  <c r="O574" i="6" a="1"/>
  <c r="O574" i="6" s="1"/>
  <c r="O575" i="6" a="1"/>
  <c r="O575" i="6" s="1"/>
  <c r="O576" i="6" a="1"/>
  <c r="O576" i="6" s="1"/>
  <c r="O577" i="6" a="1"/>
  <c r="O577" i="6" s="1"/>
  <c r="O578" i="6" a="1"/>
  <c r="O578" i="6" s="1"/>
  <c r="O579" i="6" a="1"/>
  <c r="O579" i="6" s="1"/>
  <c r="O580" i="6" a="1"/>
  <c r="O580" i="6" s="1"/>
  <c r="O581" i="6" a="1"/>
  <c r="O581" i="6" s="1"/>
  <c r="O582" i="6" a="1"/>
  <c r="O582" i="6" s="1"/>
  <c r="O583" i="6" a="1"/>
  <c r="O583" i="6" s="1"/>
  <c r="O584" i="6" a="1"/>
  <c r="O584" i="6" s="1"/>
  <c r="O585" i="6" a="1"/>
  <c r="O585" i="6" s="1"/>
  <c r="O586" i="6" a="1"/>
  <c r="O586" i="6" s="1"/>
  <c r="O587" i="6" a="1"/>
  <c r="O587" i="6" s="1"/>
  <c r="O588" i="6" a="1"/>
  <c r="O588" i="6" s="1"/>
  <c r="O589" i="6" a="1"/>
  <c r="O589" i="6" s="1"/>
  <c r="O590" i="6" a="1"/>
  <c r="O590" i="6" s="1"/>
  <c r="O591" i="6" a="1"/>
  <c r="O591" i="6" s="1"/>
  <c r="O592" i="6" a="1"/>
  <c r="O592" i="6" s="1"/>
  <c r="O593" i="6" a="1"/>
  <c r="O593" i="6" s="1"/>
  <c r="O594" i="6" a="1"/>
  <c r="O594" i="6" s="1"/>
  <c r="O595" i="6" a="1"/>
  <c r="O595" i="6" s="1"/>
  <c r="O596" i="6" a="1"/>
  <c r="O596" i="6" s="1"/>
  <c r="O597" i="6" a="1"/>
  <c r="O597" i="6" s="1"/>
  <c r="O598" i="6" a="1"/>
  <c r="O598" i="6" s="1"/>
  <c r="O599" i="6" a="1"/>
  <c r="O599" i="6" s="1"/>
  <c r="O600" i="6" a="1"/>
  <c r="O600" i="6" s="1"/>
  <c r="O601" i="6" a="1"/>
  <c r="O601" i="6" s="1"/>
  <c r="O602" i="6" a="1"/>
  <c r="O602" i="6" s="1"/>
  <c r="O603" i="6" a="1"/>
  <c r="O603" i="6" s="1"/>
  <c r="O604" i="6" a="1"/>
  <c r="O604" i="6" s="1"/>
  <c r="O605" i="6" a="1"/>
  <c r="O605" i="6" s="1"/>
  <c r="O606" i="6" a="1"/>
  <c r="O606" i="6" s="1"/>
  <c r="O607" i="6" a="1"/>
  <c r="O607" i="6" s="1"/>
  <c r="O608" i="6" a="1"/>
  <c r="O608" i="6" s="1"/>
  <c r="O609" i="6" a="1"/>
  <c r="O609" i="6" s="1"/>
  <c r="O610" i="6" a="1"/>
  <c r="O610" i="6" s="1"/>
  <c r="O611" i="6" a="1"/>
  <c r="O611" i="6"/>
  <c r="O612" i="6" a="1"/>
  <c r="O612" i="6" s="1"/>
  <c r="O613" i="6" a="1"/>
  <c r="O613" i="6"/>
  <c r="O614" i="6" a="1"/>
  <c r="O614" i="6" s="1"/>
  <c r="O615" i="6" a="1"/>
  <c r="O615" i="6" s="1"/>
  <c r="O616" i="6" a="1"/>
  <c r="O616" i="6" s="1"/>
  <c r="O617" i="6" a="1"/>
  <c r="O617" i="6" s="1"/>
  <c r="O618" i="6" a="1"/>
  <c r="O618" i="6" s="1"/>
  <c r="O619" i="6" a="1"/>
  <c r="O619" i="6" s="1"/>
  <c r="O620" i="6" a="1"/>
  <c r="O620" i="6" s="1"/>
  <c r="O621" i="6" a="1"/>
  <c r="O621" i="6" s="1"/>
  <c r="O622" i="6" a="1"/>
  <c r="O622" i="6" s="1"/>
  <c r="O623" i="6" a="1"/>
  <c r="O623" i="6" s="1"/>
  <c r="O624" i="6" a="1"/>
  <c r="O624" i="6" s="1"/>
  <c r="O625" i="6" a="1"/>
  <c r="O625" i="6" s="1"/>
  <c r="O626" i="6" a="1"/>
  <c r="O626" i="6" s="1"/>
  <c r="O627" i="6" a="1"/>
  <c r="O627" i="6"/>
  <c r="O628" i="6" a="1"/>
  <c r="O628" i="6" s="1"/>
  <c r="O629" i="6" a="1"/>
  <c r="O629" i="6" s="1"/>
  <c r="O630" i="6" a="1"/>
  <c r="O630" i="6"/>
  <c r="O631" i="6" a="1"/>
  <c r="O631" i="6" s="1"/>
  <c r="O632" i="6" a="1"/>
  <c r="O632" i="6" s="1"/>
  <c r="O633" i="6" a="1"/>
  <c r="O633" i="6" s="1"/>
  <c r="O634" i="6" a="1"/>
  <c r="O634" i="6" s="1"/>
  <c r="O635" i="6" a="1"/>
  <c r="O635" i="6" s="1"/>
  <c r="O636" i="6" a="1"/>
  <c r="O636" i="6" s="1"/>
  <c r="O637" i="6" a="1"/>
  <c r="O637" i="6" s="1"/>
  <c r="O638" i="6" a="1"/>
  <c r="O638" i="6" s="1"/>
  <c r="O639" i="6" a="1"/>
  <c r="O639" i="6" s="1"/>
  <c r="O640" i="6" a="1"/>
  <c r="O640" i="6" s="1"/>
  <c r="O641" i="6" a="1"/>
  <c r="O641" i="6" s="1"/>
  <c r="O642" i="6" a="1"/>
  <c r="O642" i="6" s="1"/>
  <c r="O643" i="6" a="1"/>
  <c r="O643" i="6" s="1"/>
  <c r="O644" i="6" a="1"/>
  <c r="O644" i="6" s="1"/>
  <c r="O645" i="6" a="1"/>
  <c r="O645" i="6" s="1"/>
  <c r="O646" i="6" a="1"/>
  <c r="O646" i="6" s="1"/>
  <c r="O647" i="6" a="1"/>
  <c r="O647" i="6" s="1"/>
  <c r="O648" i="6" a="1"/>
  <c r="O648" i="6" s="1"/>
  <c r="O649" i="6" a="1"/>
  <c r="O649" i="6" s="1"/>
  <c r="O650" i="6" a="1"/>
  <c r="O650" i="6"/>
  <c r="O651" i="6" a="1"/>
  <c r="O651" i="6" s="1"/>
  <c r="O652" i="6" a="1"/>
  <c r="O652" i="6" s="1"/>
  <c r="O653" i="6" a="1"/>
  <c r="O653" i="6"/>
  <c r="O654" i="6" a="1"/>
  <c r="O654" i="6" s="1"/>
  <c r="O655" i="6" a="1"/>
  <c r="O655" i="6" s="1"/>
  <c r="O656" i="6" a="1"/>
  <c r="O656" i="6" s="1"/>
  <c r="O657" i="6" a="1"/>
  <c r="O657" i="6" s="1"/>
  <c r="O658" i="6" a="1"/>
  <c r="O658" i="6" s="1"/>
  <c r="O659" i="6" a="1"/>
  <c r="O659" i="6"/>
  <c r="O660" i="6" a="1"/>
  <c r="O660" i="6" s="1"/>
  <c r="O661" i="6" a="1"/>
  <c r="O661" i="6" s="1"/>
  <c r="O662" i="6" a="1"/>
  <c r="O662" i="6" s="1"/>
  <c r="O663" i="6" a="1"/>
  <c r="O663" i="6" s="1"/>
  <c r="O664" i="6" a="1"/>
  <c r="O664" i="6" s="1"/>
  <c r="O665" i="6" a="1"/>
  <c r="O665" i="6" s="1"/>
  <c r="O666" i="6" a="1"/>
  <c r="O666" i="6" s="1"/>
  <c r="O667" i="6" a="1"/>
  <c r="O667" i="6" s="1"/>
  <c r="O668" i="6" a="1"/>
  <c r="O668" i="6" s="1"/>
  <c r="O669" i="6" a="1"/>
  <c r="O669" i="6" s="1"/>
  <c r="O670" i="6" a="1"/>
  <c r="O670" i="6" s="1"/>
  <c r="O671" i="6" a="1"/>
  <c r="O671" i="6"/>
  <c r="O672" i="6" a="1"/>
  <c r="O672" i="6" s="1"/>
  <c r="O673" i="6" a="1"/>
  <c r="O673" i="6"/>
  <c r="O674" i="6" a="1"/>
  <c r="O674" i="6" s="1"/>
  <c r="O675" i="6" a="1"/>
  <c r="O675" i="6" s="1"/>
  <c r="O676" i="6" a="1"/>
  <c r="O676" i="6" s="1"/>
  <c r="O677" i="6" a="1"/>
  <c r="O677" i="6" s="1"/>
  <c r="O678" i="6" a="1"/>
  <c r="O678" i="6" s="1"/>
  <c r="O679" i="6" a="1"/>
  <c r="O679" i="6" s="1"/>
  <c r="O680" i="6" a="1"/>
  <c r="O680" i="6" s="1"/>
  <c r="O681" i="6" a="1"/>
  <c r="O681" i="6" s="1"/>
  <c r="O682" i="6" a="1"/>
  <c r="O682" i="6" s="1"/>
  <c r="O683" i="6" a="1"/>
  <c r="O683" i="6" s="1"/>
  <c r="O684" i="6" a="1"/>
  <c r="O684" i="6" s="1"/>
  <c r="O685" i="6" a="1"/>
  <c r="O685" i="6"/>
  <c r="O686" i="6" a="1"/>
  <c r="O686" i="6"/>
  <c r="O687" i="6" a="1"/>
  <c r="O687" i="6" s="1"/>
  <c r="O688" i="6" a="1"/>
  <c r="O688" i="6" s="1"/>
  <c r="O689" i="6" a="1"/>
  <c r="O689" i="6" s="1"/>
  <c r="O690" i="6" a="1"/>
  <c r="O690" i="6" s="1"/>
  <c r="O691" i="6" a="1"/>
  <c r="O691" i="6" s="1"/>
  <c r="O692" i="6" a="1"/>
  <c r="O692" i="6" s="1"/>
  <c r="O693" i="6" a="1"/>
  <c r="O693" i="6" s="1"/>
  <c r="O694" i="6" a="1"/>
  <c r="O694" i="6"/>
  <c r="O695" i="6" a="1"/>
  <c r="O695" i="6" s="1"/>
  <c r="O696" i="6" a="1"/>
  <c r="O696" i="6" s="1"/>
  <c r="O697" i="6" a="1"/>
  <c r="O697" i="6" s="1"/>
  <c r="O698" i="6" a="1"/>
  <c r="O698" i="6" s="1"/>
  <c r="O699" i="6" a="1"/>
  <c r="O699" i="6" s="1"/>
  <c r="O700" i="6" a="1"/>
  <c r="O700" i="6" s="1"/>
  <c r="O701" i="6" a="1"/>
  <c r="O701" i="6" s="1"/>
  <c r="O702" i="6" a="1"/>
  <c r="O702" i="6" s="1"/>
  <c r="O703" i="6" a="1"/>
  <c r="O703" i="6" s="1"/>
  <c r="O704" i="6" a="1"/>
  <c r="O704" i="6" s="1"/>
  <c r="O705" i="6" a="1"/>
  <c r="O705" i="6" s="1"/>
  <c r="O706" i="6" a="1"/>
  <c r="O706" i="6" s="1"/>
  <c r="O707" i="6" a="1"/>
  <c r="O707" i="6" s="1"/>
  <c r="O708" i="6" a="1"/>
  <c r="O708" i="6" s="1"/>
  <c r="O709" i="6" a="1"/>
  <c r="O709" i="6" s="1"/>
  <c r="O710" i="6" a="1"/>
  <c r="O710" i="6" s="1"/>
  <c r="O711" i="6" a="1"/>
  <c r="O711" i="6" s="1"/>
  <c r="O712" i="6" a="1"/>
  <c r="O712" i="6" s="1"/>
  <c r="O713" i="6" a="1"/>
  <c r="O713" i="6" s="1"/>
  <c r="O714" i="6" a="1"/>
  <c r="O714" i="6"/>
  <c r="O715" i="6" a="1"/>
  <c r="O715" i="6" s="1"/>
  <c r="O716" i="6" a="1"/>
  <c r="O716" i="6" s="1"/>
  <c r="O717" i="6" a="1"/>
  <c r="O717" i="6"/>
  <c r="O718" i="6" a="1"/>
  <c r="O718" i="6" s="1"/>
  <c r="O719" i="6" a="1"/>
  <c r="O719" i="6" s="1"/>
  <c r="O720" i="6" a="1"/>
  <c r="O720" i="6" s="1"/>
  <c r="O721" i="6" a="1"/>
  <c r="O721" i="6" s="1"/>
  <c r="O722" i="6" a="1"/>
  <c r="O722" i="6" s="1"/>
  <c r="O723" i="6" a="1"/>
  <c r="O723" i="6"/>
  <c r="O724" i="6" a="1"/>
  <c r="O724" i="6" s="1"/>
  <c r="O725" i="6" a="1"/>
  <c r="O725" i="6" s="1"/>
  <c r="O726" i="6" a="1"/>
  <c r="O726" i="6" s="1"/>
  <c r="O727" i="6" a="1"/>
  <c r="O727" i="6"/>
  <c r="O728" i="6" a="1"/>
  <c r="O728" i="6" s="1"/>
  <c r="O729" i="6" a="1"/>
  <c r="O729" i="6" s="1"/>
  <c r="O730" i="6" a="1"/>
  <c r="O730" i="6" s="1"/>
  <c r="O731" i="6" a="1"/>
  <c r="O731" i="6" s="1"/>
  <c r="O732" i="6" a="1"/>
  <c r="O732" i="6" s="1"/>
  <c r="O733" i="6" a="1"/>
  <c r="O733" i="6" s="1"/>
  <c r="O734" i="6" a="1"/>
  <c r="O734" i="6" s="1"/>
  <c r="O735" i="6" a="1"/>
  <c r="O735" i="6"/>
  <c r="O736" i="6" a="1"/>
  <c r="O736" i="6" s="1"/>
  <c r="O737" i="6" a="1"/>
  <c r="O737" i="6"/>
  <c r="O738" i="6" a="1"/>
  <c r="O738" i="6" s="1"/>
  <c r="O739" i="6" a="1"/>
  <c r="O739" i="6" s="1"/>
  <c r="O740" i="6" a="1"/>
  <c r="O740" i="6" s="1"/>
  <c r="O741" i="6" a="1"/>
  <c r="O741" i="6" s="1"/>
  <c r="O742" i="6" a="1"/>
  <c r="O742" i="6" s="1"/>
  <c r="O743" i="6" a="1"/>
  <c r="O743" i="6" s="1"/>
  <c r="O744" i="6" a="1"/>
  <c r="O744" i="6" s="1"/>
  <c r="O745" i="6" a="1"/>
  <c r="O745" i="6" s="1"/>
  <c r="O746" i="6" a="1"/>
  <c r="O746" i="6" s="1"/>
  <c r="O747" i="6" a="1"/>
  <c r="O747" i="6" s="1"/>
  <c r="O748" i="6" a="1"/>
  <c r="O748" i="6" s="1"/>
  <c r="O749" i="6" a="1"/>
  <c r="O749" i="6" s="1"/>
  <c r="O750" i="6" a="1"/>
  <c r="O750" i="6" s="1"/>
  <c r="O751" i="6" a="1"/>
  <c r="O751" i="6" s="1"/>
  <c r="O752" i="6" a="1"/>
  <c r="O752" i="6" s="1"/>
  <c r="O753" i="6" a="1"/>
  <c r="O753" i="6" s="1"/>
  <c r="O754" i="6" a="1"/>
  <c r="O754" i="6"/>
  <c r="O755" i="6" a="1"/>
  <c r="O755" i="6" s="1"/>
  <c r="O756" i="6" a="1"/>
  <c r="O756" i="6" s="1"/>
  <c r="O757" i="6" a="1"/>
  <c r="O757" i="6" s="1"/>
  <c r="O758" i="6" a="1"/>
  <c r="O758" i="6" s="1"/>
  <c r="O759" i="6" a="1"/>
  <c r="O759" i="6"/>
  <c r="O760" i="6" a="1"/>
  <c r="O760" i="6" s="1"/>
  <c r="O761" i="6" a="1"/>
  <c r="O761" i="6" s="1"/>
  <c r="O762" i="6" a="1"/>
  <c r="O762" i="6" s="1"/>
  <c r="O763" i="6" a="1"/>
  <c r="O763" i="6" s="1"/>
  <c r="O764" i="6" a="1"/>
  <c r="O764" i="6" s="1"/>
  <c r="O765" i="6" a="1"/>
  <c r="O765" i="6" s="1"/>
  <c r="O766" i="6" a="1"/>
  <c r="O766" i="6" s="1"/>
  <c r="O767" i="6" a="1"/>
  <c r="O767" i="6" s="1"/>
  <c r="O768" i="6" a="1"/>
  <c r="O768" i="6" s="1"/>
  <c r="O769" i="6" a="1"/>
  <c r="O769" i="6" s="1"/>
  <c r="O770" i="6" a="1"/>
  <c r="O770" i="6"/>
  <c r="O771" i="6" a="1"/>
  <c r="O771" i="6" s="1"/>
  <c r="O772" i="6" a="1"/>
  <c r="O772" i="6" s="1"/>
  <c r="O773" i="6" a="1"/>
  <c r="O773" i="6" s="1"/>
  <c r="O774" i="6" a="1"/>
  <c r="O774" i="6"/>
  <c r="O775" i="6" a="1"/>
  <c r="O775" i="6" s="1"/>
  <c r="O776" i="6" a="1"/>
  <c r="O776" i="6" s="1"/>
  <c r="O777" i="6" a="1"/>
  <c r="O777" i="6" s="1"/>
  <c r="O778" i="6" a="1"/>
  <c r="O778" i="6" s="1"/>
  <c r="O779" i="6" a="1"/>
  <c r="O779" i="6" s="1"/>
  <c r="O780" i="6" a="1"/>
  <c r="O780" i="6" s="1"/>
  <c r="O781" i="6" a="1"/>
  <c r="O781" i="6" s="1"/>
  <c r="O782" i="6" a="1"/>
  <c r="O782" i="6" s="1"/>
  <c r="O783" i="6" a="1"/>
  <c r="O783" i="6" s="1"/>
  <c r="O784" i="6" a="1"/>
  <c r="O784" i="6" s="1"/>
  <c r="O785" i="6" a="1"/>
  <c r="O785" i="6" s="1"/>
  <c r="O786" i="6" a="1"/>
  <c r="O786" i="6" s="1"/>
  <c r="O787" i="6" a="1"/>
  <c r="O787" i="6" s="1"/>
  <c r="O788" i="6" a="1"/>
  <c r="O788" i="6" s="1"/>
  <c r="O789" i="6" a="1"/>
  <c r="O789" i="6" s="1"/>
  <c r="O790" i="6" a="1"/>
  <c r="O790" i="6" s="1"/>
  <c r="O791" i="6" a="1"/>
  <c r="O791" i="6" s="1"/>
  <c r="O792" i="6" a="1"/>
  <c r="O792" i="6" s="1"/>
  <c r="O793" i="6" a="1"/>
  <c r="O793" i="6" s="1"/>
  <c r="O794" i="6" a="1"/>
  <c r="O794" i="6" s="1"/>
  <c r="O795" i="6" a="1"/>
  <c r="O795" i="6" s="1"/>
  <c r="O796" i="6" a="1"/>
  <c r="O796" i="6" s="1"/>
  <c r="O797" i="6" a="1"/>
  <c r="O797" i="6" s="1"/>
  <c r="O798" i="6" a="1"/>
  <c r="O798" i="6" s="1"/>
  <c r="O799" i="6" a="1"/>
  <c r="O799" i="6" s="1"/>
  <c r="O800" i="6" a="1"/>
  <c r="O800" i="6" s="1"/>
  <c r="O801" i="6" a="1"/>
  <c r="O801" i="6" s="1"/>
  <c r="O802" i="6" a="1"/>
  <c r="O802" i="6" s="1"/>
  <c r="O803" i="6" a="1"/>
  <c r="O803" i="6" s="1"/>
  <c r="O804" i="6" a="1"/>
  <c r="O804" i="6" s="1"/>
  <c r="O805" i="6" a="1"/>
  <c r="O805" i="6" s="1"/>
  <c r="O806" i="6" a="1"/>
  <c r="O806" i="6" s="1"/>
  <c r="O807" i="6" a="1"/>
  <c r="O807" i="6" s="1"/>
  <c r="O808" i="6" a="1"/>
  <c r="O808" i="6" s="1"/>
  <c r="O809" i="6" a="1"/>
  <c r="O809" i="6" s="1"/>
  <c r="O810" i="6" a="1"/>
  <c r="O810" i="6" s="1"/>
  <c r="O811" i="6" a="1"/>
  <c r="O811" i="6" s="1"/>
  <c r="O812" i="6" a="1"/>
  <c r="O812" i="6" s="1"/>
  <c r="O813" i="6" a="1"/>
  <c r="O813" i="6" s="1"/>
  <c r="O814" i="6" a="1"/>
  <c r="O814" i="6" s="1"/>
  <c r="O815" i="6" a="1"/>
  <c r="O815" i="6" s="1"/>
  <c r="O816" i="6" a="1"/>
  <c r="O816" i="6" s="1"/>
  <c r="O817" i="6" a="1"/>
  <c r="O817" i="6" s="1"/>
  <c r="O818" i="6" a="1"/>
  <c r="O818" i="6" s="1"/>
  <c r="O819" i="6" a="1"/>
  <c r="O819" i="6" s="1"/>
  <c r="O820" i="6" a="1"/>
  <c r="O820" i="6" s="1"/>
  <c r="O821" i="6" a="1"/>
  <c r="O821" i="6" s="1"/>
  <c r="O822" i="6" a="1"/>
  <c r="O822" i="6" s="1"/>
  <c r="O823" i="6" a="1"/>
  <c r="O823" i="6" s="1"/>
  <c r="O824" i="6" a="1"/>
  <c r="O824" i="6" s="1"/>
  <c r="O825" i="6" a="1"/>
  <c r="O825" i="6" s="1"/>
  <c r="O826" i="6" a="1"/>
  <c r="O826" i="6" s="1"/>
  <c r="O827" i="6" a="1"/>
  <c r="O827" i="6" s="1"/>
  <c r="O828" i="6" a="1"/>
  <c r="O828" i="6" s="1"/>
  <c r="O829" i="6" a="1"/>
  <c r="O829" i="6" s="1"/>
  <c r="O830" i="6" a="1"/>
  <c r="O830" i="6" s="1"/>
  <c r="O831" i="6" a="1"/>
  <c r="O831" i="6" s="1"/>
  <c r="O832" i="6" a="1"/>
  <c r="O832" i="6" s="1"/>
  <c r="O833" i="6" a="1"/>
  <c r="O833" i="6" s="1"/>
  <c r="O834" i="6" a="1"/>
  <c r="O834" i="6" s="1"/>
  <c r="O835" i="6" a="1"/>
  <c r="O835" i="6" s="1"/>
  <c r="O836" i="6" a="1"/>
  <c r="O836" i="6" s="1"/>
  <c r="O837" i="6" a="1"/>
  <c r="O837" i="6" s="1"/>
  <c r="O838" i="6" a="1"/>
  <c r="O838" i="6" s="1"/>
  <c r="O839" i="6" a="1"/>
  <c r="O839" i="6" s="1"/>
  <c r="O840" i="6" a="1"/>
  <c r="O840" i="6" s="1"/>
  <c r="O841" i="6" a="1"/>
  <c r="O841" i="6" s="1"/>
  <c r="O842" i="6" a="1"/>
  <c r="O842" i="6" s="1"/>
  <c r="O843" i="6" a="1"/>
  <c r="O843" i="6" s="1"/>
  <c r="O844" i="6" a="1"/>
  <c r="O844" i="6" s="1"/>
  <c r="O845" i="6" a="1"/>
  <c r="O845" i="6" s="1"/>
  <c r="O846" i="6" a="1"/>
  <c r="O846" i="6" s="1"/>
  <c r="O847" i="6" a="1"/>
  <c r="O847" i="6" s="1"/>
  <c r="O848" i="6" a="1"/>
  <c r="O848" i="6" s="1"/>
  <c r="O849" i="6" a="1"/>
  <c r="O849" i="6" s="1"/>
  <c r="O850" i="6" a="1"/>
  <c r="O850" i="6" s="1"/>
  <c r="O851" i="6" a="1"/>
  <c r="O851" i="6" s="1"/>
  <c r="O852" i="6" a="1"/>
  <c r="O852" i="6" s="1"/>
  <c r="O853" i="6" a="1"/>
  <c r="O853" i="6" s="1"/>
  <c r="O854" i="6" a="1"/>
  <c r="O854" i="6" s="1"/>
  <c r="O855" i="6" a="1"/>
  <c r="O855" i="6" s="1"/>
  <c r="O856" i="6" a="1"/>
  <c r="O856" i="6" s="1"/>
  <c r="O857" i="6" a="1"/>
  <c r="O857" i="6" s="1"/>
  <c r="O858" i="6" a="1"/>
  <c r="O858" i="6" s="1"/>
  <c r="O859" i="6" a="1"/>
  <c r="O859" i="6" s="1"/>
  <c r="O860" i="6" a="1"/>
  <c r="O860" i="6" s="1"/>
  <c r="O861" i="6" a="1"/>
  <c r="O861" i="6" s="1"/>
  <c r="O862" i="6" a="1"/>
  <c r="O862" i="6" s="1"/>
  <c r="O863" i="6" a="1"/>
  <c r="O863" i="6" s="1"/>
  <c r="O864" i="6" a="1"/>
  <c r="O864" i="6" s="1"/>
  <c r="O865" i="6" a="1"/>
  <c r="O865" i="6" s="1"/>
  <c r="O866" i="6" a="1"/>
  <c r="O866" i="6" s="1"/>
  <c r="O867" i="6" a="1"/>
  <c r="O867" i="6" s="1"/>
  <c r="O868" i="6" a="1"/>
  <c r="O868" i="6" s="1"/>
  <c r="O869" i="6" a="1"/>
  <c r="O869" i="6" s="1"/>
  <c r="O870" i="6" a="1"/>
  <c r="O870" i="6" s="1"/>
  <c r="O871" i="6" a="1"/>
  <c r="O871" i="6" s="1"/>
  <c r="O872" i="6" a="1"/>
  <c r="O872" i="6" s="1"/>
  <c r="O873" i="6" a="1"/>
  <c r="O873" i="6" s="1"/>
  <c r="O874" i="6" a="1"/>
  <c r="O874" i="6" s="1"/>
  <c r="O875" i="6" a="1"/>
  <c r="O875" i="6" s="1"/>
  <c r="O876" i="6" a="1"/>
  <c r="O876" i="6" s="1"/>
  <c r="O877" i="6" a="1"/>
  <c r="O877" i="6" s="1"/>
  <c r="O878" i="6" a="1"/>
  <c r="O878" i="6" s="1"/>
  <c r="O879" i="6" a="1"/>
  <c r="O879" i="6" s="1"/>
  <c r="O880" i="6" a="1"/>
  <c r="O880" i="6" s="1"/>
  <c r="O881" i="6" a="1"/>
  <c r="O881" i="6" s="1"/>
  <c r="O882" i="6" a="1"/>
  <c r="O882" i="6" s="1"/>
  <c r="O883" i="6" a="1"/>
  <c r="O883" i="6" s="1"/>
  <c r="O884" i="6" a="1"/>
  <c r="O884" i="6" s="1"/>
  <c r="O885" i="6" a="1"/>
  <c r="O885" i="6" s="1"/>
  <c r="O886" i="6" a="1"/>
  <c r="O886" i="6" s="1"/>
  <c r="O887" i="6" a="1"/>
  <c r="O887" i="6" s="1"/>
  <c r="O888" i="6" a="1"/>
  <c r="O888" i="6" s="1"/>
  <c r="O889" i="6" a="1"/>
  <c r="O889" i="6" s="1"/>
  <c r="O890" i="6" a="1"/>
  <c r="O890" i="6" s="1"/>
  <c r="O891" i="6" a="1"/>
  <c r="O891" i="6" s="1"/>
  <c r="O892" i="6" a="1"/>
  <c r="O892" i="6" s="1"/>
  <c r="O893" i="6" a="1"/>
  <c r="O893" i="6" s="1"/>
  <c r="O894" i="6" a="1"/>
  <c r="O894" i="6" s="1"/>
  <c r="O895" i="6" a="1"/>
  <c r="O895" i="6" s="1"/>
  <c r="O896" i="6" a="1"/>
  <c r="O896" i="6" s="1"/>
  <c r="O897" i="6" a="1"/>
  <c r="O897" i="6" s="1"/>
  <c r="O898" i="6" a="1"/>
  <c r="O898" i="6" s="1"/>
  <c r="O899" i="6" a="1"/>
  <c r="O899" i="6" s="1"/>
  <c r="O900" i="6" a="1"/>
  <c r="O900" i="6" s="1"/>
  <c r="O901" i="6" a="1"/>
  <c r="O901" i="6" s="1"/>
  <c r="O902" i="6" a="1"/>
  <c r="O902" i="6" s="1"/>
  <c r="O903" i="6" a="1"/>
  <c r="O903" i="6" s="1"/>
  <c r="O904" i="6" a="1"/>
  <c r="O904" i="6" s="1"/>
  <c r="O905" i="6" a="1"/>
  <c r="O905" i="6" s="1"/>
  <c r="O906" i="6" a="1"/>
  <c r="O906" i="6" s="1"/>
  <c r="O907" i="6" a="1"/>
  <c r="O907" i="6" s="1"/>
  <c r="O908" i="6" a="1"/>
  <c r="O908" i="6" s="1"/>
  <c r="O909" i="6" a="1"/>
  <c r="O909" i="6" s="1"/>
  <c r="O910" i="6" a="1"/>
  <c r="O910" i="6" s="1"/>
  <c r="O911" i="6" a="1"/>
  <c r="O911" i="6" s="1"/>
  <c r="O912" i="6" a="1"/>
  <c r="O912" i="6" s="1"/>
  <c r="O913" i="6" a="1"/>
  <c r="O913" i="6" s="1"/>
  <c r="O914" i="6" a="1"/>
  <c r="O914" i="6" s="1"/>
  <c r="O915" i="6" a="1"/>
  <c r="O915" i="6" s="1"/>
  <c r="O916" i="6" a="1"/>
  <c r="O916" i="6" s="1"/>
  <c r="O917" i="6" a="1"/>
  <c r="O917" i="6" s="1"/>
  <c r="O918" i="6" a="1"/>
  <c r="O918" i="6" s="1"/>
  <c r="O919" i="6" a="1"/>
  <c r="O919" i="6" s="1"/>
  <c r="O920" i="6" a="1"/>
  <c r="O920" i="6" s="1"/>
  <c r="O921" i="6" a="1"/>
  <c r="O921" i="6" s="1"/>
  <c r="O922" i="6" a="1"/>
  <c r="O922" i="6" s="1"/>
  <c r="O923" i="6" a="1"/>
  <c r="O923" i="6" s="1"/>
  <c r="O924" i="6" a="1"/>
  <c r="O924" i="6" s="1"/>
  <c r="O925" i="6" a="1"/>
  <c r="O925" i="6" s="1"/>
  <c r="O926" i="6" a="1"/>
  <c r="O926" i="6" s="1"/>
  <c r="O927" i="6" a="1"/>
  <c r="O927" i="6" s="1"/>
  <c r="O928" i="6" a="1"/>
  <c r="O928" i="6" s="1"/>
  <c r="O929" i="6" a="1"/>
  <c r="O929" i="6" s="1"/>
  <c r="O930" i="6" a="1"/>
  <c r="O930" i="6" s="1"/>
  <c r="O931" i="6" a="1"/>
  <c r="O931" i="6" s="1"/>
  <c r="O932" i="6" a="1"/>
  <c r="O932" i="6" s="1"/>
  <c r="O933" i="6" a="1"/>
  <c r="O933" i="6" s="1"/>
  <c r="O934" i="6" a="1"/>
  <c r="O934" i="6" s="1"/>
  <c r="O935" i="6" a="1"/>
  <c r="O935" i="6" s="1"/>
  <c r="O936" i="6" a="1"/>
  <c r="O936" i="6" s="1"/>
  <c r="O937" i="6" a="1"/>
  <c r="O937" i="6" s="1"/>
  <c r="O938" i="6" a="1"/>
  <c r="O938" i="6" s="1"/>
  <c r="O939" i="6" a="1"/>
  <c r="O939" i="6" s="1"/>
  <c r="O940" i="6" a="1"/>
  <c r="O940" i="6" s="1"/>
  <c r="O941" i="6" a="1"/>
  <c r="O941" i="6" s="1"/>
  <c r="O942" i="6" a="1"/>
  <c r="O942" i="6" s="1"/>
  <c r="O943" i="6" a="1"/>
  <c r="O943" i="6" s="1"/>
  <c r="O944" i="6" a="1"/>
  <c r="O944" i="6" s="1"/>
  <c r="O945" i="6" a="1"/>
  <c r="O945" i="6" s="1"/>
  <c r="O946" i="6" a="1"/>
  <c r="O946" i="6" s="1"/>
  <c r="O947" i="6" a="1"/>
  <c r="O947" i="6" s="1"/>
  <c r="O948" i="6" a="1"/>
  <c r="O948" i="6" s="1"/>
  <c r="O949" i="6" a="1"/>
  <c r="O949" i="6" s="1"/>
  <c r="O950" i="6" a="1"/>
  <c r="O950" i="6" s="1"/>
  <c r="O951" i="6" a="1"/>
  <c r="O951" i="6" s="1"/>
  <c r="O952" i="6" a="1"/>
  <c r="O952" i="6" s="1"/>
  <c r="O953" i="6" a="1"/>
  <c r="O953" i="6" s="1"/>
  <c r="O954" i="6" a="1"/>
  <c r="O954" i="6" s="1"/>
  <c r="O955" i="6" a="1"/>
  <c r="O955" i="6" s="1"/>
  <c r="O956" i="6" a="1"/>
  <c r="O956" i="6" s="1"/>
  <c r="O957" i="6" a="1"/>
  <c r="O957" i="6" s="1"/>
  <c r="O958" i="6" a="1"/>
  <c r="O958" i="6" s="1"/>
  <c r="O959" i="6" a="1"/>
  <c r="O959" i="6" s="1"/>
  <c r="O960" i="6" a="1"/>
  <c r="O960" i="6" s="1"/>
  <c r="O961" i="6" a="1"/>
  <c r="O961" i="6" s="1"/>
  <c r="O962" i="6" a="1"/>
  <c r="O962" i="6" s="1"/>
  <c r="O963" i="6" a="1"/>
  <c r="O963" i="6" s="1"/>
  <c r="O964" i="6" a="1"/>
  <c r="O964" i="6" s="1"/>
  <c r="O965" i="6" a="1"/>
  <c r="O965" i="6" s="1"/>
  <c r="O966" i="6" a="1"/>
  <c r="O966" i="6" s="1"/>
  <c r="O967" i="6" a="1"/>
  <c r="O967" i="6" s="1"/>
  <c r="O968" i="6" a="1"/>
  <c r="O968" i="6" s="1"/>
  <c r="O969" i="6" a="1"/>
  <c r="O969" i="6" s="1"/>
  <c r="O970" i="6" a="1"/>
  <c r="O970" i="6" s="1"/>
  <c r="O971" i="6" a="1"/>
  <c r="O971" i="6" s="1"/>
  <c r="O972" i="6" a="1"/>
  <c r="O972" i="6" s="1"/>
  <c r="O973" i="6" a="1"/>
  <c r="O973" i="6" s="1"/>
  <c r="O974" i="6" a="1"/>
  <c r="O974" i="6" s="1"/>
  <c r="O975" i="6" a="1"/>
  <c r="O975" i="6" s="1"/>
  <c r="O976" i="6" a="1"/>
  <c r="O976" i="6" s="1"/>
  <c r="O977" i="6" a="1"/>
  <c r="O977" i="6" s="1"/>
  <c r="O978" i="6" a="1"/>
  <c r="O978" i="6" s="1"/>
  <c r="O979" i="6" a="1"/>
  <c r="O979" i="6" s="1"/>
  <c r="O980" i="6" a="1"/>
  <c r="O980" i="6" s="1"/>
  <c r="O981" i="6" a="1"/>
  <c r="O981" i="6" s="1"/>
  <c r="O982" i="6" a="1"/>
  <c r="O982" i="6" s="1"/>
  <c r="O983" i="6" a="1"/>
  <c r="O983" i="6" s="1"/>
  <c r="O984" i="6" a="1"/>
  <c r="O984" i="6" s="1"/>
  <c r="O985" i="6" a="1"/>
  <c r="O985" i="6" s="1"/>
  <c r="O986" i="6" a="1"/>
  <c r="O986" i="6" s="1"/>
  <c r="O987" i="6" a="1"/>
  <c r="O987" i="6" s="1"/>
  <c r="O988" i="6" a="1"/>
  <c r="O988" i="6" s="1"/>
  <c r="O989" i="6" a="1"/>
  <c r="O989" i="6" s="1"/>
  <c r="O990" i="6" a="1"/>
  <c r="O990" i="6" s="1"/>
  <c r="O991" i="6" a="1"/>
  <c r="O991" i="6" s="1"/>
  <c r="O992" i="6" a="1"/>
  <c r="O992" i="6" s="1"/>
  <c r="O993" i="6" a="1"/>
  <c r="O993" i="6" s="1"/>
  <c r="O994" i="6" a="1"/>
  <c r="O994" i="6" s="1"/>
  <c r="O995" i="6" a="1"/>
  <c r="O995" i="6" s="1"/>
  <c r="O996" i="6" a="1"/>
  <c r="O996" i="6" s="1"/>
  <c r="O997" i="6" a="1"/>
  <c r="O997" i="6" s="1"/>
  <c r="O998" i="6" a="1"/>
  <c r="O998" i="6" s="1"/>
  <c r="O999" i="6" a="1"/>
  <c r="O999" i="6" s="1"/>
  <c r="O1000" i="6" a="1"/>
  <c r="O1000" i="6" s="1"/>
  <c r="O1001" i="6" a="1"/>
  <c r="O1001" i="6" s="1"/>
  <c r="Y4" i="9"/>
  <c r="B12" i="7"/>
  <c r="B14" i="7"/>
  <c r="B13" i="7"/>
  <c r="B11" i="7"/>
  <c r="B10" i="7"/>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N529" i="6"/>
  <c r="N530" i="6"/>
  <c r="N531" i="6"/>
  <c r="N532" i="6"/>
  <c r="N533" i="6"/>
  <c r="N534" i="6"/>
  <c r="N535" i="6"/>
  <c r="N536" i="6"/>
  <c r="N537" i="6"/>
  <c r="N538" i="6"/>
  <c r="N539" i="6"/>
  <c r="N540" i="6"/>
  <c r="N541" i="6"/>
  <c r="N542" i="6"/>
  <c r="N543" i="6"/>
  <c r="N544" i="6"/>
  <c r="N545" i="6"/>
  <c r="N546" i="6"/>
  <c r="N547" i="6"/>
  <c r="N548" i="6"/>
  <c r="N549" i="6"/>
  <c r="N550" i="6"/>
  <c r="N551" i="6"/>
  <c r="N552" i="6"/>
  <c r="N553" i="6"/>
  <c r="N554" i="6"/>
  <c r="N555" i="6"/>
  <c r="N556" i="6"/>
  <c r="N557" i="6"/>
  <c r="N558" i="6"/>
  <c r="N559" i="6"/>
  <c r="N560" i="6"/>
  <c r="N561" i="6"/>
  <c r="N562" i="6"/>
  <c r="N563" i="6"/>
  <c r="N564" i="6"/>
  <c r="N565" i="6"/>
  <c r="N566" i="6"/>
  <c r="N567" i="6"/>
  <c r="N568" i="6"/>
  <c r="N569" i="6"/>
  <c r="N570" i="6"/>
  <c r="N571" i="6"/>
  <c r="N572" i="6"/>
  <c r="N573" i="6"/>
  <c r="N574" i="6"/>
  <c r="N575" i="6"/>
  <c r="N576" i="6"/>
  <c r="N577" i="6"/>
  <c r="N578" i="6"/>
  <c r="N579" i="6"/>
  <c r="N580" i="6"/>
  <c r="N581" i="6"/>
  <c r="N582" i="6"/>
  <c r="N583" i="6"/>
  <c r="N584" i="6"/>
  <c r="N585" i="6"/>
  <c r="N586" i="6"/>
  <c r="N587" i="6"/>
  <c r="N588" i="6"/>
  <c r="N589" i="6"/>
  <c r="N590" i="6"/>
  <c r="N591" i="6"/>
  <c r="N592" i="6"/>
  <c r="N593" i="6"/>
  <c r="N594" i="6"/>
  <c r="N595" i="6"/>
  <c r="N596" i="6"/>
  <c r="N597" i="6"/>
  <c r="N598" i="6"/>
  <c r="N599" i="6"/>
  <c r="N600" i="6"/>
  <c r="N601" i="6"/>
  <c r="N602" i="6"/>
  <c r="N603" i="6"/>
  <c r="N604" i="6"/>
  <c r="N605" i="6"/>
  <c r="N606" i="6"/>
  <c r="N607" i="6"/>
  <c r="N608" i="6"/>
  <c r="N609" i="6"/>
  <c r="N610" i="6"/>
  <c r="N611" i="6"/>
  <c r="N612" i="6"/>
  <c r="N613" i="6"/>
  <c r="N614" i="6"/>
  <c r="N615" i="6"/>
  <c r="N616" i="6"/>
  <c r="N617" i="6"/>
  <c r="N618" i="6"/>
  <c r="N619" i="6"/>
  <c r="N620" i="6"/>
  <c r="N621" i="6"/>
  <c r="N622" i="6"/>
  <c r="N623" i="6"/>
  <c r="N624" i="6"/>
  <c r="N625" i="6"/>
  <c r="N626" i="6"/>
  <c r="N627" i="6"/>
  <c r="N628" i="6"/>
  <c r="N629" i="6"/>
  <c r="N630" i="6"/>
  <c r="N631" i="6"/>
  <c r="N632" i="6"/>
  <c r="N633" i="6"/>
  <c r="N634" i="6"/>
  <c r="N635" i="6"/>
  <c r="N636" i="6"/>
  <c r="N637" i="6"/>
  <c r="N638" i="6"/>
  <c r="N639" i="6"/>
  <c r="N640" i="6"/>
  <c r="N641" i="6"/>
  <c r="N642" i="6"/>
  <c r="N643" i="6"/>
  <c r="N644" i="6"/>
  <c r="N645" i="6"/>
  <c r="N646" i="6"/>
  <c r="N647" i="6"/>
  <c r="N648" i="6"/>
  <c r="N649" i="6"/>
  <c r="N650" i="6"/>
  <c r="N651" i="6"/>
  <c r="N652" i="6"/>
  <c r="N653" i="6"/>
  <c r="N654" i="6"/>
  <c r="N655" i="6"/>
  <c r="N656" i="6"/>
  <c r="N657" i="6"/>
  <c r="N658" i="6"/>
  <c r="N659" i="6"/>
  <c r="N660" i="6"/>
  <c r="N661" i="6"/>
  <c r="N662" i="6"/>
  <c r="N663" i="6"/>
  <c r="N664" i="6"/>
  <c r="N665" i="6"/>
  <c r="N666" i="6"/>
  <c r="N667" i="6"/>
  <c r="N668" i="6"/>
  <c r="N669" i="6"/>
  <c r="N670" i="6"/>
  <c r="N671" i="6"/>
  <c r="N672" i="6"/>
  <c r="N673" i="6"/>
  <c r="N674" i="6"/>
  <c r="N675" i="6"/>
  <c r="N676" i="6"/>
  <c r="N677" i="6"/>
  <c r="N678" i="6"/>
  <c r="N679" i="6"/>
  <c r="N680" i="6"/>
  <c r="N681" i="6"/>
  <c r="N682" i="6"/>
  <c r="N683" i="6"/>
  <c r="N684" i="6"/>
  <c r="N685" i="6"/>
  <c r="N686" i="6"/>
  <c r="N687" i="6"/>
  <c r="N688" i="6"/>
  <c r="N689" i="6"/>
  <c r="N690" i="6"/>
  <c r="N691" i="6"/>
  <c r="N692" i="6"/>
  <c r="N693" i="6"/>
  <c r="N694" i="6"/>
  <c r="N695" i="6"/>
  <c r="N696" i="6"/>
  <c r="N697" i="6"/>
  <c r="N698" i="6"/>
  <c r="N699" i="6"/>
  <c r="N700" i="6"/>
  <c r="N701" i="6"/>
  <c r="N702" i="6"/>
  <c r="N703" i="6"/>
  <c r="N704" i="6"/>
  <c r="N705" i="6"/>
  <c r="N706" i="6"/>
  <c r="N707" i="6"/>
  <c r="N708" i="6"/>
  <c r="N709" i="6"/>
  <c r="N710" i="6"/>
  <c r="N711" i="6"/>
  <c r="N712" i="6"/>
  <c r="N713" i="6"/>
  <c r="N714" i="6"/>
  <c r="N715" i="6"/>
  <c r="N716" i="6"/>
  <c r="N717" i="6"/>
  <c r="N718" i="6"/>
  <c r="N719" i="6"/>
  <c r="N720" i="6"/>
  <c r="N721" i="6"/>
  <c r="N722" i="6"/>
  <c r="N723" i="6"/>
  <c r="N724" i="6"/>
  <c r="N725" i="6"/>
  <c r="N726" i="6"/>
  <c r="N727" i="6"/>
  <c r="N728" i="6"/>
  <c r="N729" i="6"/>
  <c r="N730" i="6"/>
  <c r="N731" i="6"/>
  <c r="N732" i="6"/>
  <c r="N733" i="6"/>
  <c r="N734" i="6"/>
  <c r="N735" i="6"/>
  <c r="N736" i="6"/>
  <c r="N737" i="6"/>
  <c r="N738" i="6"/>
  <c r="N739" i="6"/>
  <c r="N740" i="6"/>
  <c r="N741" i="6"/>
  <c r="N742" i="6"/>
  <c r="N743" i="6"/>
  <c r="N744" i="6"/>
  <c r="N745" i="6"/>
  <c r="N746" i="6"/>
  <c r="N747" i="6"/>
  <c r="N748" i="6"/>
  <c r="N749" i="6"/>
  <c r="N750" i="6"/>
  <c r="N751" i="6"/>
  <c r="N752" i="6"/>
  <c r="N753" i="6"/>
  <c r="N754" i="6"/>
  <c r="N755" i="6"/>
  <c r="N756" i="6"/>
  <c r="N757" i="6"/>
  <c r="N758" i="6"/>
  <c r="N759" i="6"/>
  <c r="N760" i="6"/>
  <c r="N761" i="6"/>
  <c r="N762" i="6"/>
  <c r="N763" i="6"/>
  <c r="N764" i="6"/>
  <c r="N765" i="6"/>
  <c r="N766" i="6"/>
  <c r="N767" i="6"/>
  <c r="N768" i="6"/>
  <c r="N769" i="6"/>
  <c r="N770" i="6"/>
  <c r="N771" i="6"/>
  <c r="N772" i="6"/>
  <c r="N773" i="6"/>
  <c r="N774" i="6"/>
  <c r="N775" i="6"/>
  <c r="N776" i="6"/>
  <c r="N777" i="6"/>
  <c r="N778" i="6"/>
  <c r="N779" i="6"/>
  <c r="N780" i="6"/>
  <c r="N781" i="6"/>
  <c r="N782" i="6"/>
  <c r="N783" i="6"/>
  <c r="N784" i="6"/>
  <c r="N785" i="6"/>
  <c r="N786" i="6"/>
  <c r="N787" i="6"/>
  <c r="N788" i="6"/>
  <c r="N789" i="6"/>
  <c r="N790" i="6"/>
  <c r="N791" i="6"/>
  <c r="N792" i="6"/>
  <c r="N793" i="6"/>
  <c r="N794" i="6"/>
  <c r="N795" i="6"/>
  <c r="N796" i="6"/>
  <c r="N797" i="6"/>
  <c r="N798" i="6"/>
  <c r="N799" i="6"/>
  <c r="N800" i="6"/>
  <c r="N801" i="6"/>
  <c r="N802" i="6"/>
  <c r="N803" i="6"/>
  <c r="N804" i="6"/>
  <c r="N805" i="6"/>
  <c r="N806" i="6"/>
  <c r="N807" i="6"/>
  <c r="N808" i="6"/>
  <c r="N809" i="6"/>
  <c r="N810" i="6"/>
  <c r="N811" i="6"/>
  <c r="N812" i="6"/>
  <c r="N813" i="6"/>
  <c r="N814" i="6"/>
  <c r="N815" i="6"/>
  <c r="N816" i="6"/>
  <c r="N817" i="6"/>
  <c r="N818" i="6"/>
  <c r="N819" i="6"/>
  <c r="N820" i="6"/>
  <c r="N821" i="6"/>
  <c r="N822" i="6"/>
  <c r="N823" i="6"/>
  <c r="N824" i="6"/>
  <c r="N825" i="6"/>
  <c r="N826" i="6"/>
  <c r="N827" i="6"/>
  <c r="N828" i="6"/>
  <c r="N829" i="6"/>
  <c r="N830" i="6"/>
  <c r="N831" i="6"/>
  <c r="N832" i="6"/>
  <c r="N833" i="6"/>
  <c r="N834" i="6"/>
  <c r="N835" i="6"/>
  <c r="N836" i="6"/>
  <c r="N837" i="6"/>
  <c r="N838" i="6"/>
  <c r="N839" i="6"/>
  <c r="N840" i="6"/>
  <c r="N841" i="6"/>
  <c r="N842" i="6"/>
  <c r="N843" i="6"/>
  <c r="N844" i="6"/>
  <c r="N845" i="6"/>
  <c r="N846" i="6"/>
  <c r="N847" i="6"/>
  <c r="N848" i="6"/>
  <c r="N849" i="6"/>
  <c r="N850" i="6"/>
  <c r="N851" i="6"/>
  <c r="N852" i="6"/>
  <c r="N853" i="6"/>
  <c r="N854" i="6"/>
  <c r="N855" i="6"/>
  <c r="N856" i="6"/>
  <c r="N857" i="6"/>
  <c r="N858" i="6"/>
  <c r="N859" i="6"/>
  <c r="N860" i="6"/>
  <c r="N861" i="6"/>
  <c r="N862" i="6"/>
  <c r="N863" i="6"/>
  <c r="N864" i="6"/>
  <c r="N865" i="6"/>
  <c r="N866" i="6"/>
  <c r="N867" i="6"/>
  <c r="N868" i="6"/>
  <c r="N869" i="6"/>
  <c r="N870" i="6"/>
  <c r="N871" i="6"/>
  <c r="N872" i="6"/>
  <c r="N873" i="6"/>
  <c r="N874" i="6"/>
  <c r="N875" i="6"/>
  <c r="N876" i="6"/>
  <c r="N877" i="6"/>
  <c r="N878" i="6"/>
  <c r="N879" i="6"/>
  <c r="N880" i="6"/>
  <c r="N881" i="6"/>
  <c r="N882" i="6"/>
  <c r="N883" i="6"/>
  <c r="N884" i="6"/>
  <c r="N885" i="6"/>
  <c r="N886" i="6"/>
  <c r="N887" i="6"/>
  <c r="N888" i="6"/>
  <c r="N889" i="6"/>
  <c r="N890" i="6"/>
  <c r="N891" i="6"/>
  <c r="N892" i="6"/>
  <c r="N893" i="6"/>
  <c r="N894" i="6"/>
  <c r="N895" i="6"/>
  <c r="N896" i="6"/>
  <c r="N897" i="6"/>
  <c r="N898" i="6"/>
  <c r="N899" i="6"/>
  <c r="N900" i="6"/>
  <c r="N901" i="6"/>
  <c r="N902" i="6"/>
  <c r="N903" i="6"/>
  <c r="N904" i="6"/>
  <c r="N905" i="6"/>
  <c r="N906" i="6"/>
  <c r="N907" i="6"/>
  <c r="N908" i="6"/>
  <c r="N909" i="6"/>
  <c r="N910" i="6"/>
  <c r="N911" i="6"/>
  <c r="N912" i="6"/>
  <c r="N913" i="6"/>
  <c r="N914" i="6"/>
  <c r="N915" i="6"/>
  <c r="N916" i="6"/>
  <c r="N917" i="6"/>
  <c r="N918" i="6"/>
  <c r="N919" i="6"/>
  <c r="N920" i="6"/>
  <c r="N921" i="6"/>
  <c r="N922" i="6"/>
  <c r="N923" i="6"/>
  <c r="N924" i="6"/>
  <c r="N925" i="6"/>
  <c r="N926" i="6"/>
  <c r="N927" i="6"/>
  <c r="N928" i="6"/>
  <c r="N929" i="6"/>
  <c r="N930" i="6"/>
  <c r="N931" i="6"/>
  <c r="N932" i="6"/>
  <c r="N933" i="6"/>
  <c r="N934" i="6"/>
  <c r="N935" i="6"/>
  <c r="N936" i="6"/>
  <c r="N937" i="6"/>
  <c r="N938" i="6"/>
  <c r="N939" i="6"/>
  <c r="N940" i="6"/>
  <c r="N941" i="6"/>
  <c r="N942" i="6"/>
  <c r="N943" i="6"/>
  <c r="N944" i="6"/>
  <c r="N945" i="6"/>
  <c r="N946" i="6"/>
  <c r="N947" i="6"/>
  <c r="N948" i="6"/>
  <c r="N949" i="6"/>
  <c r="N950" i="6"/>
  <c r="N951" i="6"/>
  <c r="N952" i="6"/>
  <c r="N953" i="6"/>
  <c r="N954" i="6"/>
  <c r="N955" i="6"/>
  <c r="N956" i="6"/>
  <c r="N957" i="6"/>
  <c r="N958" i="6"/>
  <c r="N959" i="6"/>
  <c r="N960" i="6"/>
  <c r="N961" i="6"/>
  <c r="N962" i="6"/>
  <c r="N963" i="6"/>
  <c r="N964" i="6"/>
  <c r="N965" i="6"/>
  <c r="N966" i="6"/>
  <c r="N967" i="6"/>
  <c r="N968" i="6"/>
  <c r="N969" i="6"/>
  <c r="N970" i="6"/>
  <c r="N971" i="6"/>
  <c r="N972" i="6"/>
  <c r="N973" i="6"/>
  <c r="N974" i="6"/>
  <c r="N975" i="6"/>
  <c r="N976" i="6"/>
  <c r="N977" i="6"/>
  <c r="N978" i="6"/>
  <c r="N979" i="6"/>
  <c r="N980" i="6"/>
  <c r="N981" i="6"/>
  <c r="N982" i="6"/>
  <c r="N983" i="6"/>
  <c r="N984" i="6"/>
  <c r="N985" i="6"/>
  <c r="N986" i="6"/>
  <c r="N987" i="6"/>
  <c r="N988" i="6"/>
  <c r="N989" i="6"/>
  <c r="N990" i="6"/>
  <c r="N991" i="6"/>
  <c r="N992" i="6"/>
  <c r="N993" i="6"/>
  <c r="N994" i="6"/>
  <c r="N995" i="6"/>
  <c r="N996" i="6"/>
  <c r="N997" i="6"/>
  <c r="N998" i="6"/>
  <c r="N999" i="6"/>
  <c r="N1000" i="6"/>
  <c r="N1001"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M593" i="6"/>
  <c r="M594" i="6"/>
  <c r="M595" i="6"/>
  <c r="M596" i="6"/>
  <c r="M597" i="6"/>
  <c r="M598" i="6"/>
  <c r="M599" i="6"/>
  <c r="M600" i="6"/>
  <c r="M601" i="6"/>
  <c r="M602" i="6"/>
  <c r="M603" i="6"/>
  <c r="M604" i="6"/>
  <c r="M605" i="6"/>
  <c r="M606" i="6"/>
  <c r="M607" i="6"/>
  <c r="M608" i="6"/>
  <c r="M609" i="6"/>
  <c r="M610" i="6"/>
  <c r="M611" i="6"/>
  <c r="M612" i="6"/>
  <c r="M613" i="6"/>
  <c r="M614" i="6"/>
  <c r="M615" i="6"/>
  <c r="M616" i="6"/>
  <c r="M617" i="6"/>
  <c r="M618" i="6"/>
  <c r="M619" i="6"/>
  <c r="M620" i="6"/>
  <c r="M621" i="6"/>
  <c r="M622" i="6"/>
  <c r="M623" i="6"/>
  <c r="M624" i="6"/>
  <c r="M625" i="6"/>
  <c r="M626" i="6"/>
  <c r="M627" i="6"/>
  <c r="M628" i="6"/>
  <c r="M629" i="6"/>
  <c r="M630" i="6"/>
  <c r="M631" i="6"/>
  <c r="M632" i="6"/>
  <c r="M633" i="6"/>
  <c r="M634" i="6"/>
  <c r="M635" i="6"/>
  <c r="M636" i="6"/>
  <c r="M637" i="6"/>
  <c r="M638" i="6"/>
  <c r="M639" i="6"/>
  <c r="M640" i="6"/>
  <c r="M641" i="6"/>
  <c r="M642" i="6"/>
  <c r="M643" i="6"/>
  <c r="M644" i="6"/>
  <c r="M645" i="6"/>
  <c r="M646" i="6"/>
  <c r="M647" i="6"/>
  <c r="M648" i="6"/>
  <c r="M649" i="6"/>
  <c r="M650" i="6"/>
  <c r="M651" i="6"/>
  <c r="M652" i="6"/>
  <c r="M653" i="6"/>
  <c r="M654" i="6"/>
  <c r="M655" i="6"/>
  <c r="M656" i="6"/>
  <c r="M657" i="6"/>
  <c r="M658" i="6"/>
  <c r="M659" i="6"/>
  <c r="M660" i="6"/>
  <c r="M661" i="6"/>
  <c r="M662" i="6"/>
  <c r="M663" i="6"/>
  <c r="M664" i="6"/>
  <c r="M665" i="6"/>
  <c r="M666" i="6"/>
  <c r="M667" i="6"/>
  <c r="M668" i="6"/>
  <c r="M669" i="6"/>
  <c r="M670" i="6"/>
  <c r="M671" i="6"/>
  <c r="M672" i="6"/>
  <c r="M673" i="6"/>
  <c r="M674" i="6"/>
  <c r="M675" i="6"/>
  <c r="M676" i="6"/>
  <c r="M677" i="6"/>
  <c r="M678" i="6"/>
  <c r="M679" i="6"/>
  <c r="M680" i="6"/>
  <c r="M681" i="6"/>
  <c r="M682" i="6"/>
  <c r="M683" i="6"/>
  <c r="M684" i="6"/>
  <c r="M685" i="6"/>
  <c r="M686" i="6"/>
  <c r="M687" i="6"/>
  <c r="M688" i="6"/>
  <c r="M689" i="6"/>
  <c r="M690" i="6"/>
  <c r="M691" i="6"/>
  <c r="M692" i="6"/>
  <c r="M693" i="6"/>
  <c r="M694" i="6"/>
  <c r="M695" i="6"/>
  <c r="M696" i="6"/>
  <c r="M697" i="6"/>
  <c r="M698" i="6"/>
  <c r="M699" i="6"/>
  <c r="M700" i="6"/>
  <c r="M701" i="6"/>
  <c r="M702" i="6"/>
  <c r="M703" i="6"/>
  <c r="M704" i="6"/>
  <c r="M705" i="6"/>
  <c r="M706" i="6"/>
  <c r="M707" i="6"/>
  <c r="M708" i="6"/>
  <c r="M709" i="6"/>
  <c r="M710" i="6"/>
  <c r="M711" i="6"/>
  <c r="M712" i="6"/>
  <c r="M713" i="6"/>
  <c r="M714" i="6"/>
  <c r="M715" i="6"/>
  <c r="M716" i="6"/>
  <c r="M717" i="6"/>
  <c r="M718" i="6"/>
  <c r="M719" i="6"/>
  <c r="M720" i="6"/>
  <c r="M721" i="6"/>
  <c r="M722" i="6"/>
  <c r="M723" i="6"/>
  <c r="M724" i="6"/>
  <c r="M725" i="6"/>
  <c r="M726" i="6"/>
  <c r="M727" i="6"/>
  <c r="M728" i="6"/>
  <c r="M729" i="6"/>
  <c r="M730" i="6"/>
  <c r="M731" i="6"/>
  <c r="M732" i="6"/>
  <c r="M733" i="6"/>
  <c r="M734" i="6"/>
  <c r="M735" i="6"/>
  <c r="M736" i="6"/>
  <c r="M737" i="6"/>
  <c r="M738" i="6"/>
  <c r="M739" i="6"/>
  <c r="M740" i="6"/>
  <c r="M741" i="6"/>
  <c r="M742" i="6"/>
  <c r="M743" i="6"/>
  <c r="M744" i="6"/>
  <c r="M745" i="6"/>
  <c r="M746" i="6"/>
  <c r="M747" i="6"/>
  <c r="M748" i="6"/>
  <c r="M749" i="6"/>
  <c r="M750" i="6"/>
  <c r="M751" i="6"/>
  <c r="M752" i="6"/>
  <c r="M753" i="6"/>
  <c r="M754" i="6"/>
  <c r="M755" i="6"/>
  <c r="M756" i="6"/>
  <c r="M757" i="6"/>
  <c r="M758" i="6"/>
  <c r="M759" i="6"/>
  <c r="M760" i="6"/>
  <c r="M761" i="6"/>
  <c r="M762" i="6"/>
  <c r="M763" i="6"/>
  <c r="M764" i="6"/>
  <c r="M765" i="6"/>
  <c r="M766" i="6"/>
  <c r="M767" i="6"/>
  <c r="M768" i="6"/>
  <c r="M769" i="6"/>
  <c r="M770" i="6"/>
  <c r="M771" i="6"/>
  <c r="M772" i="6"/>
  <c r="M773" i="6"/>
  <c r="M774" i="6"/>
  <c r="M775" i="6"/>
  <c r="M776" i="6"/>
  <c r="M777" i="6"/>
  <c r="M778" i="6"/>
  <c r="M779" i="6"/>
  <c r="M780" i="6"/>
  <c r="M781" i="6"/>
  <c r="M782" i="6"/>
  <c r="M783" i="6"/>
  <c r="M784" i="6"/>
  <c r="M785" i="6"/>
  <c r="M786" i="6"/>
  <c r="M787" i="6"/>
  <c r="M788" i="6"/>
  <c r="M789" i="6"/>
  <c r="M790" i="6"/>
  <c r="M791" i="6"/>
  <c r="M792" i="6"/>
  <c r="M793" i="6"/>
  <c r="M794" i="6"/>
  <c r="M795" i="6"/>
  <c r="M796" i="6"/>
  <c r="M797" i="6"/>
  <c r="M798" i="6"/>
  <c r="M799" i="6"/>
  <c r="M800" i="6"/>
  <c r="M801" i="6"/>
  <c r="M802" i="6"/>
  <c r="M803" i="6"/>
  <c r="M804" i="6"/>
  <c r="M805" i="6"/>
  <c r="M806" i="6"/>
  <c r="M807" i="6"/>
  <c r="M808" i="6"/>
  <c r="M809" i="6"/>
  <c r="M810" i="6"/>
  <c r="M811" i="6"/>
  <c r="M812" i="6"/>
  <c r="M813" i="6"/>
  <c r="M814" i="6"/>
  <c r="M815" i="6"/>
  <c r="M816" i="6"/>
  <c r="M817" i="6"/>
  <c r="M818" i="6"/>
  <c r="M819" i="6"/>
  <c r="M820" i="6"/>
  <c r="M821" i="6"/>
  <c r="M822" i="6"/>
  <c r="M823" i="6"/>
  <c r="M824" i="6"/>
  <c r="M825" i="6"/>
  <c r="M826" i="6"/>
  <c r="M827" i="6"/>
  <c r="M828" i="6"/>
  <c r="M829" i="6"/>
  <c r="M830" i="6"/>
  <c r="M831" i="6"/>
  <c r="M832" i="6"/>
  <c r="M833" i="6"/>
  <c r="M834" i="6"/>
  <c r="M835" i="6"/>
  <c r="M836" i="6"/>
  <c r="M837" i="6"/>
  <c r="M838" i="6"/>
  <c r="M839" i="6"/>
  <c r="M840" i="6"/>
  <c r="M841" i="6"/>
  <c r="M842" i="6"/>
  <c r="M843" i="6"/>
  <c r="M844" i="6"/>
  <c r="M845" i="6"/>
  <c r="M846" i="6"/>
  <c r="M847" i="6"/>
  <c r="M848" i="6"/>
  <c r="M849" i="6"/>
  <c r="M850" i="6"/>
  <c r="M851" i="6"/>
  <c r="M852" i="6"/>
  <c r="M853" i="6"/>
  <c r="M854" i="6"/>
  <c r="M855" i="6"/>
  <c r="M856" i="6"/>
  <c r="M857" i="6"/>
  <c r="M858" i="6"/>
  <c r="M859" i="6"/>
  <c r="M860" i="6"/>
  <c r="M861" i="6"/>
  <c r="M862" i="6"/>
  <c r="M863" i="6"/>
  <c r="M864" i="6"/>
  <c r="M865" i="6"/>
  <c r="M866" i="6"/>
  <c r="M867" i="6"/>
  <c r="M868" i="6"/>
  <c r="M869" i="6"/>
  <c r="M870" i="6"/>
  <c r="M871" i="6"/>
  <c r="M872" i="6"/>
  <c r="M873" i="6"/>
  <c r="M874" i="6"/>
  <c r="M875" i="6"/>
  <c r="M876" i="6"/>
  <c r="M877" i="6"/>
  <c r="M878" i="6"/>
  <c r="M879" i="6"/>
  <c r="M880" i="6"/>
  <c r="M881" i="6"/>
  <c r="M882" i="6"/>
  <c r="M883" i="6"/>
  <c r="M884" i="6"/>
  <c r="M885" i="6"/>
  <c r="M886" i="6"/>
  <c r="M887" i="6"/>
  <c r="M888" i="6"/>
  <c r="M889" i="6"/>
  <c r="M890" i="6"/>
  <c r="M891" i="6"/>
  <c r="M892" i="6"/>
  <c r="M893" i="6"/>
  <c r="M894" i="6"/>
  <c r="M895" i="6"/>
  <c r="M896" i="6"/>
  <c r="M897" i="6"/>
  <c r="M898" i="6"/>
  <c r="M899" i="6"/>
  <c r="M900" i="6"/>
  <c r="M901" i="6"/>
  <c r="M902" i="6"/>
  <c r="M903" i="6"/>
  <c r="M904" i="6"/>
  <c r="M905" i="6"/>
  <c r="M906" i="6"/>
  <c r="M907" i="6"/>
  <c r="M908" i="6"/>
  <c r="M909" i="6"/>
  <c r="M910" i="6"/>
  <c r="M911" i="6"/>
  <c r="M912" i="6"/>
  <c r="M913" i="6"/>
  <c r="M914" i="6"/>
  <c r="M915" i="6"/>
  <c r="M916" i="6"/>
  <c r="M917" i="6"/>
  <c r="M918" i="6"/>
  <c r="M919" i="6"/>
  <c r="M920" i="6"/>
  <c r="M921" i="6"/>
  <c r="M922" i="6"/>
  <c r="M923" i="6"/>
  <c r="M924" i="6"/>
  <c r="M925" i="6"/>
  <c r="M926" i="6"/>
  <c r="M927" i="6"/>
  <c r="M928" i="6"/>
  <c r="M929" i="6"/>
  <c r="M930" i="6"/>
  <c r="M931" i="6"/>
  <c r="M932" i="6"/>
  <c r="M933" i="6"/>
  <c r="M934" i="6"/>
  <c r="M935" i="6"/>
  <c r="M936" i="6"/>
  <c r="M937" i="6"/>
  <c r="M938" i="6"/>
  <c r="M939" i="6"/>
  <c r="M940" i="6"/>
  <c r="M941" i="6"/>
  <c r="M942" i="6"/>
  <c r="M943" i="6"/>
  <c r="M944" i="6"/>
  <c r="M945" i="6"/>
  <c r="M946" i="6"/>
  <c r="M947" i="6"/>
  <c r="M948" i="6"/>
  <c r="M949" i="6"/>
  <c r="M950" i="6"/>
  <c r="M951" i="6"/>
  <c r="M952" i="6"/>
  <c r="M953" i="6"/>
  <c r="M954" i="6"/>
  <c r="M955" i="6"/>
  <c r="M956" i="6"/>
  <c r="M957" i="6"/>
  <c r="M958" i="6"/>
  <c r="M959" i="6"/>
  <c r="M960" i="6"/>
  <c r="M961" i="6"/>
  <c r="M962" i="6"/>
  <c r="M963" i="6"/>
  <c r="M964" i="6"/>
  <c r="M965" i="6"/>
  <c r="M966" i="6"/>
  <c r="M967" i="6"/>
  <c r="M968" i="6"/>
  <c r="M969" i="6"/>
  <c r="M970" i="6"/>
  <c r="M971" i="6"/>
  <c r="M972" i="6"/>
  <c r="M973" i="6"/>
  <c r="M974" i="6"/>
  <c r="M975" i="6"/>
  <c r="M976" i="6"/>
  <c r="M977" i="6"/>
  <c r="M978" i="6"/>
  <c r="M979" i="6"/>
  <c r="M980" i="6"/>
  <c r="M981" i="6"/>
  <c r="M982" i="6"/>
  <c r="M983" i="6"/>
  <c r="M984" i="6"/>
  <c r="M985" i="6"/>
  <c r="M986" i="6"/>
  <c r="M987" i="6"/>
  <c r="M988" i="6"/>
  <c r="M989" i="6"/>
  <c r="M990" i="6"/>
  <c r="M991" i="6"/>
  <c r="M992" i="6"/>
  <c r="M993" i="6"/>
  <c r="M994" i="6"/>
  <c r="M995" i="6"/>
  <c r="M996" i="6"/>
  <c r="M997" i="6"/>
  <c r="M998" i="6"/>
  <c r="M999" i="6"/>
  <c r="M1000" i="6"/>
  <c r="M1001" i="6"/>
  <c r="L2"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L502" i="6"/>
  <c r="L503" i="6"/>
  <c r="L504" i="6"/>
  <c r="L505" i="6"/>
  <c r="L506" i="6"/>
  <c r="L507" i="6"/>
  <c r="L508" i="6"/>
  <c r="L509" i="6"/>
  <c r="L510" i="6"/>
  <c r="L511" i="6"/>
  <c r="L512" i="6"/>
  <c r="L513" i="6"/>
  <c r="L514" i="6"/>
  <c r="L515" i="6"/>
  <c r="L516" i="6"/>
  <c r="L517" i="6"/>
  <c r="L518" i="6"/>
  <c r="L519" i="6"/>
  <c r="L520" i="6"/>
  <c r="L521" i="6"/>
  <c r="L522" i="6"/>
  <c r="L523" i="6"/>
  <c r="L524" i="6"/>
  <c r="L525" i="6"/>
  <c r="L526" i="6"/>
  <c r="L527" i="6"/>
  <c r="L528" i="6"/>
  <c r="L529" i="6"/>
  <c r="L530" i="6"/>
  <c r="L531" i="6"/>
  <c r="L532" i="6"/>
  <c r="L533" i="6"/>
  <c r="L534" i="6"/>
  <c r="L535" i="6"/>
  <c r="L536" i="6"/>
  <c r="L537" i="6"/>
  <c r="L538" i="6"/>
  <c r="L539" i="6"/>
  <c r="L540" i="6"/>
  <c r="L541" i="6"/>
  <c r="L542" i="6"/>
  <c r="L543" i="6"/>
  <c r="L544" i="6"/>
  <c r="L545" i="6"/>
  <c r="L546" i="6"/>
  <c r="L547" i="6"/>
  <c r="L548" i="6"/>
  <c r="L549" i="6"/>
  <c r="L550" i="6"/>
  <c r="L551" i="6"/>
  <c r="L552" i="6"/>
  <c r="L553" i="6"/>
  <c r="L554" i="6"/>
  <c r="L555" i="6"/>
  <c r="L556" i="6"/>
  <c r="L557" i="6"/>
  <c r="L558" i="6"/>
  <c r="L559" i="6"/>
  <c r="L560" i="6"/>
  <c r="L561" i="6"/>
  <c r="L562" i="6"/>
  <c r="L563" i="6"/>
  <c r="L564" i="6"/>
  <c r="L565" i="6"/>
  <c r="L566" i="6"/>
  <c r="L567" i="6"/>
  <c r="L568" i="6"/>
  <c r="L569" i="6"/>
  <c r="L570" i="6"/>
  <c r="L571" i="6"/>
  <c r="L572" i="6"/>
  <c r="L573" i="6"/>
  <c r="L574" i="6"/>
  <c r="L575" i="6"/>
  <c r="L576" i="6"/>
  <c r="L577" i="6"/>
  <c r="L578" i="6"/>
  <c r="L579" i="6"/>
  <c r="L580" i="6"/>
  <c r="L581" i="6"/>
  <c r="L582" i="6"/>
  <c r="L583" i="6"/>
  <c r="L584" i="6"/>
  <c r="L585" i="6"/>
  <c r="L586" i="6"/>
  <c r="L587" i="6"/>
  <c r="L588" i="6"/>
  <c r="L589" i="6"/>
  <c r="L590" i="6"/>
  <c r="L591" i="6"/>
  <c r="L592" i="6"/>
  <c r="L593" i="6"/>
  <c r="L594" i="6"/>
  <c r="L595" i="6"/>
  <c r="L596" i="6"/>
  <c r="L597" i="6"/>
  <c r="L598" i="6"/>
  <c r="L599" i="6"/>
  <c r="L600" i="6"/>
  <c r="L601" i="6"/>
  <c r="L602" i="6"/>
  <c r="L603" i="6"/>
  <c r="L604" i="6"/>
  <c r="L605" i="6"/>
  <c r="L606" i="6"/>
  <c r="L607" i="6"/>
  <c r="L608" i="6"/>
  <c r="L609" i="6"/>
  <c r="L610" i="6"/>
  <c r="L611" i="6"/>
  <c r="L612" i="6"/>
  <c r="L613" i="6"/>
  <c r="L614" i="6"/>
  <c r="L615" i="6"/>
  <c r="L616" i="6"/>
  <c r="L617" i="6"/>
  <c r="L618" i="6"/>
  <c r="L619" i="6"/>
  <c r="L620" i="6"/>
  <c r="L621" i="6"/>
  <c r="L622" i="6"/>
  <c r="L623" i="6"/>
  <c r="L624" i="6"/>
  <c r="L625" i="6"/>
  <c r="L626" i="6"/>
  <c r="L627" i="6"/>
  <c r="L628" i="6"/>
  <c r="L629" i="6"/>
  <c r="L630" i="6"/>
  <c r="L631" i="6"/>
  <c r="L632" i="6"/>
  <c r="L633" i="6"/>
  <c r="L634" i="6"/>
  <c r="L635" i="6"/>
  <c r="L636" i="6"/>
  <c r="L637" i="6"/>
  <c r="L638" i="6"/>
  <c r="L639" i="6"/>
  <c r="L640" i="6"/>
  <c r="L641" i="6"/>
  <c r="L642" i="6"/>
  <c r="L643" i="6"/>
  <c r="L644" i="6"/>
  <c r="L645" i="6"/>
  <c r="L646" i="6"/>
  <c r="L647" i="6"/>
  <c r="L648" i="6"/>
  <c r="L649" i="6"/>
  <c r="L650" i="6"/>
  <c r="L651" i="6"/>
  <c r="L652" i="6"/>
  <c r="L653" i="6"/>
  <c r="L654" i="6"/>
  <c r="L655" i="6"/>
  <c r="L656" i="6"/>
  <c r="L657" i="6"/>
  <c r="L658" i="6"/>
  <c r="L659" i="6"/>
  <c r="L660" i="6"/>
  <c r="L661" i="6"/>
  <c r="L662" i="6"/>
  <c r="L663" i="6"/>
  <c r="L664" i="6"/>
  <c r="L665" i="6"/>
  <c r="L666" i="6"/>
  <c r="L667" i="6"/>
  <c r="L668" i="6"/>
  <c r="L669" i="6"/>
  <c r="L670" i="6"/>
  <c r="L671" i="6"/>
  <c r="L672" i="6"/>
  <c r="L673" i="6"/>
  <c r="L674" i="6"/>
  <c r="L675" i="6"/>
  <c r="L676" i="6"/>
  <c r="L677" i="6"/>
  <c r="L678" i="6"/>
  <c r="L679" i="6"/>
  <c r="L680" i="6"/>
  <c r="L681" i="6"/>
  <c r="L682" i="6"/>
  <c r="L683" i="6"/>
  <c r="L684" i="6"/>
  <c r="L685" i="6"/>
  <c r="L686" i="6"/>
  <c r="L687" i="6"/>
  <c r="L688" i="6"/>
  <c r="L689" i="6"/>
  <c r="L690" i="6"/>
  <c r="L691" i="6"/>
  <c r="L692" i="6"/>
  <c r="L693" i="6"/>
  <c r="L694" i="6"/>
  <c r="L695" i="6"/>
  <c r="L696" i="6"/>
  <c r="L697" i="6"/>
  <c r="L698" i="6"/>
  <c r="L699" i="6"/>
  <c r="L700" i="6"/>
  <c r="L701" i="6"/>
  <c r="L702" i="6"/>
  <c r="L703" i="6"/>
  <c r="L704" i="6"/>
  <c r="L705" i="6"/>
  <c r="L706" i="6"/>
  <c r="L707" i="6"/>
  <c r="L708" i="6"/>
  <c r="L709" i="6"/>
  <c r="L710" i="6"/>
  <c r="L711" i="6"/>
  <c r="L712" i="6"/>
  <c r="L713" i="6"/>
  <c r="L714" i="6"/>
  <c r="L715" i="6"/>
  <c r="L716" i="6"/>
  <c r="L717" i="6"/>
  <c r="L718" i="6"/>
  <c r="L719" i="6"/>
  <c r="L720" i="6"/>
  <c r="L721" i="6"/>
  <c r="L722" i="6"/>
  <c r="L723" i="6"/>
  <c r="L724" i="6"/>
  <c r="L725" i="6"/>
  <c r="L726" i="6"/>
  <c r="L727" i="6"/>
  <c r="L728" i="6"/>
  <c r="L729" i="6"/>
  <c r="L730" i="6"/>
  <c r="L731" i="6"/>
  <c r="L732" i="6"/>
  <c r="L733" i="6"/>
  <c r="L734" i="6"/>
  <c r="L735" i="6"/>
  <c r="L736" i="6"/>
  <c r="L737" i="6"/>
  <c r="L738" i="6"/>
  <c r="L739" i="6"/>
  <c r="L740" i="6"/>
  <c r="L741" i="6"/>
  <c r="L742" i="6"/>
  <c r="L743" i="6"/>
  <c r="L744" i="6"/>
  <c r="L745" i="6"/>
  <c r="L746" i="6"/>
  <c r="L747" i="6"/>
  <c r="L748" i="6"/>
  <c r="L749" i="6"/>
  <c r="L750" i="6"/>
  <c r="L751" i="6"/>
  <c r="L752" i="6"/>
  <c r="L753" i="6"/>
  <c r="L754" i="6"/>
  <c r="L755" i="6"/>
  <c r="L756" i="6"/>
  <c r="L757" i="6"/>
  <c r="L758" i="6"/>
  <c r="L759" i="6"/>
  <c r="L760" i="6"/>
  <c r="L761" i="6"/>
  <c r="L762" i="6"/>
  <c r="L763" i="6"/>
  <c r="L764" i="6"/>
  <c r="L765" i="6"/>
  <c r="L766" i="6"/>
  <c r="L767" i="6"/>
  <c r="L768" i="6"/>
  <c r="L769" i="6"/>
  <c r="L770" i="6"/>
  <c r="L771" i="6"/>
  <c r="L772" i="6"/>
  <c r="L773" i="6"/>
  <c r="L774" i="6"/>
  <c r="L775" i="6"/>
  <c r="L776" i="6"/>
  <c r="L777" i="6"/>
  <c r="L778" i="6"/>
  <c r="L779" i="6"/>
  <c r="L780" i="6"/>
  <c r="L781" i="6"/>
  <c r="L782" i="6"/>
  <c r="L783" i="6"/>
  <c r="L784" i="6"/>
  <c r="L785" i="6"/>
  <c r="L786" i="6"/>
  <c r="L787" i="6"/>
  <c r="L788" i="6"/>
  <c r="L789" i="6"/>
  <c r="L790" i="6"/>
  <c r="L791" i="6"/>
  <c r="L792" i="6"/>
  <c r="L793" i="6"/>
  <c r="L794" i="6"/>
  <c r="L795" i="6"/>
  <c r="L796" i="6"/>
  <c r="L797" i="6"/>
  <c r="L798" i="6"/>
  <c r="L799" i="6"/>
  <c r="L800" i="6"/>
  <c r="L801" i="6"/>
  <c r="L802" i="6"/>
  <c r="L803" i="6"/>
  <c r="L804" i="6"/>
  <c r="L805" i="6"/>
  <c r="L806" i="6"/>
  <c r="L807" i="6"/>
  <c r="L808" i="6"/>
  <c r="L809" i="6"/>
  <c r="L810" i="6"/>
  <c r="L811" i="6"/>
  <c r="L812" i="6"/>
  <c r="L813" i="6"/>
  <c r="L814" i="6"/>
  <c r="L815" i="6"/>
  <c r="L816" i="6"/>
  <c r="L817" i="6"/>
  <c r="L818" i="6"/>
  <c r="L819" i="6"/>
  <c r="L820" i="6"/>
  <c r="L821" i="6"/>
  <c r="L822" i="6"/>
  <c r="L823" i="6"/>
  <c r="L824" i="6"/>
  <c r="L825" i="6"/>
  <c r="L826" i="6"/>
  <c r="L827" i="6"/>
  <c r="L828" i="6"/>
  <c r="L829" i="6"/>
  <c r="L830" i="6"/>
  <c r="L831" i="6"/>
  <c r="L832" i="6"/>
  <c r="L833" i="6"/>
  <c r="L834" i="6"/>
  <c r="L835" i="6"/>
  <c r="L836" i="6"/>
  <c r="L837" i="6"/>
  <c r="L838" i="6"/>
  <c r="L839" i="6"/>
  <c r="L840" i="6"/>
  <c r="L841" i="6"/>
  <c r="L842" i="6"/>
  <c r="L843" i="6"/>
  <c r="L844" i="6"/>
  <c r="L845" i="6"/>
  <c r="L846" i="6"/>
  <c r="L847" i="6"/>
  <c r="L848" i="6"/>
  <c r="L849" i="6"/>
  <c r="L850" i="6"/>
  <c r="L851" i="6"/>
  <c r="L852" i="6"/>
  <c r="L853" i="6"/>
  <c r="L854" i="6"/>
  <c r="L855" i="6"/>
  <c r="L856" i="6"/>
  <c r="L857" i="6"/>
  <c r="L858" i="6"/>
  <c r="L859" i="6"/>
  <c r="L860" i="6"/>
  <c r="L861" i="6"/>
  <c r="L862" i="6"/>
  <c r="L863" i="6"/>
  <c r="L864" i="6"/>
  <c r="L865" i="6"/>
  <c r="L866" i="6"/>
  <c r="L867" i="6"/>
  <c r="L868" i="6"/>
  <c r="L869" i="6"/>
  <c r="L870" i="6"/>
  <c r="L871" i="6"/>
  <c r="L872" i="6"/>
  <c r="L873" i="6"/>
  <c r="L874" i="6"/>
  <c r="L875" i="6"/>
  <c r="L876" i="6"/>
  <c r="L877" i="6"/>
  <c r="L878" i="6"/>
  <c r="L879" i="6"/>
  <c r="L880" i="6"/>
  <c r="L881" i="6"/>
  <c r="L882" i="6"/>
  <c r="L883" i="6"/>
  <c r="L884" i="6"/>
  <c r="L885" i="6"/>
  <c r="L886" i="6"/>
  <c r="L887" i="6"/>
  <c r="L888" i="6"/>
  <c r="L889" i="6"/>
  <c r="L890" i="6"/>
  <c r="L891" i="6"/>
  <c r="L892" i="6"/>
  <c r="L893" i="6"/>
  <c r="L894" i="6"/>
  <c r="L895" i="6"/>
  <c r="L896" i="6"/>
  <c r="L897" i="6"/>
  <c r="L898" i="6"/>
  <c r="L899" i="6"/>
  <c r="L900" i="6"/>
  <c r="L901" i="6"/>
  <c r="L902" i="6"/>
  <c r="L903" i="6"/>
  <c r="L904" i="6"/>
  <c r="L905" i="6"/>
  <c r="L906" i="6"/>
  <c r="L907" i="6"/>
  <c r="L908" i="6"/>
  <c r="L909" i="6"/>
  <c r="L910" i="6"/>
  <c r="L911" i="6"/>
  <c r="L912" i="6"/>
  <c r="L913" i="6"/>
  <c r="L914" i="6"/>
  <c r="L915" i="6"/>
  <c r="L916" i="6"/>
  <c r="L917" i="6"/>
  <c r="L918" i="6"/>
  <c r="L919" i="6"/>
  <c r="L920" i="6"/>
  <c r="L921" i="6"/>
  <c r="L922" i="6"/>
  <c r="L923" i="6"/>
  <c r="L924" i="6"/>
  <c r="L925" i="6"/>
  <c r="L926" i="6"/>
  <c r="L927" i="6"/>
  <c r="L928" i="6"/>
  <c r="L929" i="6"/>
  <c r="L930" i="6"/>
  <c r="L931" i="6"/>
  <c r="L932" i="6"/>
  <c r="L933" i="6"/>
  <c r="L934" i="6"/>
  <c r="L935" i="6"/>
  <c r="L936" i="6"/>
  <c r="L937" i="6"/>
  <c r="L938" i="6"/>
  <c r="L939" i="6"/>
  <c r="L940" i="6"/>
  <c r="L941" i="6"/>
  <c r="L942" i="6"/>
  <c r="L943" i="6"/>
  <c r="L944" i="6"/>
  <c r="L945" i="6"/>
  <c r="L946" i="6"/>
  <c r="L947" i="6"/>
  <c r="L948" i="6"/>
  <c r="L949" i="6"/>
  <c r="L950" i="6"/>
  <c r="L951" i="6"/>
  <c r="L952" i="6"/>
  <c r="L953" i="6"/>
  <c r="L954" i="6"/>
  <c r="L955" i="6"/>
  <c r="L956" i="6"/>
  <c r="L957" i="6"/>
  <c r="L958" i="6"/>
  <c r="L959" i="6"/>
  <c r="L960" i="6"/>
  <c r="L961" i="6"/>
  <c r="L962" i="6"/>
  <c r="L963" i="6"/>
  <c r="L964" i="6"/>
  <c r="L965" i="6"/>
  <c r="L966" i="6"/>
  <c r="L967" i="6"/>
  <c r="L968" i="6"/>
  <c r="L969" i="6"/>
  <c r="L970" i="6"/>
  <c r="L971" i="6"/>
  <c r="L972" i="6"/>
  <c r="L973" i="6"/>
  <c r="L974" i="6"/>
  <c r="L975" i="6"/>
  <c r="L976" i="6"/>
  <c r="L977" i="6"/>
  <c r="L978" i="6"/>
  <c r="L979" i="6"/>
  <c r="L980" i="6"/>
  <c r="L981" i="6"/>
  <c r="L982" i="6"/>
  <c r="L983" i="6"/>
  <c r="L984" i="6"/>
  <c r="L985" i="6"/>
  <c r="L986" i="6"/>
  <c r="L987" i="6"/>
  <c r="L988" i="6"/>
  <c r="L989" i="6"/>
  <c r="L990" i="6"/>
  <c r="L991" i="6"/>
  <c r="L992" i="6"/>
  <c r="L993" i="6"/>
  <c r="L994" i="6"/>
  <c r="L995" i="6"/>
  <c r="L996" i="6"/>
  <c r="L997" i="6"/>
  <c r="L998" i="6"/>
  <c r="L999" i="6"/>
  <c r="L1000" i="6"/>
  <c r="L1001" i="6"/>
  <c r="K2" i="6"/>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K301" i="6"/>
  <c r="K302" i="6"/>
  <c r="K303" i="6"/>
  <c r="K304" i="6"/>
  <c r="K305" i="6"/>
  <c r="K306" i="6"/>
  <c r="K307" i="6"/>
  <c r="K308" i="6"/>
  <c r="K309" i="6"/>
  <c r="K310" i="6"/>
  <c r="K311" i="6"/>
  <c r="K312" i="6"/>
  <c r="K313" i="6"/>
  <c r="K314" i="6"/>
  <c r="K315" i="6"/>
  <c r="K316" i="6"/>
  <c r="K317" i="6"/>
  <c r="K318" i="6"/>
  <c r="K319" i="6"/>
  <c r="K320" i="6"/>
  <c r="K321" i="6"/>
  <c r="K322" i="6"/>
  <c r="K323" i="6"/>
  <c r="K324" i="6"/>
  <c r="K325" i="6"/>
  <c r="K326" i="6"/>
  <c r="K327" i="6"/>
  <c r="K328" i="6"/>
  <c r="K329" i="6"/>
  <c r="K330" i="6"/>
  <c r="K331" i="6"/>
  <c r="K332"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76" i="6"/>
  <c r="K377" i="6"/>
  <c r="K378" i="6"/>
  <c r="K379" i="6"/>
  <c r="K380" i="6"/>
  <c r="K381" i="6"/>
  <c r="K382" i="6"/>
  <c r="K383" i="6"/>
  <c r="K384" i="6"/>
  <c r="K385" i="6"/>
  <c r="K386" i="6"/>
  <c r="K387" i="6"/>
  <c r="K388" i="6"/>
  <c r="K389" i="6"/>
  <c r="K390" i="6"/>
  <c r="K391" i="6"/>
  <c r="K392" i="6"/>
  <c r="K393" i="6"/>
  <c r="K394" i="6"/>
  <c r="K395" i="6"/>
  <c r="K396" i="6"/>
  <c r="K397" i="6"/>
  <c r="K398" i="6"/>
  <c r="K399" i="6"/>
  <c r="K400" i="6"/>
  <c r="K401" i="6"/>
  <c r="K402" i="6"/>
  <c r="K403" i="6"/>
  <c r="K404" i="6"/>
  <c r="K405" i="6"/>
  <c r="K406" i="6"/>
  <c r="K407" i="6"/>
  <c r="K408" i="6"/>
  <c r="K409" i="6"/>
  <c r="K410"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K501" i="6"/>
  <c r="K502" i="6"/>
  <c r="K503" i="6"/>
  <c r="K504" i="6"/>
  <c r="K505" i="6"/>
  <c r="K506" i="6"/>
  <c r="K507" i="6"/>
  <c r="K508" i="6"/>
  <c r="K509" i="6"/>
  <c r="K510" i="6"/>
  <c r="K511" i="6"/>
  <c r="K512" i="6"/>
  <c r="K513" i="6"/>
  <c r="K514" i="6"/>
  <c r="K515" i="6"/>
  <c r="K516" i="6"/>
  <c r="K517" i="6"/>
  <c r="K518" i="6"/>
  <c r="K519" i="6"/>
  <c r="K520" i="6"/>
  <c r="K521" i="6"/>
  <c r="K522" i="6"/>
  <c r="K523" i="6"/>
  <c r="K524" i="6"/>
  <c r="K525" i="6"/>
  <c r="K526" i="6"/>
  <c r="K527" i="6"/>
  <c r="K528" i="6"/>
  <c r="K529" i="6"/>
  <c r="K530" i="6"/>
  <c r="K531" i="6"/>
  <c r="K532" i="6"/>
  <c r="K533" i="6"/>
  <c r="K534" i="6"/>
  <c r="K535" i="6"/>
  <c r="K536" i="6"/>
  <c r="K537" i="6"/>
  <c r="K538" i="6"/>
  <c r="K539" i="6"/>
  <c r="K540" i="6"/>
  <c r="K541" i="6"/>
  <c r="K542" i="6"/>
  <c r="K543" i="6"/>
  <c r="K544" i="6"/>
  <c r="K545" i="6"/>
  <c r="K546" i="6"/>
  <c r="K547" i="6"/>
  <c r="K548" i="6"/>
  <c r="K549" i="6"/>
  <c r="K550" i="6"/>
  <c r="K551" i="6"/>
  <c r="K552" i="6"/>
  <c r="K553" i="6"/>
  <c r="K554" i="6"/>
  <c r="K555" i="6"/>
  <c r="K556" i="6"/>
  <c r="K557" i="6"/>
  <c r="K558" i="6"/>
  <c r="K559" i="6"/>
  <c r="K560" i="6"/>
  <c r="K561" i="6"/>
  <c r="K562" i="6"/>
  <c r="K563" i="6"/>
  <c r="K564" i="6"/>
  <c r="K565" i="6"/>
  <c r="K566" i="6"/>
  <c r="K567" i="6"/>
  <c r="K568" i="6"/>
  <c r="K569" i="6"/>
  <c r="K570" i="6"/>
  <c r="K571" i="6"/>
  <c r="K572" i="6"/>
  <c r="K573" i="6"/>
  <c r="K574" i="6"/>
  <c r="K575" i="6"/>
  <c r="K576" i="6"/>
  <c r="K577" i="6"/>
  <c r="K578" i="6"/>
  <c r="K579" i="6"/>
  <c r="K580" i="6"/>
  <c r="K581" i="6"/>
  <c r="K582" i="6"/>
  <c r="K583" i="6"/>
  <c r="K584" i="6"/>
  <c r="K585" i="6"/>
  <c r="K586" i="6"/>
  <c r="K587" i="6"/>
  <c r="K588" i="6"/>
  <c r="K589" i="6"/>
  <c r="K590" i="6"/>
  <c r="K591" i="6"/>
  <c r="K592" i="6"/>
  <c r="K593" i="6"/>
  <c r="K594" i="6"/>
  <c r="K595" i="6"/>
  <c r="K596" i="6"/>
  <c r="K597" i="6"/>
  <c r="K598" i="6"/>
  <c r="K599" i="6"/>
  <c r="K600" i="6"/>
  <c r="K601" i="6"/>
  <c r="K602" i="6"/>
  <c r="K603" i="6"/>
  <c r="K604" i="6"/>
  <c r="K605" i="6"/>
  <c r="K606" i="6"/>
  <c r="K607" i="6"/>
  <c r="K608" i="6"/>
  <c r="K609" i="6"/>
  <c r="K610" i="6"/>
  <c r="K611" i="6"/>
  <c r="K612" i="6"/>
  <c r="K613" i="6"/>
  <c r="K614" i="6"/>
  <c r="K615" i="6"/>
  <c r="K616" i="6"/>
  <c r="K617" i="6"/>
  <c r="K618" i="6"/>
  <c r="K619" i="6"/>
  <c r="K620" i="6"/>
  <c r="K621" i="6"/>
  <c r="K622" i="6"/>
  <c r="K623" i="6"/>
  <c r="K624" i="6"/>
  <c r="K625" i="6"/>
  <c r="K626" i="6"/>
  <c r="K627" i="6"/>
  <c r="K628" i="6"/>
  <c r="K629" i="6"/>
  <c r="K630" i="6"/>
  <c r="K631" i="6"/>
  <c r="K632" i="6"/>
  <c r="K633" i="6"/>
  <c r="K634" i="6"/>
  <c r="K635" i="6"/>
  <c r="K636" i="6"/>
  <c r="K637" i="6"/>
  <c r="K638" i="6"/>
  <c r="K639" i="6"/>
  <c r="K640" i="6"/>
  <c r="K641" i="6"/>
  <c r="K642" i="6"/>
  <c r="K643" i="6"/>
  <c r="K644" i="6"/>
  <c r="K645" i="6"/>
  <c r="K646" i="6"/>
  <c r="K647" i="6"/>
  <c r="K648" i="6"/>
  <c r="K649" i="6"/>
  <c r="K650" i="6"/>
  <c r="K651" i="6"/>
  <c r="K652" i="6"/>
  <c r="K653" i="6"/>
  <c r="K654" i="6"/>
  <c r="K655" i="6"/>
  <c r="K656" i="6"/>
  <c r="K657" i="6"/>
  <c r="K658" i="6"/>
  <c r="K659" i="6"/>
  <c r="K660" i="6"/>
  <c r="K661" i="6"/>
  <c r="K662" i="6"/>
  <c r="K663" i="6"/>
  <c r="K664" i="6"/>
  <c r="K665" i="6"/>
  <c r="K666" i="6"/>
  <c r="K667" i="6"/>
  <c r="K668" i="6"/>
  <c r="K669" i="6"/>
  <c r="K670" i="6"/>
  <c r="K671" i="6"/>
  <c r="K672" i="6"/>
  <c r="K673" i="6"/>
  <c r="K674" i="6"/>
  <c r="K675" i="6"/>
  <c r="K676" i="6"/>
  <c r="K677" i="6"/>
  <c r="K678" i="6"/>
  <c r="K679" i="6"/>
  <c r="K680" i="6"/>
  <c r="K681" i="6"/>
  <c r="K682" i="6"/>
  <c r="K683" i="6"/>
  <c r="K684" i="6"/>
  <c r="K685" i="6"/>
  <c r="K686" i="6"/>
  <c r="K687" i="6"/>
  <c r="K688" i="6"/>
  <c r="K689" i="6"/>
  <c r="K690" i="6"/>
  <c r="K691" i="6"/>
  <c r="K692" i="6"/>
  <c r="K693" i="6"/>
  <c r="K694" i="6"/>
  <c r="K695" i="6"/>
  <c r="K696" i="6"/>
  <c r="K697" i="6"/>
  <c r="K698" i="6"/>
  <c r="K699" i="6"/>
  <c r="K700" i="6"/>
  <c r="K701" i="6"/>
  <c r="K702" i="6"/>
  <c r="K703" i="6"/>
  <c r="K704" i="6"/>
  <c r="K705" i="6"/>
  <c r="K706" i="6"/>
  <c r="K707" i="6"/>
  <c r="K708" i="6"/>
  <c r="K709" i="6"/>
  <c r="K710" i="6"/>
  <c r="K711" i="6"/>
  <c r="K712" i="6"/>
  <c r="K713" i="6"/>
  <c r="K714" i="6"/>
  <c r="K715" i="6"/>
  <c r="K716" i="6"/>
  <c r="K717" i="6"/>
  <c r="K718" i="6"/>
  <c r="K719" i="6"/>
  <c r="K720" i="6"/>
  <c r="K721" i="6"/>
  <c r="K722" i="6"/>
  <c r="K723" i="6"/>
  <c r="K724" i="6"/>
  <c r="K725" i="6"/>
  <c r="K726" i="6"/>
  <c r="K727" i="6"/>
  <c r="K728" i="6"/>
  <c r="K729" i="6"/>
  <c r="K730" i="6"/>
  <c r="K731" i="6"/>
  <c r="K732" i="6"/>
  <c r="K733" i="6"/>
  <c r="K734" i="6"/>
  <c r="K735" i="6"/>
  <c r="K736" i="6"/>
  <c r="K737" i="6"/>
  <c r="K738" i="6"/>
  <c r="K739" i="6"/>
  <c r="K740" i="6"/>
  <c r="K741" i="6"/>
  <c r="K742" i="6"/>
  <c r="K743" i="6"/>
  <c r="K744" i="6"/>
  <c r="K745" i="6"/>
  <c r="K746" i="6"/>
  <c r="K747" i="6"/>
  <c r="K748" i="6"/>
  <c r="K749" i="6"/>
  <c r="K750" i="6"/>
  <c r="K751" i="6"/>
  <c r="K752" i="6"/>
  <c r="K753" i="6"/>
  <c r="K754" i="6"/>
  <c r="K755" i="6"/>
  <c r="K756" i="6"/>
  <c r="K757" i="6"/>
  <c r="K758" i="6"/>
  <c r="K759" i="6"/>
  <c r="K760" i="6"/>
  <c r="K761" i="6"/>
  <c r="K762" i="6"/>
  <c r="K763" i="6"/>
  <c r="K764" i="6"/>
  <c r="K765" i="6"/>
  <c r="K766" i="6"/>
  <c r="K767" i="6"/>
  <c r="K768" i="6"/>
  <c r="K769" i="6"/>
  <c r="K770" i="6"/>
  <c r="K771" i="6"/>
  <c r="K772" i="6"/>
  <c r="K773" i="6"/>
  <c r="K774" i="6"/>
  <c r="K775" i="6"/>
  <c r="K776" i="6"/>
  <c r="K777" i="6"/>
  <c r="K778" i="6"/>
  <c r="K779" i="6"/>
  <c r="K780" i="6"/>
  <c r="K781" i="6"/>
  <c r="K782" i="6"/>
  <c r="K783" i="6"/>
  <c r="K784" i="6"/>
  <c r="K785" i="6"/>
  <c r="K786" i="6"/>
  <c r="K787" i="6"/>
  <c r="K788" i="6"/>
  <c r="K789" i="6"/>
  <c r="K790" i="6"/>
  <c r="K791" i="6"/>
  <c r="K792" i="6"/>
  <c r="K793" i="6"/>
  <c r="K794" i="6"/>
  <c r="K795" i="6"/>
  <c r="K796" i="6"/>
  <c r="K797" i="6"/>
  <c r="K798" i="6"/>
  <c r="K799" i="6"/>
  <c r="K800" i="6"/>
  <c r="K801" i="6"/>
  <c r="K802" i="6"/>
  <c r="K803" i="6"/>
  <c r="K804" i="6"/>
  <c r="K805" i="6"/>
  <c r="K806" i="6"/>
  <c r="K807" i="6"/>
  <c r="K808" i="6"/>
  <c r="K809" i="6"/>
  <c r="K810" i="6"/>
  <c r="K811" i="6"/>
  <c r="K812" i="6"/>
  <c r="K813" i="6"/>
  <c r="K814" i="6"/>
  <c r="K815" i="6"/>
  <c r="K816" i="6"/>
  <c r="K817" i="6"/>
  <c r="K818" i="6"/>
  <c r="K819" i="6"/>
  <c r="K820" i="6"/>
  <c r="K821" i="6"/>
  <c r="K822" i="6"/>
  <c r="K823" i="6"/>
  <c r="K824" i="6"/>
  <c r="K825" i="6"/>
  <c r="K826" i="6"/>
  <c r="K827" i="6"/>
  <c r="K828" i="6"/>
  <c r="K829" i="6"/>
  <c r="K830" i="6"/>
  <c r="K831" i="6"/>
  <c r="K832" i="6"/>
  <c r="K833" i="6"/>
  <c r="K834" i="6"/>
  <c r="K835" i="6"/>
  <c r="K836" i="6"/>
  <c r="K837" i="6"/>
  <c r="K838" i="6"/>
  <c r="K839" i="6"/>
  <c r="K840" i="6"/>
  <c r="K841" i="6"/>
  <c r="K842" i="6"/>
  <c r="K843" i="6"/>
  <c r="K844" i="6"/>
  <c r="K845" i="6"/>
  <c r="K846" i="6"/>
  <c r="K847" i="6"/>
  <c r="K848" i="6"/>
  <c r="K849" i="6"/>
  <c r="K850" i="6"/>
  <c r="K851" i="6"/>
  <c r="K852" i="6"/>
  <c r="K853" i="6"/>
  <c r="K854" i="6"/>
  <c r="K855" i="6"/>
  <c r="K856" i="6"/>
  <c r="K857" i="6"/>
  <c r="K858" i="6"/>
  <c r="K859" i="6"/>
  <c r="K860" i="6"/>
  <c r="K861" i="6"/>
  <c r="K862" i="6"/>
  <c r="K863" i="6"/>
  <c r="K864" i="6"/>
  <c r="K865" i="6"/>
  <c r="K866" i="6"/>
  <c r="K867" i="6"/>
  <c r="K868" i="6"/>
  <c r="K869" i="6"/>
  <c r="K870" i="6"/>
  <c r="K871" i="6"/>
  <c r="K872" i="6"/>
  <c r="K873" i="6"/>
  <c r="K874" i="6"/>
  <c r="K875" i="6"/>
  <c r="K876" i="6"/>
  <c r="K877" i="6"/>
  <c r="K878" i="6"/>
  <c r="K879" i="6"/>
  <c r="K880" i="6"/>
  <c r="K881" i="6"/>
  <c r="K882" i="6"/>
  <c r="K883" i="6"/>
  <c r="K884" i="6"/>
  <c r="K885" i="6"/>
  <c r="K886" i="6"/>
  <c r="K887" i="6"/>
  <c r="K888" i="6"/>
  <c r="K889" i="6"/>
  <c r="K890" i="6"/>
  <c r="K891" i="6"/>
  <c r="K892" i="6"/>
  <c r="K893" i="6"/>
  <c r="K894" i="6"/>
  <c r="K895" i="6"/>
  <c r="K896" i="6"/>
  <c r="K897" i="6"/>
  <c r="K898" i="6"/>
  <c r="K899" i="6"/>
  <c r="K900" i="6"/>
  <c r="K901" i="6"/>
  <c r="K902" i="6"/>
  <c r="K903" i="6"/>
  <c r="K904" i="6"/>
  <c r="K905" i="6"/>
  <c r="K906" i="6"/>
  <c r="K907" i="6"/>
  <c r="K908" i="6"/>
  <c r="K909" i="6"/>
  <c r="K910" i="6"/>
  <c r="K911" i="6"/>
  <c r="K912" i="6"/>
  <c r="K913" i="6"/>
  <c r="K914" i="6"/>
  <c r="K915" i="6"/>
  <c r="K916" i="6"/>
  <c r="K917" i="6"/>
  <c r="K918" i="6"/>
  <c r="K919" i="6"/>
  <c r="K920" i="6"/>
  <c r="K921" i="6"/>
  <c r="K922" i="6"/>
  <c r="K923" i="6"/>
  <c r="K924" i="6"/>
  <c r="K925" i="6"/>
  <c r="K926" i="6"/>
  <c r="K927" i="6"/>
  <c r="K928" i="6"/>
  <c r="K929" i="6"/>
  <c r="K930" i="6"/>
  <c r="K931" i="6"/>
  <c r="K932" i="6"/>
  <c r="K933" i="6"/>
  <c r="K934" i="6"/>
  <c r="K935" i="6"/>
  <c r="K936" i="6"/>
  <c r="K937" i="6"/>
  <c r="K938" i="6"/>
  <c r="K939" i="6"/>
  <c r="K940" i="6"/>
  <c r="K941" i="6"/>
  <c r="K942" i="6"/>
  <c r="K943" i="6"/>
  <c r="K944" i="6"/>
  <c r="K945" i="6"/>
  <c r="K946" i="6"/>
  <c r="K947" i="6"/>
  <c r="K948" i="6"/>
  <c r="K949" i="6"/>
  <c r="K950" i="6"/>
  <c r="K951" i="6"/>
  <c r="K952" i="6"/>
  <c r="K953" i="6"/>
  <c r="K954" i="6"/>
  <c r="K955" i="6"/>
  <c r="K956" i="6"/>
  <c r="K957" i="6"/>
  <c r="K958" i="6"/>
  <c r="K959" i="6"/>
  <c r="K960" i="6"/>
  <c r="K961" i="6"/>
  <c r="K962" i="6"/>
  <c r="K963" i="6"/>
  <c r="K964" i="6"/>
  <c r="K965" i="6"/>
  <c r="K966" i="6"/>
  <c r="K967" i="6"/>
  <c r="K968" i="6"/>
  <c r="K969" i="6"/>
  <c r="K970" i="6"/>
  <c r="K971" i="6"/>
  <c r="K972" i="6"/>
  <c r="K973" i="6"/>
  <c r="K974" i="6"/>
  <c r="K975" i="6"/>
  <c r="K976" i="6"/>
  <c r="K977" i="6"/>
  <c r="K978" i="6"/>
  <c r="K979" i="6"/>
  <c r="K980" i="6"/>
  <c r="K981" i="6"/>
  <c r="K982" i="6"/>
  <c r="K983" i="6"/>
  <c r="K984" i="6"/>
  <c r="K985" i="6"/>
  <c r="K986" i="6"/>
  <c r="K987" i="6"/>
  <c r="K988" i="6"/>
  <c r="K989" i="6"/>
  <c r="K990" i="6"/>
  <c r="K991" i="6"/>
  <c r="K992" i="6"/>
  <c r="K993" i="6"/>
  <c r="K994" i="6"/>
  <c r="K995" i="6"/>
  <c r="K996" i="6"/>
  <c r="K997" i="6"/>
  <c r="K998" i="6"/>
  <c r="K999" i="6"/>
  <c r="K1000" i="6"/>
  <c r="K1001" i="6"/>
  <c r="K2" i="5"/>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K850" i="5"/>
  <c r="K851" i="5"/>
  <c r="K852" i="5"/>
  <c r="K853" i="5"/>
  <c r="K854" i="5"/>
  <c r="K855" i="5"/>
  <c r="K856" i="5"/>
  <c r="K857" i="5"/>
  <c r="K858" i="5"/>
  <c r="K859" i="5"/>
  <c r="K860" i="5"/>
  <c r="K861" i="5"/>
  <c r="K862" i="5"/>
  <c r="K863" i="5"/>
  <c r="K864" i="5"/>
  <c r="K865" i="5"/>
  <c r="K866" i="5"/>
  <c r="K867" i="5"/>
  <c r="K868" i="5"/>
  <c r="K869" i="5"/>
  <c r="K870" i="5"/>
  <c r="K871" i="5"/>
  <c r="K872" i="5"/>
  <c r="K873" i="5"/>
  <c r="K874" i="5"/>
  <c r="K875" i="5"/>
  <c r="K876" i="5"/>
  <c r="K877" i="5"/>
  <c r="K878" i="5"/>
  <c r="K879" i="5"/>
  <c r="K880" i="5"/>
  <c r="K881" i="5"/>
  <c r="K882" i="5"/>
  <c r="K883" i="5"/>
  <c r="K884" i="5"/>
  <c r="K885" i="5"/>
  <c r="K886" i="5"/>
  <c r="K887" i="5"/>
  <c r="K888" i="5"/>
  <c r="K889" i="5"/>
  <c r="K890" i="5"/>
  <c r="K891" i="5"/>
  <c r="K892" i="5"/>
  <c r="K893" i="5"/>
  <c r="K894" i="5"/>
  <c r="K895" i="5"/>
  <c r="K896" i="5"/>
  <c r="K897" i="5"/>
  <c r="K898" i="5"/>
  <c r="K899" i="5"/>
  <c r="K900" i="5"/>
  <c r="K901" i="5"/>
  <c r="K902" i="5"/>
  <c r="K903" i="5"/>
  <c r="K904" i="5"/>
  <c r="K905" i="5"/>
  <c r="K906" i="5"/>
  <c r="K907" i="5"/>
  <c r="K908" i="5"/>
  <c r="K909" i="5"/>
  <c r="K910" i="5"/>
  <c r="K911" i="5"/>
  <c r="K912" i="5"/>
  <c r="K913" i="5"/>
  <c r="K914" i="5"/>
  <c r="K915" i="5"/>
  <c r="K916" i="5"/>
  <c r="K917" i="5"/>
  <c r="K918" i="5"/>
  <c r="K919" i="5"/>
  <c r="K920" i="5"/>
  <c r="K921" i="5"/>
  <c r="K922" i="5"/>
  <c r="K923" i="5"/>
  <c r="K924" i="5"/>
  <c r="K925" i="5"/>
  <c r="K926" i="5"/>
  <c r="K927" i="5"/>
  <c r="K928" i="5"/>
  <c r="K929" i="5"/>
  <c r="K930" i="5"/>
  <c r="K931" i="5"/>
  <c r="K932" i="5"/>
  <c r="K933" i="5"/>
  <c r="K934" i="5"/>
  <c r="K935" i="5"/>
  <c r="K936" i="5"/>
  <c r="K937" i="5"/>
  <c r="K938" i="5"/>
  <c r="K939" i="5"/>
  <c r="K940" i="5"/>
  <c r="K941" i="5"/>
  <c r="K942" i="5"/>
  <c r="K943" i="5"/>
  <c r="K944" i="5"/>
  <c r="K945" i="5"/>
  <c r="K946" i="5"/>
  <c r="K947" i="5"/>
  <c r="K948" i="5"/>
  <c r="K949" i="5"/>
  <c r="K950" i="5"/>
  <c r="K951" i="5"/>
  <c r="K952" i="5"/>
  <c r="K953" i="5"/>
  <c r="K954" i="5"/>
  <c r="K955" i="5"/>
  <c r="K956" i="5"/>
  <c r="K957" i="5"/>
  <c r="K958" i="5"/>
  <c r="K959" i="5"/>
  <c r="K960" i="5"/>
  <c r="K961" i="5"/>
  <c r="K962" i="5"/>
  <c r="K963" i="5"/>
  <c r="K964" i="5"/>
  <c r="K965" i="5"/>
  <c r="K966" i="5"/>
  <c r="K967" i="5"/>
  <c r="K968" i="5"/>
  <c r="K969" i="5"/>
  <c r="K970" i="5"/>
  <c r="K971" i="5"/>
  <c r="K972" i="5"/>
  <c r="K973" i="5"/>
  <c r="K974" i="5"/>
  <c r="K975" i="5"/>
  <c r="K976" i="5"/>
  <c r="K977" i="5"/>
  <c r="K978" i="5"/>
  <c r="K979" i="5"/>
  <c r="K980" i="5"/>
  <c r="K981" i="5"/>
  <c r="K982" i="5"/>
  <c r="K983" i="5"/>
  <c r="K984" i="5"/>
  <c r="K985" i="5"/>
  <c r="K986" i="5"/>
  <c r="K987" i="5"/>
  <c r="K988" i="5"/>
  <c r="K989" i="5"/>
  <c r="K990" i="5"/>
  <c r="K991" i="5"/>
  <c r="K992" i="5"/>
  <c r="K993" i="5"/>
  <c r="K994" i="5"/>
  <c r="K995" i="5"/>
  <c r="K996" i="5"/>
  <c r="K997" i="5"/>
  <c r="K998" i="5"/>
  <c r="K999" i="5"/>
  <c r="K1000" i="5"/>
  <c r="K1001" i="5"/>
  <c r="Y2" i="9"/>
  <c r="Y3" i="9"/>
  <c r="D22" i="10" l="1"/>
  <c r="Q31" i="6" a="1"/>
  <c r="Q31" i="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<sst xmlns="http://schemas.openxmlformats.org/spreadsheetml/2006/main" count="29306" uniqueCount="121">
  <si>
    <t>Name</t>
  </si>
  <si>
    <t>Age</t>
  </si>
  <si>
    <t>Salary</t>
  </si>
  <si>
    <t>Gender</t>
  </si>
  <si>
    <t>Department</t>
  </si>
  <si>
    <t>Position</t>
  </si>
  <si>
    <t>Joining Date</t>
  </si>
  <si>
    <t>Performance Score</t>
  </si>
  <si>
    <t>Email</t>
  </si>
  <si>
    <t>Phone Number</t>
  </si>
  <si>
    <t xml:space="preserve"> grace </t>
  </si>
  <si>
    <t>Male</t>
  </si>
  <si>
    <t>HR</t>
  </si>
  <si>
    <t>Manager</t>
  </si>
  <si>
    <t>D</t>
  </si>
  <si>
    <t>email@example.com</t>
  </si>
  <si>
    <t>nan</t>
  </si>
  <si>
    <t xml:space="preserve"> david </t>
  </si>
  <si>
    <t>Female</t>
  </si>
  <si>
    <t>Finance</t>
  </si>
  <si>
    <t>Director</t>
  </si>
  <si>
    <t>F</t>
  </si>
  <si>
    <t>user@domain.com</t>
  </si>
  <si>
    <t>123-456-7890</t>
  </si>
  <si>
    <t xml:space="preserve"> hannah </t>
  </si>
  <si>
    <t>SIXTY THOUSAND</t>
  </si>
  <si>
    <t>Sales</t>
  </si>
  <si>
    <t>C</t>
  </si>
  <si>
    <t>098-765-4321</t>
  </si>
  <si>
    <t xml:space="preserve"> eve </t>
  </si>
  <si>
    <t>IT</t>
  </si>
  <si>
    <t>A</t>
  </si>
  <si>
    <t>name@company.org</t>
  </si>
  <si>
    <t xml:space="preserve"> </t>
  </si>
  <si>
    <t xml:space="preserve"> NAN </t>
  </si>
  <si>
    <t xml:space="preserve"> jack </t>
  </si>
  <si>
    <t>Other</t>
  </si>
  <si>
    <t>Marketing</t>
  </si>
  <si>
    <t xml:space="preserve"> charlie </t>
  </si>
  <si>
    <t>Clerk</t>
  </si>
  <si>
    <t>2019.12.01</t>
  </si>
  <si>
    <t>B</t>
  </si>
  <si>
    <t>thirty</t>
  </si>
  <si>
    <t>Assistant</t>
  </si>
  <si>
    <t>Analyst</t>
  </si>
  <si>
    <t>555-555-5555</t>
  </si>
  <si>
    <t xml:space="preserve"> frank </t>
  </si>
  <si>
    <t xml:space="preserve"> bob </t>
  </si>
  <si>
    <t xml:space="preserve"> alice </t>
  </si>
  <si>
    <t xml:space="preserve"> ivy </t>
  </si>
  <si>
    <t>Column1</t>
  </si>
  <si>
    <t>Grace</t>
  </si>
  <si>
    <t>David</t>
  </si>
  <si>
    <t>Hannah</t>
  </si>
  <si>
    <t>Eve</t>
  </si>
  <si>
    <t>Jack</t>
  </si>
  <si>
    <t>Charlie</t>
  </si>
  <si>
    <t>Frank</t>
  </si>
  <si>
    <t>Bob</t>
  </si>
  <si>
    <t>Alice</t>
  </si>
  <si>
    <t>Ivy</t>
  </si>
  <si>
    <t>Text_Age</t>
  </si>
  <si>
    <t>Numeric_Age</t>
  </si>
  <si>
    <t>twenty</t>
  </si>
  <si>
    <t>twenty five</t>
  </si>
  <si>
    <t>thirty five</t>
  </si>
  <si>
    <t>forty</t>
  </si>
  <si>
    <t>fifty</t>
  </si>
  <si>
    <t/>
  </si>
  <si>
    <t>Missing</t>
  </si>
  <si>
    <t>Phone</t>
  </si>
  <si>
    <t>Age_Group</t>
  </si>
  <si>
    <t>Tenure_Years</t>
  </si>
  <si>
    <t>Salary_Band</t>
  </si>
  <si>
    <t>Hire_Year</t>
  </si>
  <si>
    <t>Field</t>
  </si>
  <si>
    <t>Value</t>
  </si>
  <si>
    <t>Search Employee</t>
  </si>
  <si>
    <t>Results</t>
  </si>
  <si>
    <t>Departament</t>
  </si>
  <si>
    <t>Row Labels</t>
  </si>
  <si>
    <t>Grand Total</t>
  </si>
  <si>
    <t>Count of Name</t>
  </si>
  <si>
    <t>Average of Salary</t>
  </si>
  <si>
    <t>Column Labels</t>
  </si>
  <si>
    <t>Total Count of Name</t>
  </si>
  <si>
    <t>Total Average of Salary</t>
  </si>
  <si>
    <t>total employee</t>
  </si>
  <si>
    <t>average salary</t>
  </si>
  <si>
    <t>average age</t>
  </si>
  <si>
    <t>Performance_Score_Num</t>
  </si>
  <si>
    <t>average performance</t>
  </si>
  <si>
    <t>Average of Age</t>
  </si>
  <si>
    <t>avg age</t>
  </si>
  <si>
    <r>
      <rPr>
        <b/>
        <sz val="16"/>
        <color theme="1"/>
        <rFont val="Calibri"/>
        <family val="2"/>
        <scheme val="minor"/>
      </rPr>
      <t>Salary Incrase % :</t>
    </r>
    <r>
      <rPr>
        <sz val="16"/>
        <color theme="1"/>
        <rFont val="Calibri"/>
        <family val="2"/>
        <scheme val="minor"/>
      </rPr>
      <t xml:space="preserve"> </t>
    </r>
  </si>
  <si>
    <t>Employee</t>
  </si>
  <si>
    <t>New Salary</t>
  </si>
  <si>
    <t>Jhon Doe</t>
  </si>
  <si>
    <t>Alice Smith</t>
  </si>
  <si>
    <t>Mark Johnson</t>
  </si>
  <si>
    <t>Laura Brown</t>
  </si>
  <si>
    <t>Mike Davis</t>
  </si>
  <si>
    <t>Average Salary Before:</t>
  </si>
  <si>
    <t>Average Salary After:</t>
  </si>
  <si>
    <t>Scenario 1:</t>
  </si>
  <si>
    <t>Scenario 2:</t>
  </si>
  <si>
    <t>Scenario 3:</t>
  </si>
  <si>
    <t>$D$8</t>
  </si>
  <si>
    <t>Increase 5%</t>
  </si>
  <si>
    <t>Created by Dana Bodea on 3/18/2026</t>
  </si>
  <si>
    <t>Increase 10%</t>
  </si>
  <si>
    <t>Increase 20%</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</si>
  <si>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</si>
  <si>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</si>
  <si>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</si>
  <si>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</si>
  <si>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</si>
  <si>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</si>
  <si>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</si>
  <si>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$D$22</t>
  </si>
  <si>
    <t>Goal Seak : Set Avg. Salary to 70000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</si>
</sst>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_);\(&quot;$&quot;#,##0\)"/>
    <numFmt numFmtId="44" formatCode="_(&quot;$&quot;* #,##0.00_);_(&quot;$&quot;* \(#,##0.00\);_(&quot;$&quot;* &quot;-&quot;??_);_(@_)"/>
    <numFmt numFmtId="164" formatCode="&quot;$&quot;#,##0.00"/>
    <numFmt numFmtId="165" formatCode="&quot;$&quot;#,##0"/>
    <numFmt numFmtId="166" formatCode="yyyy\-mm\-dd"/>
    <numFmt numFmtId="167" formatCode="0.0"/>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sz val="14"/>
      <color rgb="FF000000"/>
      <name val="Calibri"/>
      <family val="2"/>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00B0F0"/>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0">
    <xf numFmtId="0" fontId="0" fillId="0" borderId="0" xfId="0"/>
    <xf numFmtId="15" fontId="0" fillId="0" borderId="0" xfId="0" applyNumberFormat="1"/>
    <xf numFmtId="14" fontId="0" fillId="0" borderId="0" xfId="0" applyNumberFormat="1"/>
    <xf numFmtId="0" fontId="16" fillId="0" borderId="0" xfId="0" applyFont="1" applyAlignment="1">
      <alignment horizontal="center" vertical="center" wrapText="1"/>
    </xf>
    <xf numFmtId="0" fontId="0" fillId="0" borderId="0" xfId="0" applyAlignment="1">
      <alignment vertical="center" wrapText="1"/>
    </xf>
    <xf numFmtId="164" fontId="0" fillId="0" borderId="0" xfId="0" applyNumberFormat="1"/>
    <xf numFmtId="165" fontId="0" fillId="0" borderId="0" xfId="0" applyNumberFormat="1"/>
    <xf numFmtId="166" fontId="0" fillId="0" borderId="0" xfId="0" applyNumberFormat="1"/>
    <xf numFmtId="0" fontId="0" fillId="0" borderId="0" xfId="0" applyAlignment="1">
      <alignment wrapText="1"/>
    </xf>
    <xf numFmtId="0" fontId="0" fillId="33" borderId="0" xfId="0" applyFill="1"/>
    <xf numFmtId="0" fontId="0" fillId="0" borderId="0" xfId="0" applyNumberFormat="1"/>
    <xf numFmtId="0" fontId="16" fillId="33" borderId="0" xfId="0" applyFont="1" applyFill="1" applyBorder="1"/>
    <xf numFmtId="0" fontId="0" fillId="37" borderId="0" xfId="0" applyFill="1" applyBorder="1"/>
    <xf numFmtId="0" fontId="0" fillId="36" borderId="0" xfId="0" applyFill="1" applyBorder="1"/>
    <xf numFmtId="0" fontId="0" fillId="37" borderId="10" xfId="0" applyFill="1" applyBorder="1"/>
    <xf numFmtId="0" fontId="0" fillId="36" borderId="10" xfId="0" applyFill="1" applyBorder="1"/>
    <xf numFmtId="0" fontId="18" fillId="33" borderId="11" xfId="0" applyFont="1" applyFill="1" applyBorder="1"/>
    <xf numFmtId="0" fontId="16" fillId="0" borderId="11" xfId="0" applyFont="1" applyBorder="1"/>
    <xf numFmtId="0" fontId="0" fillId="34" borderId="11" xfId="0"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167" fontId="0" fillId="0" borderId="0" xfId="0" applyNumberFormat="1"/>
    <xf numFmtId="2" fontId="0" fillId="0" borderId="0" xfId="0" applyNumberFormat="1"/>
    <xf numFmtId="0" fontId="0" fillId="0" borderId="12" xfId="0" applyBorder="1"/>
    <xf numFmtId="0" fontId="0" fillId="0" borderId="13" xfId="0" applyBorder="1"/>
    <xf numFmtId="0" fontId="0" fillId="0" borderId="14" xfId="0" applyBorder="1"/>
    <xf numFmtId="0" fontId="0" fillId="0" borderId="15" xfId="0" applyBorder="1"/>
    <xf numFmtId="0" fontId="0" fillId="0" borderId="0" xfId="0" applyBorder="1"/>
    <xf numFmtId="0" fontId="0" fillId="0" borderId="16" xfId="0" applyBorder="1"/>
    <xf numFmtId="0" fontId="0" fillId="0" borderId="17" xfId="0" applyBorder="1"/>
    <xf numFmtId="0" fontId="0" fillId="0" borderId="10" xfId="0" applyBorder="1"/>
    <xf numFmtId="0" fontId="0" fillId="35" borderId="0" xfId="0" applyFill="1" applyBorder="1"/>
    <xf numFmtId="0" fontId="0" fillId="35" borderId="10" xfId="0" applyFill="1" applyBorder="1"/>
    <xf numFmtId="0" fontId="21" fillId="0" borderId="17" xfId="0" applyFont="1" applyBorder="1"/>
    <xf numFmtId="0" fontId="0" fillId="35" borderId="16" xfId="0" applyFill="1" applyBorder="1"/>
    <xf numFmtId="9" fontId="20" fillId="35" borderId="18" xfId="0" applyNumberFormat="1" applyFont="1" applyFill="1" applyBorder="1"/>
    <xf numFmtId="5" fontId="0" fillId="0" borderId="0" xfId="1" applyNumberFormat="1" applyFont="1"/>
    <xf numFmtId="5" fontId="0" fillId="0" borderId="14" xfId="1" applyNumberFormat="1" applyFont="1" applyBorder="1"/>
    <xf numFmtId="5" fontId="0" fillId="0" borderId="18" xfId="1" applyNumberFormat="1" applyFont="1" applyBorder="1"/>
    <xf numFmtId="0" fontId="16" fillId="0" borderId="12" xfId="0" applyFont="1" applyBorder="1"/>
    <xf numFmtId="9" fontId="16" fillId="0" borderId="13" xfId="0" applyNumberFormat="1" applyFont="1" applyBorder="1"/>
    <xf numFmtId="0" fontId="16" fillId="0" borderId="15" xfId="0" applyFont="1" applyBorder="1"/>
    <xf numFmtId="9" fontId="16" fillId="0" borderId="0" xfId="0" applyNumberFormat="1" applyFont="1" applyBorder="1"/>
    <xf numFmtId="0" fontId="0" fillId="35" borderId="15" xfId="0" applyFill="1" applyBorder="1"/>
    <xf numFmtId="0" fontId="0" fillId="35" borderId="18" xfId="0" applyFill="1" applyBorder="1"/>
    <xf numFmtId="0" fontId="19" fillId="35" borderId="17" xfId="0" applyFont="1" applyFill="1" applyBorder="1"/>
    <xf numFmtId="0" fontId="0" fillId="0" borderId="0" xfId="0" applyFill="1" applyBorder="1" applyAlignment="1"/>
    <xf numFmtId="9" fontId="0" fillId="0" borderId="0" xfId="0" applyNumberFormat="1" applyFill="1" applyBorder="1" applyAlignment="1"/>
    <xf numFmtId="0" fontId="22" fillId="38" borderId="10" xfId="0" applyFont="1" applyFill="1" applyBorder="1" applyAlignment="1">
      <alignment horizontal="left"/>
    </xf>
    <xf numFmtId="0" fontId="22" fillId="38" borderId="19" xfId="0" applyFont="1" applyFill="1" applyBorder="1" applyAlignment="1">
      <alignment horizontal="left"/>
    </xf>
    <xf numFmtId="0" fontId="0" fillId="0" borderId="21" xfId="0" applyFill="1" applyBorder="1" applyAlignment="1"/>
    <xf numFmtId="0" fontId="23" fillId="39" borderId="0" xfId="0" applyFont="1" applyFill="1" applyBorder="1" applyAlignment="1">
      <alignment horizontal="left"/>
    </xf>
    <xf numFmtId="0" fontId="24" fillId="39" borderId="21" xfId="0" applyFont="1" applyFill="1" applyBorder="1" applyAlignment="1">
      <alignment horizontal="left"/>
    </xf>
    <xf numFmtId="0" fontId="23" fillId="39" borderId="20" xfId="0" applyFont="1" applyFill="1" applyBorder="1" applyAlignment="1">
      <alignment horizontal="left"/>
    </xf>
    <xf numFmtId="0" fontId="25" fillId="38" borderId="19" xfId="0" applyFont="1" applyFill="1" applyBorder="1" applyAlignment="1">
      <alignment horizontal="right"/>
    </xf>
    <xf numFmtId="0" fontId="25" fillId="38" borderId="10" xfId="0" applyFont="1" applyFill="1" applyBorder="1" applyAlignment="1">
      <alignment horizontal="right"/>
    </xf>
    <xf numFmtId="9" fontId="0" fillId="40" borderId="0" xfId="0" applyNumberFormat="1" applyFill="1" applyBorder="1" applyAlignment="1"/>
    <xf numFmtId="0" fontId="26" fillId="0" borderId="0" xfId="0" applyFont="1" applyFill="1" applyBorder="1" applyAlignment="1">
      <alignment vertical="top" wrapText="1"/>
    </xf>
    <xf numFmtId="5" fontId="0" fillId="0" borderId="20" xfId="0" applyNumberFormat="1" applyFill="1" applyBorder="1" applyAlignmen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1">
    <dxf>
      <numFmt numFmtId="9" formatCode="&quot;$&quot;#,##0_);\(&quot;$&quot;#,##0\)"/>
    </dxf>
    <dxf>
      <numFmt numFmtId="9" formatCode="&quot;$&quot;#,##0_);\(&quot;$&quo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yyyy\-mm\-dd"/>
    </dxf>
    <dxf>
      <numFmt numFmtId="165" formatCode="&quot;$&quot;#,##0"/>
    </dxf>
    <dxf>
      <numFmt numFmtId="0" formatCode="General"/>
    </dxf>
    <dxf>
      <numFmt numFmtId="0" formatCode="General"/>
    </dxf>
    <dxf>
      <numFmt numFmtId="0" formatCode="General"/>
    </dxf>
    <dxf>
      <numFmt numFmtId="0" formatCode="General"/>
    </dxf>
    <dxf>
      <numFmt numFmtId="166" formatCode="yyyy\-mm\-dd"/>
    </dxf>
    <dxf>
      <numFmt numFmtId="165" formatCode="&quot;$&quot;#,##0"/>
    </dxf>
    <dxf>
      <numFmt numFmtId="0" formatCode="General"/>
    </dxf>
    <dxf>
      <fill>
        <patternFill>
          <bgColor rgb="FF00B0F0"/>
        </patternFill>
      </fill>
    </dxf>
    <dxf>
      <fill>
        <patternFill>
          <bgColor rgb="FF92D050"/>
        </patternFill>
      </fill>
    </dxf>
    <dxf>
      <fill>
        <patternFill>
          <bgColor rgb="FFFFFF00"/>
        </patternFill>
      </fill>
    </dxf>
    <dxf>
      <fill>
        <patternFill>
          <bgColor theme="0" tint="-0.14996795556505021"/>
        </patternFill>
      </fill>
    </dxf>
    <dxf>
      <fill>
        <patternFill>
          <bgColor theme="7" tint="0.79998168889431442"/>
        </patternFill>
      </fill>
    </dxf>
    <dxf>
      <font>
        <color theme="9"/>
      </font>
    </dxf>
    <dxf>
      <fill>
        <patternFill>
          <bgColor rgb="FFFF0000"/>
        </patternFill>
      </fill>
    </dxf>
    <dxf>
      <fill>
        <patternFill>
          <bgColor theme="8" tint="0.59996337778862885"/>
        </patternFill>
      </fill>
    </dxf>
    <dxf>
      <fill>
        <patternFill>
          <bgColor rgb="FFFFC000"/>
        </patternFill>
      </fill>
    </dxf>
    <dxf>
      <fill>
        <patternFill>
          <bgColor rgb="FF92D050"/>
        </patternFill>
      </fill>
    </dxf>
    <dxf>
      <fill>
        <patternFill>
          <bgColor theme="9" tint="0.59996337778862885"/>
        </patternFill>
      </fill>
    </dxf>
    <dxf>
      <fill>
        <patternFill>
          <bgColor rgb="FFFFFF00"/>
        </patternFill>
      </fill>
    </dxf>
    <dxf>
      <fill>
        <patternFill>
          <bgColor theme="7"/>
        </patternFill>
      </fill>
    </dxf>
    <dxf>
      <fill>
        <patternFill>
          <bgColor rgb="FFFF0000"/>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numFmt numFmtId="0" formatCode="General"/>
    </dxf>
    <dxf>
      <numFmt numFmtId="0" formatCode="General"/>
    </dxf>
    <dxf>
      <numFmt numFmtId="166" formatCode="yyyy\-mm\-dd"/>
    </dxf>
    <dxf>
      <numFmt numFmtId="165" formatCode="&quot;$&quot;#,##0"/>
    </dxf>
    <dxf>
      <numFmt numFmtId="0" formatCode="General"/>
    </dxf>
  </dxfs>
  <tableStyles count="0" defaultTableStyle="TableStyleMedium2" defaultPivotStyle="PivotStyleLight16"/>
  <colors>
    <mruColors>
      <color rgb="FFA0A46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[HR_Data_Analysis_Project.xlsm]Pivot_Analysis!Employees by Department</c:name>
    <c:fmtId val="1"/>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Salary Analysis</a:t>
            </a:r>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32D9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830CC">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EA6DC">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Pivot_Analysis!$B$2:$B$3</c:f>
              <c:strCache>
                <c:ptCount val="1"/>
                <c:pt idx="0">
                  <c:v>Female</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E32D9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Pivot_Analysis!$A$4:$A$8</c:f>
              <c:strCache>
                <c:ptCount val="4"/>
                <c:pt idx="0">
                  <c:v>HR</c:v>
                </c:pt>
                <c:pt idx="1">
                  <c:v>IT</c:v>
                </c:pt>
                <c:pt idx="2">
                  <c:v>Marketing</c:v>
                </c:pt>
                <c:pt idx="3">
                  <c:v>Sales</c:v>
                </c:pt>
              </c:strCache>
            </c:strRef>
          </c:cat>
          <c:val>
            <c:numRef>
              <c:f>Pivot_Analysis!$B$4:$B$8</c:f>
              <c:numCache>
                <c:formatCode>"$"#,##0</c:formatCode>
                <c:ptCount val="4"/>
                <c:pt idx="0">
                  <c:v>61698.113207547169</c:v>
                </c:pt>
                <c:pt idx="1">
                  <c:v>60918.367346938772</c:v>
                </c:pt>
                <c:pt idx="2">
                  <c:v>59811.32075471698</c:v>
                </c:pt>
                <c:pt idx="3">
                  <c:v>60701.754385964916</c:v>
                </c:pt>
              </c:numCache>
            </c:numRef>
          </c:val>
          <c:extLst>
            <c:ext xmlns:c16="http://schemas.microsoft.com/office/drawing/2014/chart" uri="{C3380CC4-5D6E-409C-BE32-E72D297353CC}">
              <c16:uniqueId val="{00000000-72E5-4ECE-B1E8-A88A883319FB}"/>
            </c:ext>
          </c:extLst>
        </c:ser>
        <c:ser>
          <c:idx val="1"/>
          <c:order val="1"/>
          <c:tx>
            <c:strRef>
              <c:f>Pivot_Analysis!$C$2:$C$3</c:f>
              <c:strCache>
                <c:ptCount val="1"/>
                <c:pt idx="0">
                  <c:v>Male</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C830CC">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Pivot_Analysis!$A$4:$A$8</c:f>
              <c:strCache>
                <c:ptCount val="4"/>
                <c:pt idx="0">
                  <c:v>HR</c:v>
                </c:pt>
                <c:pt idx="1">
                  <c:v>IT</c:v>
                </c:pt>
                <c:pt idx="2">
                  <c:v>Marketing</c:v>
                </c:pt>
                <c:pt idx="3">
                  <c:v>Sales</c:v>
                </c:pt>
              </c:strCache>
            </c:strRef>
          </c:cat>
          <c:val>
            <c:numRef>
              <c:f>Pivot_Analysis!$C$4:$C$8</c:f>
              <c:numCache>
                <c:formatCode>"$"#,##0</c:formatCode>
                <c:ptCount val="4"/>
                <c:pt idx="0">
                  <c:v>59469.696969696968</c:v>
                </c:pt>
                <c:pt idx="1">
                  <c:v>59140.625</c:v>
                </c:pt>
                <c:pt idx="2">
                  <c:v>59134.615384615383</c:v>
                </c:pt>
                <c:pt idx="3">
                  <c:v>62363.63636363636</c:v>
                </c:pt>
              </c:numCache>
            </c:numRef>
          </c:val>
          <c:extLst>
            <c:ext xmlns:c16="http://schemas.microsoft.com/office/drawing/2014/chart" uri="{C3380CC4-5D6E-409C-BE32-E72D297353CC}">
              <c16:uniqueId val="{00000001-72E5-4ECE-B1E8-A88A883319FB}"/>
            </c:ext>
          </c:extLst>
        </c:ser>
        <c:ser>
          <c:idx val="2"/>
          <c:order val="2"/>
          <c:tx>
            <c:strRef>
              <c:f>Pivot_Analysis!$D$2:$D$3</c:f>
              <c:strCache>
                <c:ptCount val="1"/>
                <c:pt idx="0">
                  <c:v>Other</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4EA6DC">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Pivot_Analysis!$A$4:$A$8</c:f>
              <c:strCache>
                <c:ptCount val="4"/>
                <c:pt idx="0">
                  <c:v>HR</c:v>
                </c:pt>
                <c:pt idx="1">
                  <c:v>IT</c:v>
                </c:pt>
                <c:pt idx="2">
                  <c:v>Marketing</c:v>
                </c:pt>
                <c:pt idx="3">
                  <c:v>Sales</c:v>
                </c:pt>
              </c:strCache>
            </c:strRef>
          </c:cat>
          <c:val>
            <c:numRef>
              <c:f>Pivot_Analysis!$D$4:$D$8</c:f>
              <c:numCache>
                <c:formatCode>"$"#,##0</c:formatCode>
                <c:ptCount val="4"/>
                <c:pt idx="0">
                  <c:v>59814.814814814818</c:v>
                </c:pt>
                <c:pt idx="1">
                  <c:v>59411.76470588235</c:v>
                </c:pt>
                <c:pt idx="2">
                  <c:v>61382.978723404252</c:v>
                </c:pt>
                <c:pt idx="3">
                  <c:v>60000</c:v>
                </c:pt>
              </c:numCache>
            </c:numRef>
          </c:val>
          <c:extLst>
            <c:ext xmlns:c16="http://schemas.microsoft.com/office/drawing/2014/chart" uri="{C3380CC4-5D6E-409C-BE32-E72D297353CC}">
              <c16:uniqueId val="{00000002-72E5-4ECE-B1E8-A88A883319FB}"/>
            </c:ext>
          </c:extLst>
        </c:ser>
        <c:dLbls>
          <c:showLegendKey val="0"/>
          <c:showVal val="1"/>
          <c:showCatName val="0"/>
          <c:showSerName val="0"/>
          <c:showPercent val="0"/>
          <c:showBubbleSize val="0"/>
        </c:dLbls>
        <c:gapWidth val="84"/>
        <c:gapDepth val="53"/>
        <c:shape val="box"/>
        <c:axId val="295644047"/>
        <c:axId val="295643631"/>
        <c:axId val="0"/>
      </c:bar3DChart>
      <c:catAx>
        <c:axId val="2956440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95643631"/>
        <c:crosses val="autoZero"/>
        <c:auto val="1"/>
        <c:lblAlgn val="ctr"/>
        <c:lblOffset val="100"/>
        <c:noMultiLvlLbl val="0"/>
      </c:catAx>
      <c:valAx>
        <c:axId val="295643631"/>
        <c:scaling>
          <c:orientation val="minMax"/>
        </c:scaling>
        <c:delete val="1"/>
        <c:axPos val="l"/>
        <c:numFmt formatCode="&quot;$&quot;#,##0" sourceLinked="1"/>
        <c:majorTickMark val="out"/>
        <c:minorTickMark val="none"/>
        <c:tickLblPos val="nextTo"/>
        <c:crossAx val="2956440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[HR_Data_Analysis_Project.xlsm]Pivot_Analysis!Average Salary by Department</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 Performance Analysis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Pivot_Analysis!$B$11:$B$12</c:f>
              <c:strCache>
                <c:ptCount val="1"/>
                <c:pt idx="0">
                  <c:v>A</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Pivot_Analysis!$A$13:$A$19</c:f>
              <c:strCache>
                <c:ptCount val="6"/>
                <c:pt idx="0">
                  <c:v>25</c:v>
                </c:pt>
                <c:pt idx="1">
                  <c:v>30</c:v>
                </c:pt>
                <c:pt idx="2">
                  <c:v>35</c:v>
                </c:pt>
                <c:pt idx="3">
                  <c:v>36</c:v>
                </c:pt>
                <c:pt idx="4">
                  <c:v>40</c:v>
                </c:pt>
                <c:pt idx="5">
                  <c:v>50</c:v>
                </c:pt>
              </c:strCache>
            </c:strRef>
          </c:cat>
          <c:val>
            <c:numRef>
              <c:f>Pivot_Analysis!$B$13:$B$19</c:f>
              <c:numCache>
                <c:formatCode>General</c:formatCode>
                <c:ptCount val="6"/>
                <c:pt idx="0">
                  <c:v>29</c:v>
                </c:pt>
                <c:pt idx="1">
                  <c:v>34</c:v>
                </c:pt>
                <c:pt idx="2">
                  <c:v>27</c:v>
                </c:pt>
                <c:pt idx="3">
                  <c:v>31</c:v>
                </c:pt>
                <c:pt idx="4">
                  <c:v>37</c:v>
                </c:pt>
                <c:pt idx="5">
                  <c:v>34</c:v>
                </c:pt>
              </c:numCache>
            </c:numRef>
          </c:val>
          <c:extLst>
            <c:ext xmlns:c16="http://schemas.microsoft.com/office/drawing/2014/chart" uri="{C3380CC4-5D6E-409C-BE32-E72D297353CC}">
              <c16:uniqueId val="{00000000-15BC-4785-AFD3-214F7710B1FE}"/>
            </c:ext>
          </c:extLst>
        </c:ser>
        <c:ser>
          <c:idx val="1"/>
          <c:order val="1"/>
          <c:tx>
            <c:strRef>
              <c:f>Pivot_Analysis!$C$11:$C$12</c:f>
              <c:strCache>
                <c:ptCount val="1"/>
                <c:pt idx="0">
                  <c:v>B</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Pivot_Analysis!$A$13:$A$19</c:f>
              <c:strCache>
                <c:ptCount val="6"/>
                <c:pt idx="0">
                  <c:v>25</c:v>
                </c:pt>
                <c:pt idx="1">
                  <c:v>30</c:v>
                </c:pt>
                <c:pt idx="2">
                  <c:v>35</c:v>
                </c:pt>
                <c:pt idx="3">
                  <c:v>36</c:v>
                </c:pt>
                <c:pt idx="4">
                  <c:v>40</c:v>
                </c:pt>
                <c:pt idx="5">
                  <c:v>50</c:v>
                </c:pt>
              </c:strCache>
            </c:strRef>
          </c:cat>
          <c:val>
            <c:numRef>
              <c:f>Pivot_Analysis!$C$13:$C$19</c:f>
              <c:numCache>
                <c:formatCode>General</c:formatCode>
                <c:ptCount val="6"/>
                <c:pt idx="0">
                  <c:v>42</c:v>
                </c:pt>
                <c:pt idx="1">
                  <c:v>44</c:v>
                </c:pt>
                <c:pt idx="2">
                  <c:v>32</c:v>
                </c:pt>
                <c:pt idx="3">
                  <c:v>26</c:v>
                </c:pt>
                <c:pt idx="4">
                  <c:v>37</c:v>
                </c:pt>
                <c:pt idx="5">
                  <c:v>44</c:v>
                </c:pt>
              </c:numCache>
            </c:numRef>
          </c:val>
          <c:extLst>
            <c:ext xmlns:c16="http://schemas.microsoft.com/office/drawing/2014/chart" uri="{C3380CC4-5D6E-409C-BE32-E72D297353CC}">
              <c16:uniqueId val="{00000001-15BC-4785-AFD3-214F7710B1FE}"/>
            </c:ext>
          </c:extLst>
        </c:ser>
        <c:ser>
          <c:idx val="2"/>
          <c:order val="2"/>
          <c:tx>
            <c:strRef>
              <c:f>Pivot_Analysis!$D$11:$D$12</c:f>
              <c:strCache>
                <c:ptCount val="1"/>
                <c:pt idx="0">
                  <c:v>C</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Pivot_Analysis!$A$13:$A$19</c:f>
              <c:strCache>
                <c:ptCount val="6"/>
                <c:pt idx="0">
                  <c:v>25</c:v>
                </c:pt>
                <c:pt idx="1">
                  <c:v>30</c:v>
                </c:pt>
                <c:pt idx="2">
                  <c:v>35</c:v>
                </c:pt>
                <c:pt idx="3">
                  <c:v>36</c:v>
                </c:pt>
                <c:pt idx="4">
                  <c:v>40</c:v>
                </c:pt>
                <c:pt idx="5">
                  <c:v>50</c:v>
                </c:pt>
              </c:strCache>
            </c:strRef>
          </c:cat>
          <c:val>
            <c:numRef>
              <c:f>Pivot_Analysis!$D$13:$D$19</c:f>
              <c:numCache>
                <c:formatCode>General</c:formatCode>
                <c:ptCount val="6"/>
                <c:pt idx="0">
                  <c:v>27</c:v>
                </c:pt>
                <c:pt idx="1">
                  <c:v>34</c:v>
                </c:pt>
                <c:pt idx="2">
                  <c:v>25</c:v>
                </c:pt>
                <c:pt idx="3">
                  <c:v>32</c:v>
                </c:pt>
                <c:pt idx="4">
                  <c:v>46</c:v>
                </c:pt>
                <c:pt idx="5">
                  <c:v>28</c:v>
                </c:pt>
              </c:numCache>
            </c:numRef>
          </c:val>
          <c:extLst>
            <c:ext xmlns:c16="http://schemas.microsoft.com/office/drawing/2014/chart" uri="{C3380CC4-5D6E-409C-BE32-E72D297353CC}">
              <c16:uniqueId val="{00000002-15BC-4785-AFD3-214F7710B1FE}"/>
            </c:ext>
          </c:extLst>
        </c:ser>
        <c:ser>
          <c:idx val="3"/>
          <c:order val="3"/>
          <c:tx>
            <c:strRef>
              <c:f>Pivot_Analysis!$E$11:$E$12</c:f>
              <c:strCache>
                <c:ptCount val="1"/>
                <c:pt idx="0">
                  <c:v>D</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Pivot_Analysis!$A$13:$A$19</c:f>
              <c:strCache>
                <c:ptCount val="6"/>
                <c:pt idx="0">
                  <c:v>25</c:v>
                </c:pt>
                <c:pt idx="1">
                  <c:v>30</c:v>
                </c:pt>
                <c:pt idx="2">
                  <c:v>35</c:v>
                </c:pt>
                <c:pt idx="3">
                  <c:v>36</c:v>
                </c:pt>
                <c:pt idx="4">
                  <c:v>40</c:v>
                </c:pt>
                <c:pt idx="5">
                  <c:v>50</c:v>
                </c:pt>
              </c:strCache>
            </c:strRef>
          </c:cat>
          <c:val>
            <c:numRef>
              <c:f>Pivot_Analysis!$E$13:$E$19</c:f>
              <c:numCache>
                <c:formatCode>General</c:formatCode>
                <c:ptCount val="6"/>
                <c:pt idx="0">
                  <c:v>35</c:v>
                </c:pt>
                <c:pt idx="1">
                  <c:v>33</c:v>
                </c:pt>
                <c:pt idx="2">
                  <c:v>38</c:v>
                </c:pt>
                <c:pt idx="3">
                  <c:v>38</c:v>
                </c:pt>
                <c:pt idx="4">
                  <c:v>24</c:v>
                </c:pt>
                <c:pt idx="5">
                  <c:v>22</c:v>
                </c:pt>
              </c:numCache>
            </c:numRef>
          </c:val>
          <c:extLst>
            <c:ext xmlns:c16="http://schemas.microsoft.com/office/drawing/2014/chart" uri="{C3380CC4-5D6E-409C-BE32-E72D297353CC}">
              <c16:uniqueId val="{00000003-15BC-4785-AFD3-214F7710B1FE}"/>
            </c:ext>
          </c:extLst>
        </c:ser>
        <c:ser>
          <c:idx val="4"/>
          <c:order val="4"/>
          <c:tx>
            <c:strRef>
              <c:f>Pivot_Analysis!$F$11:$F$12</c:f>
              <c:strCache>
                <c:ptCount val="1"/>
                <c:pt idx="0">
                  <c:v>F</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Pivot_Analysis!$A$13:$A$19</c:f>
              <c:strCache>
                <c:ptCount val="6"/>
                <c:pt idx="0">
                  <c:v>25</c:v>
                </c:pt>
                <c:pt idx="1">
                  <c:v>30</c:v>
                </c:pt>
                <c:pt idx="2">
                  <c:v>35</c:v>
                </c:pt>
                <c:pt idx="3">
                  <c:v>36</c:v>
                </c:pt>
                <c:pt idx="4">
                  <c:v>40</c:v>
                </c:pt>
                <c:pt idx="5">
                  <c:v>50</c:v>
                </c:pt>
              </c:strCache>
            </c:strRef>
          </c:cat>
          <c:val>
            <c:numRef>
              <c:f>Pivot_Analysis!$F$13:$F$19</c:f>
              <c:numCache>
                <c:formatCode>General</c:formatCode>
                <c:ptCount val="6"/>
                <c:pt idx="0">
                  <c:v>38</c:v>
                </c:pt>
                <c:pt idx="1">
                  <c:v>31</c:v>
                </c:pt>
                <c:pt idx="2">
                  <c:v>41</c:v>
                </c:pt>
                <c:pt idx="3">
                  <c:v>32</c:v>
                </c:pt>
                <c:pt idx="4">
                  <c:v>26</c:v>
                </c:pt>
                <c:pt idx="5">
                  <c:v>33</c:v>
                </c:pt>
              </c:numCache>
            </c:numRef>
          </c:val>
          <c:extLst>
            <c:ext xmlns:c16="http://schemas.microsoft.com/office/drawing/2014/chart" uri="{C3380CC4-5D6E-409C-BE32-E72D297353CC}">
              <c16:uniqueId val="{00000004-15BC-4785-AFD3-214F7710B1FE}"/>
            </c:ext>
          </c:extLst>
        </c:ser>
        <c:dLbls>
          <c:dLblPos val="ctr"/>
          <c:showLegendKey val="0"/>
          <c:showVal val="1"/>
          <c:showCatName val="0"/>
          <c:showSerName val="0"/>
          <c:showPercent val="0"/>
          <c:showBubbleSize val="0"/>
        </c:dLbls>
        <c:gapWidth val="150"/>
        <c:overlap val="100"/>
        <c:axId val="1925358223"/>
        <c:axId val="1925356975"/>
      </c:barChart>
      <c:catAx>
        <c:axId val="192535822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925356975"/>
        <c:crosses val="autoZero"/>
        <c:auto val="1"/>
        <c:lblAlgn val="ctr"/>
        <c:lblOffset val="100"/>
        <c:noMultiLvlLbl val="0"/>
      </c:catAx>
      <c:valAx>
        <c:axId val="192535697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1925358223"/>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[HR_Data_Analysis_Project.xlsm]Pivot_Analysis!PivotTable6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baseline="0">
                <a:effectLst>
                  <a:outerShdw blurRad="50800" dist="38100" dir="5400000" algn="t" rotWithShape="0">
                    <a:prstClr val="black">
                      <a:alpha val="40000"/>
                    </a:prstClr>
                  </a:outerShdw>
                </a:effectLst>
              </a:rPr>
              <a:t>HR Metrics Overview</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6"/>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Pivot_Analysis!$B$23</c:f>
              <c:strCache>
                <c:ptCount val="1"/>
                <c:pt idx="0">
                  <c:v>Total</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multiLvlStrRef>
              <c:f>Pivot_Analysis!$A$24:$A$34</c:f>
              <c:multiLvlStrCache>
                <c:ptCount val="6"/>
                <c:lvl>
                  <c:pt idx="0">
                    <c:v>Count of Name</c:v>
                  </c:pt>
                  <c:pt idx="1">
                    <c:v>Average of Salary</c:v>
                  </c:pt>
                  <c:pt idx="2">
                    <c:v>Count of Name</c:v>
                  </c:pt>
                  <c:pt idx="3">
                    <c:v>Average of Salary</c:v>
                  </c:pt>
                  <c:pt idx="4">
                    <c:v>Count of Name</c:v>
                  </c:pt>
                  <c:pt idx="5">
                    <c:v>Average of Salary</c:v>
                  </c:pt>
                </c:lvl>
                <c:lvl>
                  <c:pt idx="0">
                    <c:v>2018</c:v>
                  </c:pt>
                  <c:pt idx="2">
                    <c:v>2019</c:v>
                  </c:pt>
                  <c:pt idx="4">
                    <c:v>2020</c:v>
                  </c:pt>
                </c:lvl>
              </c:multiLvlStrCache>
            </c:multiLvlStrRef>
          </c:cat>
          <c:val>
            <c:numRef>
              <c:f>Pivot_Analysis!$B$24:$B$34</c:f>
              <c:numCache>
                <c:formatCode>General</c:formatCode>
                <c:ptCount val="6"/>
                <c:pt idx="0">
                  <c:v>186</c:v>
                </c:pt>
                <c:pt idx="1">
                  <c:v>59233.128834355826</c:v>
                </c:pt>
                <c:pt idx="2">
                  <c:v>385</c:v>
                </c:pt>
                <c:pt idx="3">
                  <c:v>60787.781350482313</c:v>
                </c:pt>
                <c:pt idx="4">
                  <c:v>429</c:v>
                </c:pt>
                <c:pt idx="5">
                  <c:v>60167.130919220057</c:v>
                </c:pt>
              </c:numCache>
            </c:numRef>
          </c:val>
          <c:extLst>
            <c:ext xmlns:c16="http://schemas.microsoft.com/office/drawing/2014/chart" uri="{C3380CC4-5D6E-409C-BE32-E72D297353CC}">
              <c16:uniqueId val="{00000003-A40D-4C63-BA8D-87524ABB1688}"/>
            </c:ext>
          </c:extLst>
        </c:ser>
        <c:dLbls>
          <c:showLegendKey val="0"/>
          <c:showVal val="0"/>
          <c:showCatName val="0"/>
          <c:showSerName val="0"/>
          <c:showPercent val="0"/>
          <c:showBubbleSize val="0"/>
        </c:dLbls>
        <c:axId val="68114735"/>
        <c:axId val="68111823"/>
      </c:radarChart>
      <c:catAx>
        <c:axId val="68114735"/>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111823"/>
        <c:crosses val="autoZero"/>
        <c:auto val="1"/>
        <c:lblAlgn val="ctr"/>
        <c:lblOffset val="100"/>
        <c:noMultiLvlLbl val="0"/>
      </c:catAx>
      <c:valAx>
        <c:axId val="6811182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1147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[HR_Data_Analysis_Project.xlsm]Pivot_Analysis!Employees by Department</c:name>
    <c:fmtId val="6"/>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Salary Analysis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Pivot_Analysis!$B$2:$B$3</c:f>
              <c:strCache>
                <c:ptCount val="1"/>
                <c:pt idx="0">
                  <c:v>Female</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Pivot_Analysis!$A$4:$A$8</c:f>
              <c:strCache>
                <c:ptCount val="4"/>
                <c:pt idx="0">
                  <c:v>HR</c:v>
                </c:pt>
                <c:pt idx="1">
                  <c:v>IT</c:v>
                </c:pt>
                <c:pt idx="2">
                  <c:v>Marketing</c:v>
                </c:pt>
                <c:pt idx="3">
                  <c:v>Sales</c:v>
                </c:pt>
              </c:strCache>
            </c:strRef>
          </c:cat>
          <c:val>
            <c:numRef>
              <c:f>Pivot_Analysis!$B$4:$B$8</c:f>
              <c:numCache>
                <c:formatCode>"$"#,##0</c:formatCode>
                <c:ptCount val="4"/>
                <c:pt idx="0">
                  <c:v>61698.113207547169</c:v>
                </c:pt>
                <c:pt idx="1">
                  <c:v>60918.367346938772</c:v>
                </c:pt>
                <c:pt idx="2">
                  <c:v>59811.32075471698</c:v>
                </c:pt>
                <c:pt idx="3">
                  <c:v>60701.754385964916</c:v>
                </c:pt>
              </c:numCache>
            </c:numRef>
          </c:val>
          <c:extLst>
            <c:ext xmlns:c16="http://schemas.microsoft.com/office/drawing/2014/chart" uri="{C3380CC4-5D6E-409C-BE32-E72D297353CC}">
              <c16:uniqueId val="{00000000-1AC0-42F9-B296-9D800781BD9D}"/>
            </c:ext>
          </c:extLst>
        </c:ser>
        <c:ser>
          <c:idx val="1"/>
          <c:order val="1"/>
          <c:tx>
            <c:strRef>
              <c:f>Pivot_Analysis!$C$2:$C$3</c:f>
              <c:strCache>
                <c:ptCount val="1"/>
                <c:pt idx="0">
                  <c:v>Male</c:v>
                </c:pt>
              </c:strCache>
            </c:strRef>
          </c:tx>
          <c:spPr>
            <a:pattFill prst="ltDnDiag">
              <a:fgClr>
                <a:schemeClr val="accent2"/>
              </a:fgClr>
              <a:bgClr>
                <a:schemeClr val="accent2">
                  <a:lumMod val="20000"/>
                  <a:lumOff val="80000"/>
                </a:schemeClr>
              </a:bgClr>
            </a:pattFill>
            <a:ln>
              <a:solidFill>
                <a:schemeClr val="accent2"/>
              </a:solidFill>
            </a:ln>
            <a:effectLst/>
            <a:sp3d>
              <a:contourClr>
                <a:schemeClr val="accent2"/>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Pivot_Analysis!$A$4:$A$8</c:f>
              <c:strCache>
                <c:ptCount val="4"/>
                <c:pt idx="0">
                  <c:v>HR</c:v>
                </c:pt>
                <c:pt idx="1">
                  <c:v>IT</c:v>
                </c:pt>
                <c:pt idx="2">
                  <c:v>Marketing</c:v>
                </c:pt>
                <c:pt idx="3">
                  <c:v>Sales</c:v>
                </c:pt>
              </c:strCache>
            </c:strRef>
          </c:cat>
          <c:val>
            <c:numRef>
              <c:f>Pivot_Analysis!$C$4:$C$8</c:f>
              <c:numCache>
                <c:formatCode>"$"#,##0</c:formatCode>
                <c:ptCount val="4"/>
                <c:pt idx="0">
                  <c:v>59469.696969696968</c:v>
                </c:pt>
                <c:pt idx="1">
                  <c:v>59140.625</c:v>
                </c:pt>
                <c:pt idx="2">
                  <c:v>59134.615384615383</c:v>
                </c:pt>
                <c:pt idx="3">
                  <c:v>62363.63636363636</c:v>
                </c:pt>
              </c:numCache>
            </c:numRef>
          </c:val>
          <c:extLst>
            <c:ext xmlns:c16="http://schemas.microsoft.com/office/drawing/2014/chart" uri="{C3380CC4-5D6E-409C-BE32-E72D297353CC}">
              <c16:uniqueId val="{00000001-1AC0-42F9-B296-9D800781BD9D}"/>
            </c:ext>
          </c:extLst>
        </c:ser>
        <c:ser>
          <c:idx val="2"/>
          <c:order val="2"/>
          <c:tx>
            <c:strRef>
              <c:f>Pivot_Analysis!$D$2:$D$3</c:f>
              <c:strCache>
                <c:ptCount val="1"/>
                <c:pt idx="0">
                  <c:v>Other</c:v>
                </c:pt>
              </c:strCache>
            </c:strRef>
          </c:tx>
          <c:spPr>
            <a:pattFill prst="ltDnDiag">
              <a:fgClr>
                <a:schemeClr val="accent3"/>
              </a:fgClr>
              <a:bgClr>
                <a:schemeClr val="accent3">
                  <a:lumMod val="20000"/>
                  <a:lumOff val="80000"/>
                </a:schemeClr>
              </a:bgClr>
            </a:pattFill>
            <a:ln>
              <a:solidFill>
                <a:schemeClr val="accent3"/>
              </a:solidFill>
            </a:ln>
            <a:effectLst/>
            <a:sp3d>
              <a:contourClr>
                <a:schemeClr val="accent3"/>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Pivot_Analysis!$A$4:$A$8</c:f>
              <c:strCache>
                <c:ptCount val="4"/>
                <c:pt idx="0">
                  <c:v>HR</c:v>
                </c:pt>
                <c:pt idx="1">
                  <c:v>IT</c:v>
                </c:pt>
                <c:pt idx="2">
                  <c:v>Marketing</c:v>
                </c:pt>
                <c:pt idx="3">
                  <c:v>Sales</c:v>
                </c:pt>
              </c:strCache>
            </c:strRef>
          </c:cat>
          <c:val>
            <c:numRef>
              <c:f>Pivot_Analysis!$D$4:$D$8</c:f>
              <c:numCache>
                <c:formatCode>"$"#,##0</c:formatCode>
                <c:ptCount val="4"/>
                <c:pt idx="0">
                  <c:v>59814.814814814818</c:v>
                </c:pt>
                <c:pt idx="1">
                  <c:v>59411.76470588235</c:v>
                </c:pt>
                <c:pt idx="2">
                  <c:v>61382.978723404252</c:v>
                </c:pt>
                <c:pt idx="3">
                  <c:v>60000</c:v>
                </c:pt>
              </c:numCache>
            </c:numRef>
          </c:val>
          <c:extLst>
            <c:ext xmlns:c16="http://schemas.microsoft.com/office/drawing/2014/chart" uri="{C3380CC4-5D6E-409C-BE32-E72D297353CC}">
              <c16:uniqueId val="{00000002-1AC0-42F9-B296-9D800781BD9D}"/>
            </c:ext>
          </c:extLst>
        </c:ser>
        <c:dLbls>
          <c:showLegendKey val="0"/>
          <c:showVal val="1"/>
          <c:showCatName val="0"/>
          <c:showSerName val="0"/>
          <c:showPercent val="0"/>
          <c:showBubbleSize val="0"/>
        </c:dLbls>
        <c:gapWidth val="160"/>
        <c:gapDepth val="0"/>
        <c:shape val="box"/>
        <c:axId val="295644047"/>
        <c:axId val="295643631"/>
        <c:axId val="0"/>
      </c:bar3DChart>
      <c:catAx>
        <c:axId val="2956440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643631"/>
        <c:crosses val="autoZero"/>
        <c:auto val="1"/>
        <c:lblAlgn val="ctr"/>
        <c:lblOffset val="100"/>
        <c:noMultiLvlLbl val="0"/>
      </c:catAx>
      <c:valAx>
        <c:axId val="295643631"/>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6440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[HR_Data_Analysis_Project.xlsm]Pivot_Analysis!Average Salary by Department</c:name>
    <c:fmtId val="3"/>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 Performance Analysis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Pivot_Analysis!$B$11:$B$12</c:f>
              <c:strCache>
                <c:ptCount val="1"/>
                <c:pt idx="0">
                  <c:v>A</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Pivot_Analysis!$A$13:$A$19</c:f>
              <c:strCache>
                <c:ptCount val="6"/>
                <c:pt idx="0">
                  <c:v>25</c:v>
                </c:pt>
                <c:pt idx="1">
                  <c:v>30</c:v>
                </c:pt>
                <c:pt idx="2">
                  <c:v>35</c:v>
                </c:pt>
                <c:pt idx="3">
                  <c:v>36</c:v>
                </c:pt>
                <c:pt idx="4">
                  <c:v>40</c:v>
                </c:pt>
                <c:pt idx="5">
                  <c:v>50</c:v>
                </c:pt>
              </c:strCache>
            </c:strRef>
          </c:cat>
          <c:val>
            <c:numRef>
              <c:f>Pivot_Analysis!$B$13:$B$19</c:f>
              <c:numCache>
                <c:formatCode>General</c:formatCode>
                <c:ptCount val="6"/>
                <c:pt idx="0">
                  <c:v>29</c:v>
                </c:pt>
                <c:pt idx="1">
                  <c:v>34</c:v>
                </c:pt>
                <c:pt idx="2">
                  <c:v>27</c:v>
                </c:pt>
                <c:pt idx="3">
                  <c:v>31</c:v>
                </c:pt>
                <c:pt idx="4">
                  <c:v>37</c:v>
                </c:pt>
                <c:pt idx="5">
                  <c:v>34</c:v>
                </c:pt>
              </c:numCache>
            </c:numRef>
          </c:val>
          <c:extLst>
            <c:ext xmlns:c16="http://schemas.microsoft.com/office/drawing/2014/chart" uri="{C3380CC4-5D6E-409C-BE32-E72D297353CC}">
              <c16:uniqueId val="{00000000-CFEF-4891-AD18-E8C0B255DF95}"/>
            </c:ext>
          </c:extLst>
        </c:ser>
        <c:ser>
          <c:idx val="1"/>
          <c:order val="1"/>
          <c:tx>
            <c:strRef>
              <c:f>Pivot_Analysis!$C$11:$C$12</c:f>
              <c:strCache>
                <c:ptCount val="1"/>
                <c:pt idx="0">
                  <c:v>B</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Pivot_Analysis!$A$13:$A$19</c:f>
              <c:strCache>
                <c:ptCount val="6"/>
                <c:pt idx="0">
                  <c:v>25</c:v>
                </c:pt>
                <c:pt idx="1">
                  <c:v>30</c:v>
                </c:pt>
                <c:pt idx="2">
                  <c:v>35</c:v>
                </c:pt>
                <c:pt idx="3">
                  <c:v>36</c:v>
                </c:pt>
                <c:pt idx="4">
                  <c:v>40</c:v>
                </c:pt>
                <c:pt idx="5">
                  <c:v>50</c:v>
                </c:pt>
              </c:strCache>
            </c:strRef>
          </c:cat>
          <c:val>
            <c:numRef>
              <c:f>Pivot_Analysis!$C$13:$C$19</c:f>
              <c:numCache>
                <c:formatCode>General</c:formatCode>
                <c:ptCount val="6"/>
                <c:pt idx="0">
                  <c:v>42</c:v>
                </c:pt>
                <c:pt idx="1">
                  <c:v>44</c:v>
                </c:pt>
                <c:pt idx="2">
                  <c:v>32</c:v>
                </c:pt>
                <c:pt idx="3">
                  <c:v>26</c:v>
                </c:pt>
                <c:pt idx="4">
                  <c:v>37</c:v>
                </c:pt>
                <c:pt idx="5">
                  <c:v>44</c:v>
                </c:pt>
              </c:numCache>
            </c:numRef>
          </c:val>
          <c:extLst>
            <c:ext xmlns:c16="http://schemas.microsoft.com/office/drawing/2014/chart" uri="{C3380CC4-5D6E-409C-BE32-E72D297353CC}">
              <c16:uniqueId val="{00000001-CFEF-4891-AD18-E8C0B255DF95}"/>
            </c:ext>
          </c:extLst>
        </c:ser>
        <c:ser>
          <c:idx val="2"/>
          <c:order val="2"/>
          <c:tx>
            <c:strRef>
              <c:f>Pivot_Analysis!$D$11:$D$12</c:f>
              <c:strCache>
                <c:ptCount val="1"/>
                <c:pt idx="0">
                  <c:v>C</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Pivot_Analysis!$A$13:$A$19</c:f>
              <c:strCache>
                <c:ptCount val="6"/>
                <c:pt idx="0">
                  <c:v>25</c:v>
                </c:pt>
                <c:pt idx="1">
                  <c:v>30</c:v>
                </c:pt>
                <c:pt idx="2">
                  <c:v>35</c:v>
                </c:pt>
                <c:pt idx="3">
                  <c:v>36</c:v>
                </c:pt>
                <c:pt idx="4">
                  <c:v>40</c:v>
                </c:pt>
                <c:pt idx="5">
                  <c:v>50</c:v>
                </c:pt>
              </c:strCache>
            </c:strRef>
          </c:cat>
          <c:val>
            <c:numRef>
              <c:f>Pivot_Analysis!$D$13:$D$19</c:f>
              <c:numCache>
                <c:formatCode>General</c:formatCode>
                <c:ptCount val="6"/>
                <c:pt idx="0">
                  <c:v>27</c:v>
                </c:pt>
                <c:pt idx="1">
                  <c:v>34</c:v>
                </c:pt>
                <c:pt idx="2">
                  <c:v>25</c:v>
                </c:pt>
                <c:pt idx="3">
                  <c:v>32</c:v>
                </c:pt>
                <c:pt idx="4">
                  <c:v>46</c:v>
                </c:pt>
                <c:pt idx="5">
                  <c:v>28</c:v>
                </c:pt>
              </c:numCache>
            </c:numRef>
          </c:val>
          <c:extLst>
            <c:ext xmlns:c16="http://schemas.microsoft.com/office/drawing/2014/chart" uri="{C3380CC4-5D6E-409C-BE32-E72D297353CC}">
              <c16:uniqueId val="{00000002-CFEF-4891-AD18-E8C0B255DF95}"/>
            </c:ext>
          </c:extLst>
        </c:ser>
        <c:ser>
          <c:idx val="3"/>
          <c:order val="3"/>
          <c:tx>
            <c:strRef>
              <c:f>Pivot_Analysis!$E$11:$E$12</c:f>
              <c:strCache>
                <c:ptCount val="1"/>
                <c:pt idx="0">
                  <c:v>D</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Pivot_Analysis!$A$13:$A$19</c:f>
              <c:strCache>
                <c:ptCount val="6"/>
                <c:pt idx="0">
                  <c:v>25</c:v>
                </c:pt>
                <c:pt idx="1">
                  <c:v>30</c:v>
                </c:pt>
                <c:pt idx="2">
                  <c:v>35</c:v>
                </c:pt>
                <c:pt idx="3">
                  <c:v>36</c:v>
                </c:pt>
                <c:pt idx="4">
                  <c:v>40</c:v>
                </c:pt>
                <c:pt idx="5">
                  <c:v>50</c:v>
                </c:pt>
              </c:strCache>
            </c:strRef>
          </c:cat>
          <c:val>
            <c:numRef>
              <c:f>Pivot_Analysis!$E$13:$E$19</c:f>
              <c:numCache>
                <c:formatCode>General</c:formatCode>
                <c:ptCount val="6"/>
                <c:pt idx="0">
                  <c:v>35</c:v>
                </c:pt>
                <c:pt idx="1">
                  <c:v>33</c:v>
                </c:pt>
                <c:pt idx="2">
                  <c:v>38</c:v>
                </c:pt>
                <c:pt idx="3">
                  <c:v>38</c:v>
                </c:pt>
                <c:pt idx="4">
                  <c:v>24</c:v>
                </c:pt>
                <c:pt idx="5">
                  <c:v>22</c:v>
                </c:pt>
              </c:numCache>
            </c:numRef>
          </c:val>
          <c:extLst>
            <c:ext xmlns:c16="http://schemas.microsoft.com/office/drawing/2014/chart" uri="{C3380CC4-5D6E-409C-BE32-E72D297353CC}">
              <c16:uniqueId val="{00000003-CFEF-4891-AD18-E8C0B255DF95}"/>
            </c:ext>
          </c:extLst>
        </c:ser>
        <c:ser>
          <c:idx val="4"/>
          <c:order val="4"/>
          <c:tx>
            <c:strRef>
              <c:f>Pivot_Analysis!$F$11:$F$12</c:f>
              <c:strCache>
                <c:ptCount val="1"/>
                <c:pt idx="0">
                  <c:v>F</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Pivot_Analysis!$A$13:$A$19</c:f>
              <c:strCache>
                <c:ptCount val="6"/>
                <c:pt idx="0">
                  <c:v>25</c:v>
                </c:pt>
                <c:pt idx="1">
                  <c:v>30</c:v>
                </c:pt>
                <c:pt idx="2">
                  <c:v>35</c:v>
                </c:pt>
                <c:pt idx="3">
                  <c:v>36</c:v>
                </c:pt>
                <c:pt idx="4">
                  <c:v>40</c:v>
                </c:pt>
                <c:pt idx="5">
                  <c:v>50</c:v>
                </c:pt>
              </c:strCache>
            </c:strRef>
          </c:cat>
          <c:val>
            <c:numRef>
              <c:f>Pivot_Analysis!$F$13:$F$19</c:f>
              <c:numCache>
                <c:formatCode>General</c:formatCode>
                <c:ptCount val="6"/>
                <c:pt idx="0">
                  <c:v>38</c:v>
                </c:pt>
                <c:pt idx="1">
                  <c:v>31</c:v>
                </c:pt>
                <c:pt idx="2">
                  <c:v>41</c:v>
                </c:pt>
                <c:pt idx="3">
                  <c:v>32</c:v>
                </c:pt>
                <c:pt idx="4">
                  <c:v>26</c:v>
                </c:pt>
                <c:pt idx="5">
                  <c:v>33</c:v>
                </c:pt>
              </c:numCache>
            </c:numRef>
          </c:val>
          <c:extLst>
            <c:ext xmlns:c16="http://schemas.microsoft.com/office/drawing/2014/chart" uri="{C3380CC4-5D6E-409C-BE32-E72D297353CC}">
              <c16:uniqueId val="{00000004-CFEF-4891-AD18-E8C0B255DF95}"/>
            </c:ext>
          </c:extLst>
        </c:ser>
        <c:dLbls>
          <c:dLblPos val="ctr"/>
          <c:showLegendKey val="0"/>
          <c:showVal val="1"/>
          <c:showCatName val="0"/>
          <c:showSerName val="0"/>
          <c:showPercent val="0"/>
          <c:showBubbleSize val="0"/>
        </c:dLbls>
        <c:gapWidth val="150"/>
        <c:overlap val="100"/>
        <c:axId val="1925358223"/>
        <c:axId val="1925356975"/>
      </c:barChart>
      <c:catAx>
        <c:axId val="1925358223"/>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356975"/>
        <c:crosses val="autoZero"/>
        <c:auto val="1"/>
        <c:lblAlgn val="ctr"/>
        <c:lblOffset val="100"/>
        <c:noMultiLvlLbl val="0"/>
      </c:catAx>
      <c:valAx>
        <c:axId val="1925356975"/>
        <c:scaling>
          <c:orientation val="minMax"/>
        </c:scaling>
        <c:delete val="0"/>
        <c:axPos val="l"/>
        <c:majorGridlines>
          <c:spPr>
            <a:ln>
              <a:solidFill>
                <a:schemeClr val="tx1">
                  <a:lumMod val="15000"/>
                  <a:lumOff val="85000"/>
                </a:schemeClr>
              </a:solidFill>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358223"/>
        <c:crosses val="autoZero"/>
        <c:crossBetween val="between"/>
      </c:valAx>
      <c:spPr>
        <a:noFill/>
        <a:ln>
          <a:noFill/>
        </a:ln>
        <a:effectLst/>
      </c:spPr>
    </c:plotArea>
    <c:legend>
      <c:legendPos val="r"/>
      <c:layout>
        <c:manualLayout>
          <c:xMode val="edge"/>
          <c:yMode val="edge"/>
          <c:x val="0.75727513227513232"/>
          <c:y val="0.33101970462647395"/>
          <c:w val="0.22420634920634921"/>
          <c:h val="0.4920652642300309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[HR_Data_Analysis_Project.xlsm]Dashboard!PivotTable23</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1" i="0" u="none" strike="noStrike" kern="1200" cap="all" spc="50" baseline="0">
                <a:solidFill>
                  <a:sysClr val="windowText" lastClr="000000">
                    <a:lumMod val="65000"/>
                    <a:lumOff val="35000"/>
                  </a:sysClr>
                </a:solidFill>
                <a:latin typeface="+mn-lt"/>
                <a:ea typeface="+mn-ea"/>
                <a:cs typeface="+mn-cs"/>
              </a:defRPr>
            </a:pPr>
            <a:r>
              <a:rPr lang="en-US" b="1"/>
              <a:t>Employee Distribution by Department</a:t>
            </a:r>
            <a:endParaRPr lang="en-US"/>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6"/>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Dashboard!$Y$14</c:f>
              <c:strCache>
                <c:ptCount val="1"/>
                <c:pt idx="0">
                  <c:v>Total</c:v>
                </c:pt>
              </c:strCache>
            </c:strRef>
          </c:tx>
          <c:dPt>
            <c:idx val="0"/>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7BF-4BAE-A583-739A91AFD5EA}"/>
              </c:ext>
            </c:extLst>
          </c:dPt>
          <c:dPt>
            <c:idx val="1"/>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7BF-4BAE-A583-739A91AFD5EA}"/>
              </c:ext>
            </c:extLst>
          </c:dPt>
          <c:dPt>
            <c:idx val="2"/>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7BF-4BAE-A583-739A91AFD5EA}"/>
              </c:ext>
            </c:extLst>
          </c:dPt>
          <c:dPt>
            <c:idx val="3"/>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87BF-4BAE-A583-739A91AFD5EA}"/>
              </c:ext>
            </c:extLst>
          </c:dPt>
          <c:dPt>
            <c:idx val="4"/>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87BF-4BAE-A583-739A91AFD5E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Dashboard!$X$15:$X$20</c:f>
              <c:strCache>
                <c:ptCount val="5"/>
                <c:pt idx="0">
                  <c:v>Finance</c:v>
                </c:pt>
                <c:pt idx="1">
                  <c:v>HR</c:v>
                </c:pt>
                <c:pt idx="2">
                  <c:v>IT</c:v>
                </c:pt>
                <c:pt idx="3">
                  <c:v>Marketing</c:v>
                </c:pt>
                <c:pt idx="4">
                  <c:v>Sales</c:v>
                </c:pt>
              </c:strCache>
            </c:strRef>
          </c:cat>
          <c:val>
            <c:numRef>
              <c:f>Dashboard!$Y$15:$Y$20</c:f>
              <c:numCache>
                <c:formatCode>General</c:formatCode>
                <c:ptCount val="5"/>
                <c:pt idx="0">
                  <c:v>218</c:v>
                </c:pt>
                <c:pt idx="1">
                  <c:v>201</c:v>
                </c:pt>
                <c:pt idx="2">
                  <c:v>193</c:v>
                </c:pt>
                <c:pt idx="3">
                  <c:v>186</c:v>
                </c:pt>
                <c:pt idx="4">
                  <c:v>202</c:v>
                </c:pt>
              </c:numCache>
            </c:numRef>
          </c:val>
          <c:extLst>
            <c:ext xmlns:c16="http://schemas.microsoft.com/office/drawing/2014/chart" uri="{C3380CC4-5D6E-409C-BE32-E72D297353CC}">
              <c16:uniqueId val="{00000000-3A1B-4530-8085-BF1D8AB59E0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[HR_Data_Analysis_Project.xlsm]Dashboard!PivotTable24</c:name>
    <c:fmtId val="0"/>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sz="1600" b="1" i="0" u="none" strike="noStrike" cap="none" normalizeH="0" baseline="0"/>
              <a:t>Hiring Trend</a:t>
            </a:r>
            <a:endParaRPr lang="en-US"/>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Dashboard!$Y$23</c:f>
              <c:strCache>
                <c:ptCount val="1"/>
                <c:pt idx="0">
                  <c:v>Total</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cat>
            <c:strRef>
              <c:f>Dashboard!$X$24:$X$27</c:f>
              <c:strCache>
                <c:ptCount val="3"/>
                <c:pt idx="0">
                  <c:v>2018</c:v>
                </c:pt>
                <c:pt idx="1">
                  <c:v>2019</c:v>
                </c:pt>
                <c:pt idx="2">
                  <c:v>2020</c:v>
                </c:pt>
              </c:strCache>
            </c:strRef>
          </c:cat>
          <c:val>
            <c:numRef>
              <c:f>Dashboard!$Y$24:$Y$27</c:f>
              <c:numCache>
                <c:formatCode>General</c:formatCode>
                <c:ptCount val="3"/>
                <c:pt idx="0">
                  <c:v>186</c:v>
                </c:pt>
                <c:pt idx="1">
                  <c:v>385</c:v>
                </c:pt>
                <c:pt idx="2">
                  <c:v>429</c:v>
                </c:pt>
              </c:numCache>
            </c:numRef>
          </c:val>
          <c:smooth val="0"/>
          <c:extLst>
            <c:ext xmlns:c16="http://schemas.microsoft.com/office/drawing/2014/chart" uri="{C3380CC4-5D6E-409C-BE32-E72D297353CC}">
              <c16:uniqueId val="{00000000-6C5C-4CFF-A141-1C8B7F5763CC}"/>
            </c:ext>
          </c:extLst>
        </c:ser>
        <c:dLbls>
          <c:showLegendKey val="0"/>
          <c:showVal val="0"/>
          <c:showCatName val="0"/>
          <c:showSerName val="0"/>
          <c:showPercent val="0"/>
          <c:showBubbleSize val="0"/>
        </c:dLbls>
        <c:marker val="1"/>
        <c:smooth val="0"/>
        <c:axId val="980967967"/>
        <c:axId val="980952159"/>
      </c:lineChart>
      <c:catAx>
        <c:axId val="980967967"/>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980952159"/>
        <c:crosses val="autoZero"/>
        <c:auto val="1"/>
        <c:lblAlgn val="ctr"/>
        <c:lblOffset val="100"/>
        <c:noMultiLvlLbl val="0"/>
      </c:catAx>
      <c:valAx>
        <c:axId val="980952159"/>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980967967"/>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Salary Before vs. After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What_If_Analysis!$C$12</c:f>
              <c:strCache>
                <c:ptCount val="1"/>
                <c:pt idx="0">
                  <c:v>Salary</c:v>
                </c:pt>
              </c:strCache>
            </c:strRef>
          </c:tx>
          <c:spPr>
            <a:solidFill>
              <a:schemeClr val="accent4">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What_If_Analysis!$C$13:$C$17</c:f>
              <c:numCache>
                <c:formatCode>"$"#,##0_);\("$"#,##0\)</c:formatCode>
                <c:ptCount val="5"/>
                <c:pt idx="0">
                  <c:v>50000</c:v>
                </c:pt>
                <c:pt idx="1">
                  <c:v>60000</c:v>
                </c:pt>
                <c:pt idx="2">
                  <c:v>60000</c:v>
                </c:pt>
                <c:pt idx="3">
                  <c:v>50000</c:v>
                </c:pt>
                <c:pt idx="4">
                  <c:v>60000</c:v>
                </c:pt>
              </c:numCache>
            </c:numRef>
          </c:val>
          <c:extLst>
            <c:ext xmlns:c16="http://schemas.microsoft.com/office/drawing/2014/chart" uri="{C3380CC4-5D6E-409C-BE32-E72D297353CC}">
              <c16:uniqueId val="{00000000-BAAF-4B20-9AA2-392A80C2090D}"/>
            </c:ext>
          </c:extLst>
        </c:ser>
        <c:ser>
          <c:idx val="1"/>
          <c:order val="1"/>
          <c:tx>
            <c:strRef>
              <c:f>What_If_Analysis!$D$12</c:f>
              <c:strCache>
                <c:ptCount val="1"/>
                <c:pt idx="0">
                  <c:v>New Salary</c:v>
                </c:pt>
              </c:strCache>
            </c:strRef>
          </c:tx>
          <c:spPr>
            <a:solidFill>
              <a:schemeClr val="accent4">
                <a:tint val="77000"/>
              </a:schemeClr>
            </a:solidFill>
            <a:ln>
              <a:noFill/>
            </a:ln>
            <a:effectLst/>
          </c:spPr>
          <c:invertIfNegative val="0"/>
          <c:val>
            <c:numRef>
              <c:f>What_If_Analysis!$D$13:$D$17</c:f>
              <c:numCache>
                <c:formatCode>"$"#,##0_);\("$"#,##0\)</c:formatCode>
                <c:ptCount val="5"/>
                <c:pt idx="0">
                  <c:v>62500</c:v>
                </c:pt>
                <c:pt idx="1">
                  <c:v>75000</c:v>
                </c:pt>
                <c:pt idx="2">
                  <c:v>75000</c:v>
                </c:pt>
                <c:pt idx="3">
                  <c:v>62500</c:v>
                </c:pt>
                <c:pt idx="4">
                  <c:v>75000</c:v>
                </c:pt>
              </c:numCache>
            </c:numRef>
          </c:val>
          <c:extLst>
            <c:ext xmlns:c16="http://schemas.microsoft.com/office/drawing/2014/chart" uri="{C3380CC4-5D6E-409C-BE32-E72D297353CC}">
              <c16:uniqueId val="{00000001-BAAF-4B20-9AA2-392A80C2090D}"/>
            </c:ext>
          </c:extLst>
        </c:ser>
        <c:dLbls>
          <c:showLegendKey val="0"/>
          <c:showVal val="0"/>
          <c:showCatName val="0"/>
          <c:showSerName val="0"/>
          <c:showPercent val="0"/>
          <c:showBubbleSize val="0"/>
        </c:dLbls>
        <c:gapWidth val="219"/>
        <c:overlap val="-27"/>
        <c:axId val="821776095"/>
        <c:axId val="821779839"/>
      </c:barChart>
      <c:catAx>
        <c:axId val="821776095"/>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779839"/>
        <c:crosses val="autoZero"/>
        <c:auto val="1"/>
        <c:lblAlgn val="ctr"/>
        <c:lblOffset val="100"/>
        <c:noMultiLvlLbl val="0"/>
      </c:catAx>
      <c:valAx>
        <c:axId val="8217798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776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chart" Target="../charts/chart4.xml"/><Relationship Id="rId12" Type="http://schemas.openxmlformats.org/officeDocument/2006/relationships/image" Target="../media/image8.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7.png"/><Relationship Id="rId5" Type="http://schemas.openxmlformats.org/officeDocument/2006/relationships/image" Target="../media/image5.png"/><Relationship Id="rId10" Type="http://schemas.openxmlformats.org/officeDocument/2006/relationships/chart" Target="../charts/chart7.xml"/><Relationship Id="rId4" Type="http://schemas.openxmlformats.org/officeDocument/2006/relationships/image" Target="../media/image4.svg"/><Relationship Id="rId9"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oneCellAnchor>
    <xdr:from>
      <xdr:col>5</xdr:col>
      <xdr:colOff>30480</xdr:colOff>
      <xdr:row>0</xdr:row>
      <xdr:rowOff>22860</xdr:rowOff>
    </xdr:from>
    <xdr:ext cx="6301740" cy="530658"/>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078480" y="22860"/>
          <a:ext cx="6301740" cy="530658"/>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800" b="1" baseline="0">
              <a:solidFill>
                <a:schemeClr val="accent1"/>
              </a:solidFill>
            </a:rPr>
            <a:t>HR Data Analysis Project – Excel Portfolio</a:t>
          </a:r>
        </a:p>
      </xdr:txBody>
    </xdr:sp>
    <xdr:clientData/>
  </xdr:oneCellAnchor>
  <xdr:oneCellAnchor>
    <xdr:from>
      <xdr:col>1</xdr:col>
      <xdr:colOff>0</xdr:colOff>
      <xdr:row>3</xdr:row>
      <xdr:rowOff>167640</xdr:rowOff>
    </xdr:from>
    <xdr:ext cx="10995660" cy="11750040"/>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09600" y="716280"/>
          <a:ext cx="10995660" cy="11750040"/>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Project Description</a:t>
          </a:r>
        </a:p>
        <a:p>
          <a:r>
            <a:rPr lang="en-US" sz="1200"/>
            <a:t>   This project demonstrates advanced data analysis and data preparation techniques using Microsoft Excel.</a:t>
          </a:r>
          <a:br>
            <a:rPr lang="en-US" sz="1200"/>
          </a:br>
          <a:r>
            <a:rPr lang="en-US" sz="1200"/>
            <a:t>   The dataset contains raw HR data that required cleaning, transformation, and analysis to generate meaningful insights.</a:t>
          </a:r>
        </a:p>
        <a:p>
          <a:r>
            <a:rPr lang="en-US" sz="1200"/>
            <a:t>   The goal of this project is to simulate a real-world data analysis workflow, starting from messy data and ending with an </a:t>
          </a:r>
        </a:p>
        <a:p>
          <a:r>
            <a:rPr lang="en-US" sz="1200"/>
            <a:t>    interactive dashboard that supports decision making.</a:t>
          </a:r>
        </a:p>
        <a:p>
          <a:endParaRPr lang="en-US" sz="1200"/>
        </a:p>
        <a:p>
          <a:r>
            <a:rPr lang="en-US" sz="1400" b="1"/>
            <a:t>Objectives</a:t>
          </a:r>
        </a:p>
        <a:p>
          <a:endParaRPr lang="en-US" sz="1400" b="1"/>
        </a:p>
        <a:p>
          <a:r>
            <a:rPr lang="en-US" sz="1200"/>
            <a:t>  •</a:t>
          </a:r>
          <a:r>
            <a:rPr lang="en-US" sz="1200" b="1"/>
            <a:t> Clean </a:t>
          </a:r>
          <a:r>
            <a:rPr lang="en-US" sz="1200"/>
            <a:t>and prepare messy HR data</a:t>
          </a:r>
        </a:p>
        <a:p>
          <a:r>
            <a:rPr lang="en-US" sz="1200"/>
            <a:t>  • Apply Excel </a:t>
          </a:r>
          <a:r>
            <a:rPr lang="en-US" sz="1200" b="1"/>
            <a:t>data transformation </a:t>
          </a:r>
          <a:r>
            <a:rPr lang="en-US" sz="1200"/>
            <a:t>techniques</a:t>
          </a:r>
        </a:p>
        <a:p>
          <a:r>
            <a:rPr lang="en-US" sz="1200"/>
            <a:t>  </a:t>
          </a:r>
          <a:r>
            <a:rPr lang="en-US" sz="1200" baseline="0"/>
            <a:t>• </a:t>
          </a:r>
          <a:r>
            <a:rPr lang="en-US" sz="1200"/>
            <a:t>Use advanced formulas and </a:t>
          </a:r>
          <a:r>
            <a:rPr lang="en-US" sz="1200" b="1"/>
            <a:t>lookup functions</a:t>
          </a:r>
        </a:p>
        <a:p>
          <a:r>
            <a:rPr lang="en-US" sz="1200"/>
            <a:t>  • Perform data analysis using </a:t>
          </a:r>
          <a:r>
            <a:rPr lang="en-US" sz="1200" b="1"/>
            <a:t>Pivot Tables</a:t>
          </a:r>
        </a:p>
        <a:p>
          <a:r>
            <a:rPr lang="en-US" sz="1200"/>
            <a:t>  • Build an interactive dashboard with </a:t>
          </a:r>
          <a:r>
            <a:rPr lang="en-US" sz="1200" b="1"/>
            <a:t>charts and slicers</a:t>
          </a:r>
        </a:p>
        <a:p>
          <a:r>
            <a:rPr lang="en-US" sz="1200"/>
            <a:t>  • Explore scenarios using </a:t>
          </a:r>
          <a:r>
            <a:rPr lang="en-US" sz="1200" b="1"/>
            <a:t>What-If Analysis</a:t>
          </a:r>
        </a:p>
        <a:p>
          <a:r>
            <a:rPr lang="en-US" sz="1200"/>
            <a:t>  • Automate tasks using </a:t>
          </a:r>
          <a:r>
            <a:rPr lang="en-US" sz="1200" b="1"/>
            <a:t>Excel macros</a:t>
          </a:r>
        </a:p>
        <a:p>
          <a:endParaRPr lang="en-US" sz="1200" b="1"/>
        </a:p>
        <a:p>
          <a:r>
            <a:rPr lang="en-US" sz="1400" b="1"/>
            <a:t>Tools and Techniques Used</a:t>
          </a:r>
        </a:p>
        <a:p>
          <a:endParaRPr lang="en-US" sz="1400" b="1"/>
        </a:p>
        <a:p>
          <a:r>
            <a:rPr lang="en-US" sz="1200"/>
            <a:t>   • Data Cleaning (TRIM, IF, formatting)</a:t>
          </a:r>
        </a:p>
        <a:p>
          <a:r>
            <a:rPr lang="en-US" sz="1200"/>
            <a:t>   • Lookup Functions (VLOOKUP, XLOOKUP, INDEX/MATCH)</a:t>
          </a:r>
        </a:p>
        <a:p>
          <a:r>
            <a:rPr lang="en-US" sz="1200"/>
            <a:t>   • Pivot Tables and Pivot Charts</a:t>
          </a:r>
        </a:p>
        <a:p>
          <a:r>
            <a:rPr lang="en-US" sz="1200"/>
            <a:t>   • Conditional Formatting</a:t>
          </a:r>
        </a:p>
        <a:p>
          <a:r>
            <a:rPr lang="en-US" sz="1200"/>
            <a:t>   • Sorting and Filtering</a:t>
          </a:r>
        </a:p>
        <a:p>
          <a:r>
            <a:rPr lang="en-US" sz="1200"/>
            <a:t>   • Data Visualization</a:t>
          </a:r>
        </a:p>
        <a:p>
          <a:r>
            <a:rPr lang="en-US" sz="1200"/>
            <a:t>   • What-If Analysis (Scenario Manager)</a:t>
          </a:r>
        </a:p>
        <a:p>
          <a:r>
            <a:rPr lang="en-US" sz="1200"/>
            <a:t>   • VBA Macros</a:t>
          </a:r>
        </a:p>
        <a:p>
          <a:endParaRPr lang="en-US" sz="1200"/>
        </a:p>
        <a:p>
          <a:r>
            <a:rPr lang="en-US" sz="1400" b="1"/>
            <a:t>Key Insights Generated</a:t>
          </a:r>
        </a:p>
        <a:p>
          <a:endParaRPr lang="en-US" sz="1400" b="1"/>
        </a:p>
        <a:p>
          <a:r>
            <a:rPr lang="en-US" sz="1200"/>
            <a:t>   The analysis focuses on employee distribution, salary patterns, and performance metrics across departments.</a:t>
          </a:r>
        </a:p>
        <a:p>
          <a:r>
            <a:rPr lang="en-US" sz="1200"/>
            <a:t>   The dashboard allows users to explore HR data dynamically using filters and slicers, helping identify trends</a:t>
          </a:r>
        </a:p>
        <a:p>
          <a:r>
            <a:rPr lang="en-US" sz="1200"/>
            <a:t>    such as salary distribution, department performance, and workforce composition.</a:t>
          </a:r>
        </a:p>
        <a:p>
          <a:endParaRPr lang="en-US" sz="1100"/>
        </a:p>
        <a:p>
          <a:r>
            <a:rPr lang="en-US" sz="1400" b="1">
              <a:latin typeface="Arial" panose="020B0604020202020204" pitchFamily="34" charset="0"/>
              <a:cs typeface="Arial" panose="020B0604020202020204" pitchFamily="34" charset="0"/>
            </a:rPr>
            <a:t>Project Structure</a:t>
          </a:r>
        </a:p>
        <a:p>
          <a:endParaRPr lang="en-US" sz="1400" b="1">
            <a:latin typeface="Arial" panose="020B0604020202020204" pitchFamily="34" charset="0"/>
            <a:cs typeface="Arial" panose="020B0604020202020204" pitchFamily="34" charset="0"/>
          </a:endParaRPr>
        </a:p>
        <a:p>
          <a:r>
            <a:rPr lang="en-US" sz="1200" b="1">
              <a:latin typeface="+mn-lt"/>
              <a:cs typeface="Arial" panose="020B0604020202020204" pitchFamily="34" charset="0"/>
            </a:rPr>
            <a:t>•  Messy_HR_data</a:t>
          </a:r>
        </a:p>
        <a:p>
          <a:r>
            <a:rPr lang="en-US" sz="1200">
              <a:latin typeface="+mn-lt"/>
              <a:cs typeface="Arial" panose="020B0604020202020204" pitchFamily="34" charset="0"/>
            </a:rPr>
            <a:t>Contains the original HR dataset imported from a CSV file.</a:t>
          </a:r>
          <a:br>
            <a:rPr lang="en-US" sz="1200">
              <a:latin typeface="+mn-lt"/>
              <a:cs typeface="Arial" panose="020B0604020202020204" pitchFamily="34" charset="0"/>
            </a:rPr>
          </a:br>
          <a:r>
            <a:rPr lang="en-US" sz="1200">
              <a:latin typeface="+mn-lt"/>
              <a:cs typeface="Arial" panose="020B0604020202020204" pitchFamily="34" charset="0"/>
            </a:rPr>
            <a:t>This sheet preserves the raw data before any transformations are applied.</a:t>
          </a:r>
        </a:p>
        <a:p>
          <a:r>
            <a:rPr lang="en-US" sz="1200" b="1">
              <a:latin typeface="+mn-lt"/>
              <a:cs typeface="Arial" panose="020B0604020202020204" pitchFamily="34" charset="0"/>
            </a:rPr>
            <a:t>•  Data_Cleaning</a:t>
          </a:r>
        </a:p>
        <a:p>
          <a:r>
            <a:rPr lang="en-US" sz="1200">
              <a:latin typeface="+mn-lt"/>
              <a:cs typeface="Arial" panose="020B0604020202020204" pitchFamily="34" charset="0"/>
            </a:rPr>
            <a:t>Data cleaning and preparation using Excel functions and formatting techniques.</a:t>
          </a:r>
          <a:br>
            <a:rPr lang="en-US" sz="1200">
              <a:latin typeface="+mn-lt"/>
              <a:cs typeface="Arial" panose="020B0604020202020204" pitchFamily="34" charset="0"/>
            </a:rPr>
          </a:br>
          <a:r>
            <a:rPr lang="en-US" sz="1200">
              <a:latin typeface="+mn-lt"/>
              <a:cs typeface="Arial" panose="020B0604020202020204" pitchFamily="34" charset="0"/>
            </a:rPr>
            <a:t>Tasks include removing extra spaces, handling missing values, correcting data types, and identifying duplicates.</a:t>
          </a:r>
        </a:p>
        <a:p>
          <a:r>
            <a:rPr lang="en-US" sz="1200"/>
            <a:t>• </a:t>
          </a:r>
          <a:r>
            <a:rPr lang="en-US" sz="1200" b="1"/>
            <a:t>Conversion Table (Age)</a:t>
          </a:r>
        </a:p>
        <a:p>
          <a:r>
            <a:rPr lang="en-US" sz="1200"/>
            <a:t>Contains a reference table used to convert age values written as text into numeric format. This table supports the data cleaning process by </a:t>
          </a:r>
        </a:p>
        <a:p>
          <a:r>
            <a:rPr lang="en-US" sz="1200"/>
            <a:t>standardizing inconsistent age entries.</a:t>
          </a:r>
        </a:p>
        <a:p>
          <a:r>
            <a:rPr lang="en-US" sz="1200"/>
            <a:t>•  </a:t>
          </a:r>
          <a:r>
            <a:rPr lang="en-US" sz="1200" b="1"/>
            <a:t>Data_Quality_Check</a:t>
          </a:r>
        </a:p>
        <a:p>
          <a:r>
            <a:rPr lang="en-US" sz="1200"/>
            <a:t>This sheet applies conditional formatting to highlight key patterns and data quality issues such as missing values, salary differences, employee performance</a:t>
          </a:r>
        </a:p>
        <a:p>
          <a:r>
            <a:rPr lang="en-US" sz="1200"/>
            <a:t> levels, and age distribution. These visual cues help quickly identify important insights within the dataset.</a:t>
          </a:r>
          <a:endParaRPr lang="en-US" sz="1200" b="1">
            <a:latin typeface="+mn-lt"/>
            <a:cs typeface="Arial" panose="020B0604020202020204" pitchFamily="34" charset="0"/>
          </a:endParaRPr>
        </a:p>
        <a:p>
          <a:r>
            <a:rPr lang="en-US" sz="1200" b="1">
              <a:latin typeface="+mn-lt"/>
              <a:cs typeface="Arial" panose="020B0604020202020204" pitchFamily="34" charset="0"/>
            </a:rPr>
            <a:t>•  Data_Transformations</a:t>
          </a:r>
        </a:p>
        <a:p>
          <a:pPr marL="0" marR="0" lvl="0" indent="0" defTabSz="914400" eaLnBrk="1" fontAlgn="auto" latinLnBrk="0" hangingPunct="1">
            <a:lnSpc>
              <a:spcPct val="100000"/>
            </a:lnSpc>
            <a:spcBef>
              <a:spcPts val="0"/>
            </a:spcBef>
            <a:spcAft>
              <a:spcPts val="0"/>
            </a:spcAft>
            <a:buClrTx/>
            <a:buSzTx/>
            <a:buFontTx/>
            <a:buNone/>
            <a:tabLst/>
            <a:defRPr/>
          </a:pPr>
          <a:r>
            <a:rPr lang="en-US" sz="1200"/>
            <a:t>Additional calculated columns and data transformations were created to support further analysis. These include age groups, salary categories, and employee tenure </a:t>
          </a:r>
        </a:p>
        <a:p>
          <a:pPr marL="0" marR="0" lvl="0" indent="0" defTabSz="914400" eaLnBrk="1" fontAlgn="auto" latinLnBrk="0" hangingPunct="1">
            <a:lnSpc>
              <a:spcPct val="100000"/>
            </a:lnSpc>
            <a:spcBef>
              <a:spcPts val="0"/>
            </a:spcBef>
            <a:spcAft>
              <a:spcPts val="0"/>
            </a:spcAft>
            <a:buClrTx/>
            <a:buSzTx/>
            <a:buFontTx/>
            <a:buNone/>
            <a:tabLst/>
            <a:defRPr/>
          </a:pPr>
          <a:r>
            <a:rPr lang="en-US" sz="1200"/>
            <a:t>calculations. Advanced filtering and sorting techniques were also applied using modern Excel functions to dynamically extract and organize data based on specific conditions.</a:t>
          </a:r>
        </a:p>
        <a:p>
          <a:r>
            <a:rPr lang="en-US" sz="1200" b="1">
              <a:latin typeface="+mn-lt"/>
              <a:cs typeface="Arial" panose="020B0604020202020204" pitchFamily="34" charset="0"/>
            </a:rPr>
            <a:t>•  Lookup_Functions</a:t>
          </a:r>
        </a:p>
        <a:p>
          <a:r>
            <a:rPr lang="en-US" sz="1200">
              <a:latin typeface="+mn-lt"/>
              <a:cs typeface="Arial" panose="020B0604020202020204" pitchFamily="34" charset="0"/>
            </a:rPr>
            <a:t>Demonstrates advanced Excel lookup formulas including VLOOKUP, XLOOKUP, HLOOKUP, and INDEX/MATCH for retrieving related information from reference tables.</a:t>
          </a:r>
        </a:p>
        <a:p>
          <a:r>
            <a:rPr lang="en-US" sz="1200" b="1">
              <a:latin typeface="+mn-lt"/>
              <a:cs typeface="Arial" panose="020B0604020202020204" pitchFamily="34" charset="0"/>
            </a:rPr>
            <a:t>•  Pivot_Analysis</a:t>
          </a:r>
        </a:p>
        <a:p>
          <a:r>
            <a:rPr lang="en-US" sz="1200">
              <a:latin typeface="+mn-lt"/>
              <a:cs typeface="Arial" panose="020B0604020202020204" pitchFamily="34" charset="0"/>
            </a:rPr>
            <a:t>Contains Pivot Tables used to summarize and analyze HR data such as employee distribution, average salary by department, and performance metrics.</a:t>
          </a:r>
        </a:p>
        <a:p>
          <a:r>
            <a:rPr lang="en-US" sz="1200" b="1">
              <a:latin typeface="+mn-lt"/>
              <a:cs typeface="Arial" panose="020B0604020202020204" pitchFamily="34" charset="0"/>
            </a:rPr>
            <a:t>•  Dashboard</a:t>
          </a:r>
        </a:p>
        <a:p>
          <a:r>
            <a:rPr lang="en-US" sz="1200"/>
            <a:t> An interactive dashboard presenting key insights using charts, slicers, and KPI indicators to visualize employee and salary trends. A VBA macro was integrated into</a:t>
          </a:r>
        </a:p>
        <a:p>
          <a:r>
            <a:rPr lang="en-US" sz="1200"/>
            <a:t> the dashboard through a “Refresh” button, allowing users to automatically update Pivot Tables and charts for a seamless and efficient analysis experience.</a:t>
          </a:r>
          <a:endParaRPr lang="en-US" sz="1200">
            <a:latin typeface="+mn-lt"/>
            <a:cs typeface="Arial" panose="020B0604020202020204" pitchFamily="34" charset="0"/>
          </a:endParaRPr>
        </a:p>
        <a:p>
          <a:r>
            <a:rPr lang="en-US" sz="1200" b="1">
              <a:latin typeface="+mn-lt"/>
              <a:cs typeface="Arial" panose="020B0604020202020204" pitchFamily="34" charset="0"/>
            </a:rPr>
            <a:t>•  What_If_Analysis</a:t>
          </a:r>
        </a:p>
        <a:p>
          <a:r>
            <a:rPr lang="en-US" sz="1200">
              <a:latin typeface="+mn-lt"/>
              <a:cs typeface="Arial" panose="020B0604020202020204" pitchFamily="34" charset="0"/>
            </a:rPr>
            <a:t>Scenario analysis used to evaluate the impact of salary adjustments using Excel tools such as Scenario Manager and Goal Seek.</a:t>
          </a:r>
        </a:p>
        <a:p>
          <a:r>
            <a:rPr lang="en-US" sz="1100"/>
            <a:t>• </a:t>
          </a:r>
          <a:r>
            <a:rPr lang="en-US" sz="1200" b="1"/>
            <a:t>Scenario Summary</a:t>
          </a:r>
        </a:p>
        <a:p>
          <a:r>
            <a:rPr lang="en-US" sz="1200"/>
            <a:t>This sheet summarizes the results of multiple salary increase scenarios, enabling clear comparison and analysis of their impact on key metrics.</a:t>
          </a:r>
          <a:endParaRPr lang="en-US" sz="1200" b="1"/>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11</xdr:col>
      <xdr:colOff>38100</xdr:colOff>
      <xdr:row>3</xdr:row>
      <xdr:rowOff>152400</xdr:rowOff>
    </xdr:from>
    <xdr:ext cx="184731"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329160" y="7010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11</xdr:col>
      <xdr:colOff>7620</xdr:colOff>
      <xdr:row>1</xdr:row>
      <xdr:rowOff>30480</xdr:rowOff>
    </xdr:from>
    <xdr:ext cx="9532620" cy="3688080"/>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736580" y="350520"/>
          <a:ext cx="9532620" cy="3688080"/>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0" i="0" u="none" strike="noStrike">
              <a:solidFill>
                <a:schemeClr val="tx1"/>
              </a:solidFill>
              <a:effectLst/>
              <a:latin typeface="+mn-lt"/>
              <a:ea typeface="+mn-ea"/>
              <a:cs typeface="+mn-cs"/>
            </a:rPr>
            <a:t>Text Standardization: Employee names were formatted using PROPER and TRIM functions to ensure consistent capitalization and remove extra spaces.</a:t>
          </a:r>
        </a:p>
        <a:p>
          <a:r>
            <a:rPr lang="en-US" b="1"/>
            <a:t> =PROPER(TRIM([@Name]))</a:t>
          </a:r>
        </a:p>
        <a:p>
          <a:r>
            <a:rPr lang="en-US"/>
            <a:t>Missing age values were imputed using the average age of employees and rounded to the nearest whole number to maintain realistic demographic values.</a:t>
          </a:r>
        </a:p>
        <a:p>
          <a:r>
            <a:rPr lang="en-US" b="1"/>
            <a:t> =IFERROR(XLOOKUP([@Age],Age_Map[Text_Age],Age_Map[Numeric_Age]),[@Age])</a:t>
          </a:r>
        </a:p>
        <a:p>
          <a:r>
            <a:rPr lang="en-US" b="1"/>
            <a:t> =ROUND(IF([@Age_Clean]="nan",AVERAGE(HR_Data[Age_Clean]),[@Age_Clean]),0)</a:t>
          </a:r>
        </a:p>
        <a:p>
          <a:r>
            <a:rPr lang="en-US"/>
            <a:t>Salary values included numeric entries, text-based salary descriptions and missing values.</a:t>
          </a:r>
          <a:br>
            <a:rPr lang="en-US"/>
          </a:br>
          <a:r>
            <a:rPr lang="en-US"/>
            <a:t>Text salaries were standardized and missing values were handled during the cleaning process.</a:t>
          </a:r>
        </a:p>
        <a:p>
          <a:r>
            <a:rPr lang="en-US" sz="1100" b="1"/>
            <a:t>=IF(TRIM([@Salary])="NAN","",</a:t>
          </a:r>
        </a:p>
        <a:p>
          <a:r>
            <a:rPr lang="en-US" sz="1100" b="1"/>
            <a:t>  IF(TRIM([@Salary])="SIXTY THOUSAND",60000,</a:t>
          </a:r>
        </a:p>
        <a:p>
          <a:r>
            <a:rPr lang="en-US" sz="1100" b="1"/>
            <a:t>  VALUE([@Salary])))</a:t>
          </a:r>
        </a:p>
        <a:p>
          <a:r>
            <a:rPr lang="en-US"/>
            <a:t>The date column contained multiple formats (e.g., 5-Apr-18, 2/20/2020, and 2019.12.01).</a:t>
          </a:r>
          <a:br>
            <a:rPr lang="en-US"/>
          </a:br>
          <a:r>
            <a:rPr lang="en-US"/>
            <a:t>These values were standardized and converted into a consistent Excel date format to ensure accurate analysis and compatibility with Pivot Tables and charts.</a:t>
          </a:r>
        </a:p>
        <a:p>
          <a:r>
            <a:rPr lang="en-US"/>
            <a:t>Missing and placeholder email values such as "nan" or empty cells were standardized and labeled as "Missing" to ensure consistent handling of incomplete</a:t>
          </a:r>
        </a:p>
        <a:p>
          <a:r>
            <a:rPr lang="en-US"/>
            <a:t> contact information.</a:t>
          </a:r>
        </a:p>
        <a:p>
          <a:r>
            <a:rPr lang="en-US" sz="1100" b="1"/>
            <a:t>=IF(OR(TRIM([@Email])="",LOWER(TRIM([@Email]))="nan"),"Missing",TRIM([@Email]))</a:t>
          </a:r>
        </a:p>
        <a:p>
          <a:r>
            <a:rPr lang="en-US"/>
            <a:t>Phone number values were standardized by identifying missing entries such as "nan" and empty cells. These values were replaced with a consistent label ("Missing") </a:t>
          </a:r>
        </a:p>
        <a:p>
          <a:r>
            <a:rPr lang="en-US"/>
            <a:t>to ensure better data quality and consistency for further analysis.</a:t>
          </a:r>
        </a:p>
        <a:p>
          <a:r>
            <a:rPr lang="en-US" sz="1100" b="1"/>
            <a:t>=IF(OR(TRIM([@Phone])="",LOWER(TRIM([@Phone]))="nan"),"Missing",TRIM([@Phone]))</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12</xdr:col>
      <xdr:colOff>30481</xdr:colOff>
      <xdr:row>0</xdr:row>
      <xdr:rowOff>358140</xdr:rowOff>
    </xdr:from>
    <xdr:ext cx="6751319" cy="4648200"/>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8625841" y="358140"/>
          <a:ext cx="6751319" cy="4648200"/>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b="1"/>
            <a:t>• Conditional formatting </a:t>
          </a:r>
          <a:r>
            <a:rPr lang="en-US"/>
            <a:t>was applied to highlight key patterns and data quality issues within</a:t>
          </a:r>
        </a:p>
        <a:p>
          <a:r>
            <a:rPr lang="en-US"/>
            <a:t> the HR dataset. </a:t>
          </a:r>
          <a:r>
            <a:rPr lang="en-US" b="1"/>
            <a:t>Performance scores </a:t>
          </a:r>
          <a:r>
            <a:rPr lang="en-US"/>
            <a:t>were color-coded to quickly identify high and low performing employees, </a:t>
          </a:r>
        </a:p>
        <a:p>
          <a:r>
            <a:rPr lang="en-US"/>
            <a:t>salary values were visualized using data bars to show compensation differences, and missing contact information</a:t>
          </a:r>
        </a:p>
        <a:p>
          <a:r>
            <a:rPr lang="en-US"/>
            <a:t> was flagged to improve data quality awareness. These visual cues help make the dataset easier to interpret and </a:t>
          </a:r>
        </a:p>
        <a:p>
          <a:r>
            <a:rPr lang="en-US"/>
            <a:t>support further analysis.</a:t>
          </a:r>
        </a:p>
        <a:p>
          <a:r>
            <a:rPr lang="en-US"/>
            <a:t>• </a:t>
          </a:r>
          <a:r>
            <a:rPr lang="en-US" b="1"/>
            <a:t>Data bars </a:t>
          </a:r>
          <a:r>
            <a:rPr lang="en-US"/>
            <a:t>were used to visually compare employee</a:t>
          </a:r>
          <a:r>
            <a:rPr lang="en-US" b="1"/>
            <a:t> salaries </a:t>
          </a:r>
          <a:r>
            <a:rPr lang="en-US"/>
            <a:t>and highlight compensation differences.</a:t>
          </a:r>
        </a:p>
        <a:p>
          <a:r>
            <a:rPr lang="en-US" sz="1100"/>
            <a:t>• </a:t>
          </a:r>
          <a:r>
            <a:rPr lang="en-US"/>
            <a:t>Employees under </a:t>
          </a:r>
          <a:r>
            <a:rPr lang="en-US" b="1"/>
            <a:t>30</a:t>
          </a:r>
          <a:r>
            <a:rPr lang="en-US"/>
            <a:t> are highlighted </a:t>
          </a:r>
          <a:r>
            <a:rPr lang="en-US" b="1"/>
            <a:t>in blue </a:t>
          </a:r>
          <a:r>
            <a:rPr lang="en-US"/>
            <a:t>and employees over </a:t>
          </a:r>
          <a:r>
            <a:rPr lang="en-US" b="1"/>
            <a:t>45 in orange </a:t>
          </a:r>
          <a:r>
            <a:rPr lang="en-US"/>
            <a:t>to visualize the age distribution across the workforce.</a:t>
          </a:r>
        </a:p>
        <a:p>
          <a:r>
            <a:rPr lang="en-US" sz="1100" b="1"/>
            <a:t>• </a:t>
          </a:r>
          <a:r>
            <a:rPr lang="en-US" b="1"/>
            <a:t>Icon indicators </a:t>
          </a:r>
          <a:r>
            <a:rPr lang="en-US"/>
            <a:t>were used to flag the availability of </a:t>
          </a:r>
          <a:r>
            <a:rPr lang="en-US" b="1"/>
            <a:t>phone </a:t>
          </a:r>
          <a:r>
            <a:rPr lang="en-US"/>
            <a:t>contact information. A helper column was created to support the conditional formatting logic and visually highlight missing phone numbers.</a:t>
          </a:r>
        </a:p>
        <a:p>
          <a:r>
            <a:rPr lang="en-US" sz="1100"/>
            <a:t>• </a:t>
          </a:r>
          <a:r>
            <a:rPr lang="en-US" b="1"/>
            <a:t>Employees hired in 2020 </a:t>
          </a:r>
          <a:r>
            <a:rPr lang="en-US"/>
            <a:t>are highlighted in green to quickly identify recent hires in the dataset.</a:t>
          </a:r>
        </a:p>
        <a:p>
          <a:r>
            <a:rPr lang="en-US" sz="1100"/>
            <a:t>• </a:t>
          </a:r>
          <a:r>
            <a:rPr lang="en-US"/>
            <a:t>Conditional formatting was applied to the </a:t>
          </a:r>
          <a:r>
            <a:rPr lang="en-US" b="1"/>
            <a:t>Department column </a:t>
          </a:r>
          <a:r>
            <a:rPr lang="en-US"/>
            <a:t>to visually distinguish different departments. Each department is highlighted with a unique color to improve readability and make it easier to identify department distribution across the dataset.</a:t>
          </a:r>
        </a:p>
        <a:p>
          <a:endParaRPr lang="en-US" sz="1100"/>
        </a:p>
        <a:p>
          <a:r>
            <a:rPr lang="en-US"/>
            <a:t>• Conditional formatting was applied across key columns to highlight important patterns and data quality issues. Visual cues such as data bars, color scales, and rule-based highlights help identify salary differences, employee performance levels, age distribution, and missing contact information, making the dataset easier to interpret.</a:t>
          </a:r>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16</xdr:col>
      <xdr:colOff>22860</xdr:colOff>
      <xdr:row>0</xdr:row>
      <xdr:rowOff>327660</xdr:rowOff>
    </xdr:from>
    <xdr:ext cx="5791200" cy="3436620"/>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0888980" y="327660"/>
          <a:ext cx="5791200" cy="3436620"/>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b="1"/>
            <a:t>        Additional calculated fields were created to enrich the dataset and support deeper</a:t>
          </a:r>
        </a:p>
        <a:p>
          <a:r>
            <a:rPr lang="en-US" b="1"/>
            <a:t> analysis. These transformations help analyze workforce demographics, employee experience,</a:t>
          </a:r>
        </a:p>
        <a:p>
          <a:r>
            <a:rPr lang="en-US" b="1"/>
            <a:t> salary distribution, and hiring trends.</a:t>
          </a:r>
        </a:p>
        <a:p>
          <a:r>
            <a:rPr lang="en-US" b="1"/>
            <a:t>• Age Group</a:t>
          </a:r>
        </a:p>
        <a:p>
          <a:r>
            <a:rPr lang="en-US"/>
            <a:t>An Age Group category was created to segment employees into different age ranges. This</a:t>
          </a:r>
        </a:p>
        <a:p>
          <a:r>
            <a:rPr lang="en-US"/>
            <a:t> transformation helps analyze workforce demographics and compare employee distribution </a:t>
          </a:r>
        </a:p>
        <a:p>
          <a:r>
            <a:rPr lang="en-US"/>
            <a:t>across age groups.</a:t>
          </a:r>
        </a:p>
        <a:p>
          <a:r>
            <a:rPr lang="en-US" b="1"/>
            <a:t>•</a:t>
          </a:r>
          <a:r>
            <a:rPr lang="en-US" b="1" baseline="0"/>
            <a:t> </a:t>
          </a:r>
          <a:r>
            <a:rPr lang="en-US" b="1"/>
            <a:t>Tenure (Years in Company)</a:t>
          </a:r>
        </a:p>
        <a:p>
          <a:r>
            <a:rPr lang="en-US"/>
            <a:t>Tenure was calculated using the employee joining date to determine how many years each </a:t>
          </a:r>
        </a:p>
        <a:p>
          <a:r>
            <a:rPr lang="en-US"/>
            <a:t>employee has been working in the company. This metric helps analyze employee experience </a:t>
          </a:r>
        </a:p>
        <a:p>
          <a:r>
            <a:rPr lang="en-US"/>
            <a:t>and workforce stability.</a:t>
          </a:r>
        </a:p>
        <a:p>
          <a:r>
            <a:rPr lang="en-US" b="1"/>
            <a:t>•</a:t>
          </a:r>
          <a:r>
            <a:rPr lang="en-US" b="1" baseline="0"/>
            <a:t>  </a:t>
          </a:r>
          <a:r>
            <a:rPr lang="en-US" b="1"/>
            <a:t>Salary Band</a:t>
          </a:r>
        </a:p>
        <a:p>
          <a:r>
            <a:rPr lang="en-US"/>
            <a:t>Salary values were grouped into categories (Low, Medium, High) to simplify salary comparisons</a:t>
          </a:r>
        </a:p>
        <a:p>
          <a:r>
            <a:rPr lang="en-US"/>
            <a:t> and identify compensation patterns across employees and departments.</a:t>
          </a:r>
        </a:p>
        <a:p>
          <a:r>
            <a:rPr lang="en-US" b="1"/>
            <a:t>• Hire Year</a:t>
          </a:r>
        </a:p>
        <a:p>
          <a:r>
            <a:rPr lang="en-US"/>
            <a:t>The Hire Year field was extracted from the joining date to analyze hiring trends over time and</a:t>
          </a:r>
        </a:p>
        <a:p>
          <a:r>
            <a:rPr lang="en-US"/>
            <a:t> identify periods of higher employee recruitment.</a:t>
          </a:r>
        </a:p>
        <a:p>
          <a:endParaRPr lang="en-US" sz="1100" b="1"/>
        </a:p>
      </xdr:txBody>
    </xdr:sp>
    <xdr:clientData/>
  </xdr:oneCellAnchor>
  <xdr:oneCellAnchor>
    <xdr:from>
      <xdr:col>16</xdr:col>
      <xdr:colOff>15240</xdr:colOff>
      <xdr:row>20</xdr:row>
      <xdr:rowOff>167640</xdr:rowOff>
    </xdr:from>
    <xdr:ext cx="5829300" cy="1447800"/>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2077700" y="4008120"/>
          <a:ext cx="5829300" cy="1447800"/>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Advanced Analysis Section</a:t>
          </a:r>
        </a:p>
        <a:p>
          <a:r>
            <a:rPr lang="en-US" sz="1200"/>
            <a:t>• Advanced filtering and sorting functions were used to dynamically extract and organize data from the dataset. </a:t>
          </a:r>
          <a:r>
            <a:rPr lang="en-US" sz="1200" b="1"/>
            <a:t>The FILTER </a:t>
          </a:r>
          <a:r>
            <a:rPr lang="en-US" sz="1200"/>
            <a:t>function allows selecting specific subsets of data based on conditions, while the </a:t>
          </a:r>
          <a:r>
            <a:rPr lang="en-US" sz="1200" b="1"/>
            <a:t>SORT</a:t>
          </a:r>
          <a:r>
            <a:rPr lang="en-US" sz="1200"/>
            <a:t> function organizes the results to highlight key patterns such as top salaries within a department.</a:t>
          </a:r>
        </a:p>
        <a:p>
          <a:r>
            <a:rPr lang="en-US" sz="1200" b="1"/>
            <a:t>=SORT(FILTER(HR_Data5,(HR_Data5[Department]="HR")*(HR_Data5[Salary]&gt;60000)),3,-1)</a:t>
          </a:r>
        </a:p>
        <a:p>
          <a:endParaRPr lang="en-US" sz="1200" b="1"/>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579120</xdr:colOff>
      <xdr:row>0</xdr:row>
      <xdr:rowOff>152400</xdr:rowOff>
    </xdr:from>
    <xdr:ext cx="10165080" cy="29718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579120" y="152400"/>
          <a:ext cx="10165080" cy="297180"/>
        </a:xfrm>
        <a:prstGeom prst="rect">
          <a:avLst/>
        </a:prstGeom>
        <a:solidFill>
          <a:schemeClr val="accent5">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This sheet demonstrates how Excel lookup functions retrieve employee information from the dataset using different search techniques.</a:t>
          </a:r>
        </a:p>
      </xdr:txBody>
    </xdr:sp>
    <xdr:clientData/>
  </xdr:oneCellAnchor>
  <xdr:oneCellAnchor>
    <xdr:from>
      <xdr:col>3</xdr:col>
      <xdr:colOff>15240</xdr:colOff>
      <xdr:row>4</xdr:row>
      <xdr:rowOff>0</xdr:rowOff>
    </xdr:from>
    <xdr:ext cx="6850380" cy="1699260"/>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2781300" y="731520"/>
          <a:ext cx="6850380" cy="1699260"/>
        </a:xfrm>
        <a:prstGeom prst="rect">
          <a:avLst/>
        </a:prstGeom>
        <a:solidFill>
          <a:schemeClr val="accent5">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t>• This section demonstrates how lookup functions retrieve specific information from the dataset. Different lookup </a:t>
          </a:r>
        </a:p>
        <a:p>
          <a:r>
            <a:rPr lang="en-US"/>
            <a:t>methods are used to show how employee details can be dynamically extracted based on the selected employee name.</a:t>
          </a:r>
        </a:p>
        <a:p>
          <a:endParaRPr lang="en-US"/>
        </a:p>
        <a:p>
          <a:r>
            <a:rPr lang="en-US"/>
            <a:t>• Functions such as </a:t>
          </a:r>
          <a:r>
            <a:rPr lang="en-US" b="1"/>
            <a:t>XLOOKUP, VLOOKUP</a:t>
          </a:r>
          <a:r>
            <a:rPr lang="en-US"/>
            <a:t>, and </a:t>
          </a:r>
          <a:r>
            <a:rPr lang="en-US" b="1"/>
            <a:t>INDEX/MATCH </a:t>
          </a:r>
          <a:r>
            <a:rPr lang="en-US"/>
            <a:t>are used to dynamically extract details like age, salary, </a:t>
          </a:r>
        </a:p>
        <a:p>
          <a:r>
            <a:rPr lang="en-US"/>
            <a:t>and department </a:t>
          </a:r>
          <a:r>
            <a:rPr lang="en-US" b="1"/>
            <a:t>based on the selected employee name</a:t>
          </a:r>
          <a:r>
            <a:rPr lang="en-US"/>
            <a:t>.</a:t>
          </a:r>
        </a:p>
        <a:p>
          <a:endParaRPr lang="en-US"/>
        </a:p>
        <a:p>
          <a:r>
            <a:rPr lang="en-US"/>
            <a:t>• The </a:t>
          </a:r>
          <a:r>
            <a:rPr lang="en-US" b="1"/>
            <a:t>employee name</a:t>
          </a:r>
          <a:r>
            <a:rPr lang="en-US"/>
            <a:t> is selected using </a:t>
          </a:r>
          <a:r>
            <a:rPr lang="en-US" b="1"/>
            <a:t>a dropdown list </a:t>
          </a:r>
          <a:r>
            <a:rPr lang="en-US"/>
            <a:t>created </a:t>
          </a:r>
          <a:r>
            <a:rPr lang="en-US" b="1"/>
            <a:t>with Data Validation</a:t>
          </a:r>
          <a:r>
            <a:rPr lang="en-US"/>
            <a:t>. This allows users to choose a </a:t>
          </a:r>
        </a:p>
        <a:p>
          <a:r>
            <a:rPr lang="en-US"/>
            <a:t>name</a:t>
          </a:r>
          <a:r>
            <a:rPr lang="en-US" baseline="0"/>
            <a:t> </a:t>
          </a:r>
          <a:r>
            <a:rPr lang="en-US"/>
            <a:t>from the existing dataset, ensuring accurate input and enabling the lookup functions to dynamically return the </a:t>
          </a:r>
        </a:p>
        <a:p>
          <a:r>
            <a:rPr lang="en-US"/>
            <a:t>corresponding information.</a:t>
          </a:r>
          <a:endParaRPr lang="en-US" sz="11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7</xdr:col>
      <xdr:colOff>735330</xdr:colOff>
      <xdr:row>0</xdr:row>
      <xdr:rowOff>175260</xdr:rowOff>
    </xdr:from>
    <xdr:to>
      <xdr:col>16</xdr:col>
      <xdr:colOff>15240</xdr:colOff>
      <xdr:row>15</xdr:row>
      <xdr:rowOff>175260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xdr:colOff>
      <xdr:row>21</xdr:row>
      <xdr:rowOff>152400</xdr:rowOff>
    </xdr:from>
    <xdr:to>
      <xdr:col>16</xdr:col>
      <xdr:colOff>15240</xdr:colOff>
      <xdr:row>36</xdr:row>
      <xdr:rowOff>152400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129540</xdr:colOff>
      <xdr:row>1</xdr:row>
      <xdr:rowOff>22861</xdr:rowOff>
    </xdr:from>
    <xdr:to>
      <xdr:col>19</xdr:col>
      <xdr:colOff>129540</xdr:colOff>
      <xdr:row>10</xdr:row>
      <xdr:rowOff>106681</xdr:rowOff>
    </xdr:to>
    <mc:AlternateContent xmlns:mc="http://schemas.openxmlformats.org/markup-compatibility/2006" xmlns:a14="http://schemas.microsoft.com/office/drawing/2010/main">
      <mc:Choice Requires="a14">
        <xdr:graphicFrame macro="">
          <xdr:nvGraphicFramePr>
            <xdr:cNvPr id="9" name="Department">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4104620" y="205741"/>
              <a:ext cx="1828800" cy="1729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213360</xdr:colOff>
      <xdr:row>22</xdr:row>
      <xdr:rowOff>22861</xdr:rowOff>
    </xdr:from>
    <xdr:to>
      <xdr:col>19</xdr:col>
      <xdr:colOff>213360</xdr:colOff>
      <xdr:row>28</xdr:row>
      <xdr:rowOff>99061</xdr:rowOff>
    </xdr:to>
    <mc:AlternateContent xmlns:mc="http://schemas.openxmlformats.org/markup-compatibility/2006" xmlns:a14="http://schemas.microsoft.com/office/drawing/2010/main">
      <mc:Choice Requires="a14">
        <xdr:graphicFrame macro="">
          <xdr:nvGraphicFramePr>
            <xdr:cNvPr id="10" name="Gender">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4188440" y="4046221"/>
              <a:ext cx="1828800" cy="1173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21</xdr:row>
      <xdr:rowOff>167640</xdr:rowOff>
    </xdr:from>
    <xdr:to>
      <xdr:col>7</xdr:col>
      <xdr:colOff>251460</xdr:colOff>
      <xdr:row>36</xdr:row>
      <xdr:rowOff>167640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xdr:col>
      <xdr:colOff>975360</xdr:colOff>
      <xdr:row>37</xdr:row>
      <xdr:rowOff>144780</xdr:rowOff>
    </xdr:from>
    <xdr:ext cx="5122493" cy="609013"/>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2903220" y="6911340"/>
          <a:ext cx="5122493" cy="609013"/>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t>• </a:t>
          </a:r>
          <a:r>
            <a:rPr lang="en-US" b="1"/>
            <a:t>A radar chart </a:t>
          </a:r>
          <a:r>
            <a:rPr lang="en-US"/>
            <a:t>was used to compare multiple HR metrics, including employee count, </a:t>
          </a:r>
        </a:p>
        <a:p>
          <a:r>
            <a:rPr lang="en-US"/>
            <a:t>average salary, and hire year. This visualization provides an overview of how different </a:t>
          </a:r>
        </a:p>
        <a:p>
          <a:r>
            <a:rPr lang="en-US"/>
            <a:t>indicators relate to each other and highlights variations across key workforce metrics.</a:t>
          </a:r>
          <a:endParaRPr lang="en-US" sz="1100"/>
        </a:p>
      </xdr:txBody>
    </xdr:sp>
    <xdr:clientData/>
  </xdr:oneCellAnchor>
  <xdr:oneCellAnchor>
    <xdr:from>
      <xdr:col>7</xdr:col>
      <xdr:colOff>640080</xdr:colOff>
      <xdr:row>16</xdr:row>
      <xdr:rowOff>152400</xdr:rowOff>
    </xdr:from>
    <xdr:ext cx="7010400" cy="609013"/>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8389620" y="3078480"/>
          <a:ext cx="7010400" cy="609013"/>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t>• </a:t>
          </a:r>
          <a:r>
            <a:rPr lang="en-US" b="1"/>
            <a:t>A 3D clustered column </a:t>
          </a:r>
          <a:r>
            <a:rPr lang="en-US"/>
            <a:t>chart was used to visualize the average salary across departments, segmented by gender. This chart highlights differences in compensation between departments and allows for easy comparison between male and female employees within each category</a:t>
          </a:r>
          <a:r>
            <a:rPr lang="en-US" baseline="0"/>
            <a:t> </a:t>
          </a:r>
          <a:r>
            <a:rPr lang="en-US"/>
            <a:t>with slicers enabling dynamic and interactive filtering.</a:t>
          </a:r>
          <a:endParaRPr lang="en-US" sz="1100"/>
        </a:p>
      </xdr:txBody>
    </xdr:sp>
    <xdr:clientData/>
  </xdr:oneCellAnchor>
  <xdr:oneCellAnchor>
    <xdr:from>
      <xdr:col>8</xdr:col>
      <xdr:colOff>0</xdr:colOff>
      <xdr:row>37</xdr:row>
      <xdr:rowOff>160020</xdr:rowOff>
    </xdr:from>
    <xdr:ext cx="6957060" cy="609013"/>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8488680" y="6926580"/>
          <a:ext cx="6957060" cy="609013"/>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t>• </a:t>
          </a:r>
          <a:r>
            <a:rPr lang="en-US" b="1"/>
            <a:t>A 100% stacked column chart </a:t>
          </a:r>
          <a:r>
            <a:rPr lang="en-US"/>
            <a:t>was used to show the distribution of performance scores across different age groups. This visualization highlights the proportion of each performance level within each age category,making it easier to compare performance patterns relative to employee age</a:t>
          </a:r>
          <a:r>
            <a:rPr lang="en-US" baseline="0"/>
            <a:t> </a:t>
          </a:r>
          <a:r>
            <a:rPr lang="en-US"/>
            <a:t>with slicers enabling dynamic and interactive filtering.</a:t>
          </a:r>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11932920" cy="52578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0" y="0"/>
          <a:ext cx="11932920" cy="525780"/>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3200" baseline="0">
              <a:solidFill>
                <a:schemeClr val="bg1"/>
              </a:solidFill>
            </a:rPr>
            <a:t>                                       HR Analytics Dashboard</a:t>
          </a:r>
        </a:p>
      </xdr:txBody>
    </xdr:sp>
    <xdr:clientData/>
  </xdr:oneCellAnchor>
  <xdr:twoCellAnchor>
    <xdr:from>
      <xdr:col>0</xdr:col>
      <xdr:colOff>662940</xdr:colOff>
      <xdr:row>4</xdr:row>
      <xdr:rowOff>15240</xdr:rowOff>
    </xdr:from>
    <xdr:to>
      <xdr:col>5</xdr:col>
      <xdr:colOff>7620</xdr:colOff>
      <xdr:row>9</xdr:row>
      <xdr:rowOff>15240</xdr:rowOff>
    </xdr:to>
    <xdr:sp macro="" textlink="$Y$2">
      <xdr:nvSpPr>
        <xdr:cNvPr id="3" name="Rectangle 2">
          <a:extLst>
            <a:ext uri="{FF2B5EF4-FFF2-40B4-BE49-F238E27FC236}">
              <a16:creationId xmlns:a16="http://schemas.microsoft.com/office/drawing/2014/main" id="{00000000-0008-0000-0800-000003000000}"/>
            </a:ext>
          </a:extLst>
        </xdr:cNvPr>
        <xdr:cNvSpPr/>
      </xdr:nvSpPr>
      <xdr:spPr>
        <a:xfrm>
          <a:off x="662940" y="906780"/>
          <a:ext cx="2887980" cy="914400"/>
        </a:xfrm>
        <a:prstGeom prst="rect">
          <a:avLst/>
        </a:prstGeom>
        <a:solidFill>
          <a:schemeClr val="accent1">
            <a:lumMod val="20000"/>
            <a:lumOff val="80000"/>
          </a:schemeClr>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i="0" u="none" strike="noStrike">
            <a:solidFill>
              <a:sysClr val="windowText" lastClr="000000"/>
            </a:solidFill>
            <a:latin typeface="Calibri"/>
            <a:ea typeface="Calibri"/>
            <a:cs typeface="Calibri"/>
          </a:endParaRPr>
        </a:p>
        <a:p>
          <a:pPr algn="l"/>
          <a:r>
            <a:rPr lang="en-US" sz="2400" b="1" i="0" u="none" strike="noStrike">
              <a:solidFill>
                <a:sysClr val="windowText" lastClr="000000"/>
              </a:solidFill>
              <a:latin typeface="Calibri"/>
              <a:ea typeface="Calibri"/>
              <a:cs typeface="Calibri"/>
            </a:rPr>
            <a:t>          </a:t>
          </a:r>
          <a:fld id="{4039F87F-0922-45F9-9E8D-5EE319F15391}" type="TxLink">
            <a:rPr lang="en-US" sz="2400" b="1" i="0" u="none" strike="noStrike">
              <a:solidFill>
                <a:sysClr val="windowText" lastClr="000000"/>
              </a:solidFill>
              <a:latin typeface="Calibri"/>
              <a:ea typeface="Calibri"/>
              <a:cs typeface="Calibri"/>
            </a:rPr>
            <a:pPr algn="l"/>
            <a:t>1000</a:t>
          </a:fld>
          <a:endParaRPr lang="en-US" sz="2400" b="1">
            <a:solidFill>
              <a:sysClr val="windowText" lastClr="000000"/>
            </a:solidFill>
          </a:endParaRPr>
        </a:p>
      </xdr:txBody>
    </xdr:sp>
    <xdr:clientData/>
  </xdr:twoCellAnchor>
  <xdr:twoCellAnchor>
    <xdr:from>
      <xdr:col>10</xdr:col>
      <xdr:colOff>701040</xdr:colOff>
      <xdr:row>4</xdr:row>
      <xdr:rowOff>15240</xdr:rowOff>
    </xdr:from>
    <xdr:to>
      <xdr:col>15</xdr:col>
      <xdr:colOff>22860</xdr:colOff>
      <xdr:row>9</xdr:row>
      <xdr:rowOff>30480</xdr:rowOff>
    </xdr:to>
    <xdr:sp macro="" textlink="$AA$15">
      <xdr:nvSpPr>
        <xdr:cNvPr id="4" name="Rectangle 3">
          <a:extLst>
            <a:ext uri="{FF2B5EF4-FFF2-40B4-BE49-F238E27FC236}">
              <a16:creationId xmlns:a16="http://schemas.microsoft.com/office/drawing/2014/main" id="{00000000-0008-0000-0800-000004000000}"/>
            </a:ext>
          </a:extLst>
        </xdr:cNvPr>
        <xdr:cNvSpPr/>
      </xdr:nvSpPr>
      <xdr:spPr>
        <a:xfrm>
          <a:off x="7787640" y="906780"/>
          <a:ext cx="2865120" cy="929640"/>
        </a:xfrm>
        <a:prstGeom prst="rect">
          <a:avLst/>
        </a:prstGeom>
        <a:solidFill>
          <a:schemeClr val="accent1">
            <a:lumMod val="20000"/>
            <a:lumOff val="80000"/>
          </a:schemeClr>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i="0" u="none" strike="noStrike">
              <a:solidFill>
                <a:srgbClr val="000000"/>
              </a:solidFill>
              <a:latin typeface="Calibri"/>
              <a:ea typeface="Calibri"/>
              <a:cs typeface="Calibri"/>
            </a:rPr>
            <a:t> </a:t>
          </a:r>
        </a:p>
        <a:p>
          <a:pPr algn="l"/>
          <a:r>
            <a:rPr lang="en-US" sz="2400" b="1" i="0" u="none" strike="noStrike">
              <a:solidFill>
                <a:srgbClr val="000000"/>
              </a:solidFill>
              <a:latin typeface="Calibri"/>
              <a:ea typeface="Calibri"/>
              <a:cs typeface="Calibri"/>
            </a:rPr>
            <a:t>             </a:t>
          </a:r>
          <a:fld id="{47890C24-6269-454A-9FCE-BF44C36B00DB}" type="TxLink">
            <a:rPr lang="en-US" sz="2400" b="1" i="0" u="none" strike="noStrike">
              <a:solidFill>
                <a:srgbClr val="000000"/>
              </a:solidFill>
              <a:latin typeface="Calibri"/>
              <a:ea typeface="Calibri"/>
              <a:cs typeface="Calibri"/>
            </a:rPr>
            <a:pPr algn="l"/>
            <a:t>35.8</a:t>
          </a:fld>
          <a:endParaRPr lang="en-US" sz="2400" b="1">
            <a:solidFill>
              <a:sysClr val="windowText" lastClr="000000"/>
            </a:solidFill>
          </a:endParaRPr>
        </a:p>
      </xdr:txBody>
    </xdr:sp>
    <xdr:clientData/>
  </xdr:twoCellAnchor>
  <xdr:twoCellAnchor>
    <xdr:from>
      <xdr:col>15</xdr:col>
      <xdr:colOff>693420</xdr:colOff>
      <xdr:row>4</xdr:row>
      <xdr:rowOff>15240</xdr:rowOff>
    </xdr:from>
    <xdr:to>
      <xdr:col>19</xdr:col>
      <xdr:colOff>693420</xdr:colOff>
      <xdr:row>9</xdr:row>
      <xdr:rowOff>0</xdr:rowOff>
    </xdr:to>
    <xdr:sp macro="" textlink="$Y$6">
      <xdr:nvSpPr>
        <xdr:cNvPr id="6" name="Rectangle 5">
          <a:extLst>
            <a:ext uri="{FF2B5EF4-FFF2-40B4-BE49-F238E27FC236}">
              <a16:creationId xmlns:a16="http://schemas.microsoft.com/office/drawing/2014/main" id="{00000000-0008-0000-0800-000006000000}"/>
            </a:ext>
          </a:extLst>
        </xdr:cNvPr>
        <xdr:cNvSpPr/>
      </xdr:nvSpPr>
      <xdr:spPr>
        <a:xfrm>
          <a:off x="11323320" y="906780"/>
          <a:ext cx="2834640" cy="899160"/>
        </a:xfrm>
        <a:prstGeom prst="rect">
          <a:avLst/>
        </a:prstGeom>
        <a:solidFill>
          <a:schemeClr val="accent1">
            <a:lumMod val="20000"/>
            <a:lumOff val="80000"/>
          </a:schemeClr>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400" b="1" i="0" u="none" strike="noStrike">
            <a:solidFill>
              <a:srgbClr val="000000"/>
            </a:solidFill>
            <a:latin typeface="Calibri"/>
            <a:ea typeface="Calibri"/>
            <a:cs typeface="Calibri"/>
          </a:endParaRPr>
        </a:p>
        <a:p>
          <a:pPr algn="l"/>
          <a:r>
            <a:rPr lang="en-US" sz="2400" b="1" i="0" u="none" strike="noStrike" baseline="0">
              <a:solidFill>
                <a:srgbClr val="000000"/>
              </a:solidFill>
              <a:latin typeface="Calibri"/>
              <a:ea typeface="Calibri"/>
              <a:cs typeface="Calibri"/>
            </a:rPr>
            <a:t>            </a:t>
          </a:r>
          <a:fld id="{E850B89B-DA7C-415A-9013-F53C18155A3B}" type="TxLink">
            <a:rPr lang="en-US" sz="2400" b="1" i="0" u="none" strike="noStrike">
              <a:solidFill>
                <a:srgbClr val="000000"/>
              </a:solidFill>
              <a:latin typeface="Calibri"/>
              <a:ea typeface="Calibri"/>
              <a:cs typeface="Calibri"/>
            </a:rPr>
            <a:pPr algn="l"/>
            <a:t>3.02</a:t>
          </a:fld>
          <a:endParaRPr lang="en-US" sz="2400" b="1"/>
        </a:p>
      </xdr:txBody>
    </xdr:sp>
    <xdr:clientData/>
  </xdr:twoCellAnchor>
  <xdr:twoCellAnchor editAs="oneCell">
    <xdr:from>
      <xdr:col>4</xdr:col>
      <xdr:colOff>30481</xdr:colOff>
      <xdr:row>6</xdr:row>
      <xdr:rowOff>53340</xdr:rowOff>
    </xdr:from>
    <xdr:to>
      <xdr:col>4</xdr:col>
      <xdr:colOff>678181</xdr:colOff>
      <xdr:row>9</xdr:row>
      <xdr:rowOff>15240</xdr:rowOff>
    </xdr:to>
    <xdr:pic>
      <xdr:nvPicPr>
        <xdr:cNvPr id="28" name="Graphic 27" descr="Business Growth with solid fill">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865121" y="1310640"/>
          <a:ext cx="647700" cy="510540"/>
        </a:xfrm>
        <a:prstGeom prst="rect">
          <a:avLst/>
        </a:prstGeom>
      </xdr:spPr>
    </xdr:pic>
    <xdr:clientData/>
  </xdr:twoCellAnchor>
  <xdr:twoCellAnchor>
    <xdr:from>
      <xdr:col>0</xdr:col>
      <xdr:colOff>670560</xdr:colOff>
      <xdr:row>4</xdr:row>
      <xdr:rowOff>22860</xdr:rowOff>
    </xdr:from>
    <xdr:to>
      <xdr:col>4</xdr:col>
      <xdr:colOff>701040</xdr:colOff>
      <xdr:row>6</xdr:row>
      <xdr:rowOff>45720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670560" y="914400"/>
          <a:ext cx="2865120" cy="388620"/>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cap="none" spc="0">
              <a:ln w="0"/>
              <a:solidFill>
                <a:schemeClr val="tx1"/>
              </a:solidFill>
              <a:effectLst>
                <a:outerShdw blurRad="38100" dist="19050" dir="2700000" algn="tl" rotWithShape="0">
                  <a:schemeClr val="dk1">
                    <a:alpha val="40000"/>
                  </a:schemeClr>
                </a:outerShdw>
              </a:effectLst>
            </a:rPr>
            <a:t>Total</a:t>
          </a:r>
          <a:r>
            <a:rPr lang="en-US" sz="2000" b="1" cap="none" spc="0" baseline="0">
              <a:ln w="0"/>
              <a:solidFill>
                <a:schemeClr val="tx1"/>
              </a:solidFill>
              <a:effectLst>
                <a:outerShdw blurRad="38100" dist="19050" dir="2700000" algn="tl" rotWithShape="0">
                  <a:schemeClr val="dk1">
                    <a:alpha val="40000"/>
                  </a:schemeClr>
                </a:outerShdw>
              </a:effectLst>
            </a:rPr>
            <a:t> Employees</a:t>
          </a:r>
          <a:endParaRPr lang="en-US" sz="20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11</xdr:col>
      <xdr:colOff>0</xdr:colOff>
      <xdr:row>4</xdr:row>
      <xdr:rowOff>22860</xdr:rowOff>
    </xdr:from>
    <xdr:to>
      <xdr:col>15</xdr:col>
      <xdr:colOff>30480</xdr:colOff>
      <xdr:row>6</xdr:row>
      <xdr:rowOff>53340</xdr:rowOff>
    </xdr:to>
    <xdr:sp macro="" textlink="">
      <xdr:nvSpPr>
        <xdr:cNvPr id="31" name="Rectangle 30">
          <a:extLst>
            <a:ext uri="{FF2B5EF4-FFF2-40B4-BE49-F238E27FC236}">
              <a16:creationId xmlns:a16="http://schemas.microsoft.com/office/drawing/2014/main" id="{00000000-0008-0000-0800-00001F000000}"/>
            </a:ext>
          </a:extLst>
        </xdr:cNvPr>
        <xdr:cNvSpPr/>
      </xdr:nvSpPr>
      <xdr:spPr>
        <a:xfrm>
          <a:off x="7795260" y="914400"/>
          <a:ext cx="2865120" cy="396240"/>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cap="none" spc="0">
              <a:ln w="0"/>
              <a:solidFill>
                <a:schemeClr val="tx1"/>
              </a:solidFill>
              <a:effectLst>
                <a:outerShdw blurRad="38100" dist="19050" dir="2700000" algn="tl" rotWithShape="0">
                  <a:schemeClr val="dk1">
                    <a:alpha val="40000"/>
                  </a:schemeClr>
                </a:outerShdw>
              </a:effectLst>
            </a:rPr>
            <a:t>Average Age</a:t>
          </a:r>
        </a:p>
      </xdr:txBody>
    </xdr:sp>
    <xdr:clientData/>
  </xdr:twoCellAnchor>
  <xdr:twoCellAnchor>
    <xdr:from>
      <xdr:col>15</xdr:col>
      <xdr:colOff>190500</xdr:colOff>
      <xdr:row>3</xdr:row>
      <xdr:rowOff>0</xdr:rowOff>
    </xdr:from>
    <xdr:to>
      <xdr:col>19</xdr:col>
      <xdr:colOff>678180</xdr:colOff>
      <xdr:row>6</xdr:row>
      <xdr:rowOff>15240</xdr:rowOff>
    </xdr:to>
    <xdr:sp macro="" textlink="">
      <xdr:nvSpPr>
        <xdr:cNvPr id="32" name="Rectangle 31">
          <a:extLst>
            <a:ext uri="{FF2B5EF4-FFF2-40B4-BE49-F238E27FC236}">
              <a16:creationId xmlns:a16="http://schemas.microsoft.com/office/drawing/2014/main" id="{00000000-0008-0000-0800-000020000000}"/>
            </a:ext>
          </a:extLst>
        </xdr:cNvPr>
        <xdr:cNvSpPr/>
      </xdr:nvSpPr>
      <xdr:spPr>
        <a:xfrm>
          <a:off x="9105900" y="548640"/>
          <a:ext cx="2811780" cy="381000"/>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cap="none" spc="0">
              <a:ln w="0"/>
              <a:solidFill>
                <a:schemeClr val="tx1"/>
              </a:solidFill>
              <a:effectLst>
                <a:outerShdw blurRad="38100" dist="19050" dir="2700000" algn="tl" rotWithShape="0">
                  <a:schemeClr val="dk1">
                    <a:alpha val="40000"/>
                  </a:schemeClr>
                </a:outerShdw>
              </a:effectLst>
            </a:rPr>
            <a:t>Avg. Performance</a:t>
          </a:r>
        </a:p>
      </xdr:txBody>
    </xdr:sp>
    <xdr:clientData/>
  </xdr:twoCellAnchor>
  <xdr:twoCellAnchor>
    <xdr:from>
      <xdr:col>6</xdr:col>
      <xdr:colOff>0</xdr:colOff>
      <xdr:row>4</xdr:row>
      <xdr:rowOff>0</xdr:rowOff>
    </xdr:from>
    <xdr:to>
      <xdr:col>10</xdr:col>
      <xdr:colOff>7620</xdr:colOff>
      <xdr:row>8</xdr:row>
      <xdr:rowOff>175260</xdr:rowOff>
    </xdr:to>
    <xdr:sp macro="" textlink="$Y$3">
      <xdr:nvSpPr>
        <xdr:cNvPr id="36" name="Rectangle 35">
          <a:extLst>
            <a:ext uri="{FF2B5EF4-FFF2-40B4-BE49-F238E27FC236}">
              <a16:creationId xmlns:a16="http://schemas.microsoft.com/office/drawing/2014/main" id="{00000000-0008-0000-0800-000024000000}"/>
            </a:ext>
          </a:extLst>
        </xdr:cNvPr>
        <xdr:cNvSpPr/>
      </xdr:nvSpPr>
      <xdr:spPr>
        <a:xfrm>
          <a:off x="4251960" y="891540"/>
          <a:ext cx="2842260" cy="906780"/>
        </a:xfrm>
        <a:prstGeom prst="rect">
          <a:avLst/>
        </a:prstGeom>
        <a:solidFill>
          <a:schemeClr val="accent1">
            <a:lumMod val="20000"/>
            <a:lumOff val="80000"/>
          </a:schemeClr>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400" b="1" i="0" u="none" strike="noStrike">
            <a:solidFill>
              <a:srgbClr val="000000"/>
            </a:solidFill>
            <a:latin typeface="Calibri"/>
            <a:ea typeface="Calibri"/>
            <a:cs typeface="Calibri"/>
          </a:endParaRPr>
        </a:p>
        <a:p>
          <a:pPr algn="l"/>
          <a:r>
            <a:rPr lang="en-US" sz="2400" b="1" i="0" u="none" strike="noStrike">
              <a:solidFill>
                <a:srgbClr val="000000"/>
              </a:solidFill>
              <a:latin typeface="Calibri"/>
              <a:ea typeface="Calibri"/>
              <a:cs typeface="Calibri"/>
            </a:rPr>
            <a:t>         </a:t>
          </a:r>
          <a:fld id="{C09F1A8A-4FC9-4FF1-A6E5-7F1758C31F4D}" type="TxLink">
            <a:rPr lang="en-US" sz="2400" b="1" i="0" u="none" strike="noStrike">
              <a:solidFill>
                <a:srgbClr val="000000"/>
              </a:solidFill>
              <a:latin typeface="Calibri"/>
              <a:ea typeface="Calibri"/>
              <a:cs typeface="Calibri"/>
            </a:rPr>
            <a:pPr algn="l"/>
            <a:t>$60,216</a:t>
          </a:fld>
          <a:endParaRPr lang="en-US" sz="2400" b="1">
            <a:solidFill>
              <a:schemeClr val="accent5"/>
            </a:solidFill>
          </a:endParaRPr>
        </a:p>
      </xdr:txBody>
    </xdr:sp>
    <xdr:clientData/>
  </xdr:twoCellAnchor>
  <xdr:twoCellAnchor editAs="oneCell">
    <xdr:from>
      <xdr:col>8</xdr:col>
      <xdr:colOff>701040</xdr:colOff>
      <xdr:row>6</xdr:row>
      <xdr:rowOff>15240</xdr:rowOff>
    </xdr:from>
    <xdr:to>
      <xdr:col>9</xdr:col>
      <xdr:colOff>571500</xdr:colOff>
      <xdr:row>8</xdr:row>
      <xdr:rowOff>160020</xdr:rowOff>
    </xdr:to>
    <xdr:pic>
      <xdr:nvPicPr>
        <xdr:cNvPr id="34" name="Graphic 33" descr="Coins with solid fill">
          <a:extLst>
            <a:ext uri="{FF2B5EF4-FFF2-40B4-BE49-F238E27FC236}">
              <a16:creationId xmlns:a16="http://schemas.microsoft.com/office/drawing/2014/main" id="{00000000-0008-0000-0800-000022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370320" y="1272540"/>
          <a:ext cx="579120" cy="510540"/>
        </a:xfrm>
        <a:prstGeom prst="rect">
          <a:avLst/>
        </a:prstGeom>
      </xdr:spPr>
    </xdr:pic>
    <xdr:clientData/>
  </xdr:twoCellAnchor>
  <xdr:twoCellAnchor>
    <xdr:from>
      <xdr:col>6</xdr:col>
      <xdr:colOff>15240</xdr:colOff>
      <xdr:row>4</xdr:row>
      <xdr:rowOff>7620</xdr:rowOff>
    </xdr:from>
    <xdr:to>
      <xdr:col>10</xdr:col>
      <xdr:colOff>0</xdr:colOff>
      <xdr:row>6</xdr:row>
      <xdr:rowOff>7620</xdr:rowOff>
    </xdr:to>
    <xdr:sp macro="" textlink="">
      <xdr:nvSpPr>
        <xdr:cNvPr id="30" name="Rectangle 29">
          <a:extLst>
            <a:ext uri="{FF2B5EF4-FFF2-40B4-BE49-F238E27FC236}">
              <a16:creationId xmlns:a16="http://schemas.microsoft.com/office/drawing/2014/main" id="{00000000-0008-0000-0800-00001E000000}"/>
            </a:ext>
          </a:extLst>
        </xdr:cNvPr>
        <xdr:cNvSpPr/>
      </xdr:nvSpPr>
      <xdr:spPr>
        <a:xfrm>
          <a:off x="4267200" y="899160"/>
          <a:ext cx="2819400" cy="365760"/>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cap="none" spc="0">
              <a:ln w="0"/>
              <a:solidFill>
                <a:schemeClr val="tx1"/>
              </a:solidFill>
              <a:effectLst>
                <a:outerShdw blurRad="38100" dist="19050" dir="2700000" algn="tl" rotWithShape="0">
                  <a:schemeClr val="dk1">
                    <a:alpha val="40000"/>
                  </a:schemeClr>
                </a:outerShdw>
              </a:effectLst>
            </a:rPr>
            <a:t>Avg. Salary</a:t>
          </a:r>
        </a:p>
      </xdr:txBody>
    </xdr:sp>
    <xdr:clientData/>
  </xdr:twoCellAnchor>
  <xdr:twoCellAnchor editAs="oneCell">
    <xdr:from>
      <xdr:col>13</xdr:col>
      <xdr:colOff>525780</xdr:colOff>
      <xdr:row>5</xdr:row>
      <xdr:rowOff>121920</xdr:rowOff>
    </xdr:from>
    <xdr:to>
      <xdr:col>14</xdr:col>
      <xdr:colOff>518160</xdr:colOff>
      <xdr:row>9</xdr:row>
      <xdr:rowOff>68580</xdr:rowOff>
    </xdr:to>
    <xdr:pic>
      <xdr:nvPicPr>
        <xdr:cNvPr id="38" name="Graphic 37" descr="Meeting with solid fill">
          <a:extLst>
            <a:ext uri="{FF2B5EF4-FFF2-40B4-BE49-F238E27FC236}">
              <a16:creationId xmlns:a16="http://schemas.microsoft.com/office/drawing/2014/main" id="{00000000-0008-0000-0800-00002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9738360" y="1196340"/>
          <a:ext cx="701040" cy="678180"/>
        </a:xfrm>
        <a:prstGeom prst="rect">
          <a:avLst/>
        </a:prstGeom>
      </xdr:spPr>
    </xdr:pic>
    <xdr:clientData/>
  </xdr:twoCellAnchor>
  <xdr:twoCellAnchor>
    <xdr:from>
      <xdr:col>1</xdr:col>
      <xdr:colOff>0</xdr:colOff>
      <xdr:row>12</xdr:row>
      <xdr:rowOff>0</xdr:rowOff>
    </xdr:from>
    <xdr:to>
      <xdr:col>7</xdr:col>
      <xdr:colOff>685800</xdr:colOff>
      <xdr:row>24</xdr:row>
      <xdr:rowOff>15240</xdr:rowOff>
    </xdr:to>
    <xdr:graphicFrame macro="">
      <xdr:nvGraphicFramePr>
        <xdr:cNvPr id="42" name="Chart 41">
          <a:extLst>
            <a:ext uri="{FF2B5EF4-FFF2-40B4-BE49-F238E27FC236}">
              <a16:creationId xmlns:a16="http://schemas.microsoft.com/office/drawing/2014/main" id="{00000000-0008-0000-08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701040</xdr:colOff>
      <xdr:row>12</xdr:row>
      <xdr:rowOff>7620</xdr:rowOff>
    </xdr:from>
    <xdr:to>
      <xdr:col>15</xdr:col>
      <xdr:colOff>15240</xdr:colOff>
      <xdr:row>24</xdr:row>
      <xdr:rowOff>15240</xdr:rowOff>
    </xdr:to>
    <xdr:graphicFrame macro="">
      <xdr:nvGraphicFramePr>
        <xdr:cNvPr id="43" name="Chart 42">
          <a:extLst>
            <a:ext uri="{FF2B5EF4-FFF2-40B4-BE49-F238E27FC236}">
              <a16:creationId xmlns:a16="http://schemas.microsoft.com/office/drawing/2014/main" id="{00000000-0008-0000-08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598170</xdr:colOff>
      <xdr:row>24</xdr:row>
      <xdr:rowOff>160020</xdr:rowOff>
    </xdr:from>
    <xdr:to>
      <xdr:col>8</xdr:col>
      <xdr:colOff>7620</xdr:colOff>
      <xdr:row>36</xdr:row>
      <xdr:rowOff>160020</xdr:rowOff>
    </xdr:to>
    <xdr:graphicFrame macro="">
      <xdr:nvGraphicFramePr>
        <xdr:cNvPr id="44" name="Chart 43">
          <a:extLst>
            <a:ext uri="{FF2B5EF4-FFF2-40B4-BE49-F238E27FC236}">
              <a16:creationId xmlns:a16="http://schemas.microsoft.com/office/drawing/2014/main" id="{00000000-0008-0000-0800-00002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693420</xdr:colOff>
      <xdr:row>24</xdr:row>
      <xdr:rowOff>160020</xdr:rowOff>
    </xdr:from>
    <xdr:to>
      <xdr:col>15</xdr:col>
      <xdr:colOff>7620</xdr:colOff>
      <xdr:row>37</xdr:row>
      <xdr:rowOff>60960</xdr:rowOff>
    </xdr:to>
    <xdr:graphicFrame macro="">
      <xdr:nvGraphicFramePr>
        <xdr:cNvPr id="45" name="Chart 44">
          <a:extLst>
            <a:ext uri="{FF2B5EF4-FFF2-40B4-BE49-F238E27FC236}">
              <a16:creationId xmlns:a16="http://schemas.microsoft.com/office/drawing/2014/main" id="{00000000-0008-0000-0800-00002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16</xdr:col>
      <xdr:colOff>0</xdr:colOff>
      <xdr:row>25</xdr:row>
      <xdr:rowOff>15241</xdr:rowOff>
    </xdr:from>
    <xdr:to>
      <xdr:col>20</xdr:col>
      <xdr:colOff>22860</xdr:colOff>
      <xdr:row>29</xdr:row>
      <xdr:rowOff>22860</xdr:rowOff>
    </xdr:to>
    <mc:AlternateContent xmlns:mc="http://schemas.openxmlformats.org/markup-compatibility/2006" xmlns:a14="http://schemas.microsoft.com/office/drawing/2010/main">
      <mc:Choice Requires="a14">
        <xdr:graphicFrame macro="">
          <xdr:nvGraphicFramePr>
            <xdr:cNvPr id="46" name="Gender 1">
              <a:extLst>
                <a:ext uri="{FF2B5EF4-FFF2-40B4-BE49-F238E27FC236}">
                  <a16:creationId xmlns:a16="http://schemas.microsoft.com/office/drawing/2014/main" id="{00000000-0008-0000-0800-00002E00000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9113520" y="4183381"/>
              <a:ext cx="2857500" cy="7391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0</xdr:colOff>
      <xdr:row>30</xdr:row>
      <xdr:rowOff>152401</xdr:rowOff>
    </xdr:from>
    <xdr:to>
      <xdr:col>20</xdr:col>
      <xdr:colOff>30480</xdr:colOff>
      <xdr:row>37</xdr:row>
      <xdr:rowOff>30480</xdr:rowOff>
    </xdr:to>
    <mc:AlternateContent xmlns:mc="http://schemas.openxmlformats.org/markup-compatibility/2006" xmlns:a14="http://schemas.microsoft.com/office/drawing/2010/main">
      <mc:Choice Requires="a14">
        <xdr:graphicFrame macro="">
          <xdr:nvGraphicFramePr>
            <xdr:cNvPr id="47" name="Department 1">
              <a:extLst>
                <a:ext uri="{FF2B5EF4-FFF2-40B4-BE49-F238E27FC236}">
                  <a16:creationId xmlns:a16="http://schemas.microsoft.com/office/drawing/2014/main" id="{00000000-0008-0000-0800-00002F000000}"/>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9113520" y="5234941"/>
              <a:ext cx="2865120" cy="11582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632460</xdr:colOff>
      <xdr:row>6</xdr:row>
      <xdr:rowOff>0</xdr:rowOff>
    </xdr:from>
    <xdr:to>
      <xdr:col>19</xdr:col>
      <xdr:colOff>601980</xdr:colOff>
      <xdr:row>8</xdr:row>
      <xdr:rowOff>167640</xdr:rowOff>
    </xdr:to>
    <xdr:pic>
      <xdr:nvPicPr>
        <xdr:cNvPr id="57" name="Graphic 56" descr="Brain with solid fill">
          <a:extLst>
            <a:ext uri="{FF2B5EF4-FFF2-40B4-BE49-F238E27FC236}">
              <a16:creationId xmlns:a16="http://schemas.microsoft.com/office/drawing/2014/main" id="{00000000-0008-0000-0800-00003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1163300" y="914400"/>
          <a:ext cx="678180" cy="533400"/>
        </a:xfrm>
        <a:prstGeom prst="rect">
          <a:avLst/>
        </a:prstGeom>
      </xdr:spPr>
    </xdr:pic>
    <xdr:clientData/>
  </xdr:twoCellAnchor>
  <xdr:oneCellAnchor>
    <xdr:from>
      <xdr:col>16</xdr:col>
      <xdr:colOff>38100</xdr:colOff>
      <xdr:row>12</xdr:row>
      <xdr:rowOff>22860</xdr:rowOff>
    </xdr:from>
    <xdr:ext cx="2796540" cy="2186940"/>
    <xdr:sp macro="" textlink="">
      <xdr:nvSpPr>
        <xdr:cNvPr id="58" name="TextBox 57">
          <a:extLst>
            <a:ext uri="{FF2B5EF4-FFF2-40B4-BE49-F238E27FC236}">
              <a16:creationId xmlns:a16="http://schemas.microsoft.com/office/drawing/2014/main" id="{00000000-0008-0000-0800-00003A000000}"/>
            </a:ext>
          </a:extLst>
        </xdr:cNvPr>
        <xdr:cNvSpPr txBox="1"/>
      </xdr:nvSpPr>
      <xdr:spPr>
        <a:xfrm>
          <a:off x="9151620" y="1813560"/>
          <a:ext cx="2796540" cy="218694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t>• </a:t>
          </a:r>
          <a:r>
            <a:rPr lang="en-US" sz="1050" b="1"/>
            <a:t>This dashboard presents key insights derived from the HR dataset, including workforce distribution, salary patterns, performance evaluation, and hiring trends. It enables dynamic analysis through interactive filtering</a:t>
          </a:r>
          <a:r>
            <a:rPr lang="en-US" sz="1050"/>
            <a:t>.</a:t>
          </a:r>
        </a:p>
        <a:p>
          <a:r>
            <a:rPr lang="en-US" sz="1050" b="1"/>
            <a:t>• The Sales department shows the highest number of employees, while Finance has higher average salaries. Most employees fall into the mid-career age group, indicating a balanced workforce structure</a:t>
          </a:r>
          <a:r>
            <a:rPr lang="en-US" sz="1050"/>
            <a:t>.</a:t>
          </a:r>
        </a:p>
      </xdr:txBody>
    </xdr:sp>
    <xdr:clientData/>
  </xdr:oneCellAnchor>
  <mc:AlternateContent xmlns:mc="http://schemas.openxmlformats.org/markup-compatibility/2006">
    <mc:Choice xmlns:a14="http://schemas.microsoft.com/office/drawing/2010/main" Requires="a14">
      <xdr:twoCellAnchor editAs="oneCell">
        <xdr:from>
          <xdr:col>18</xdr:col>
          <xdr:colOff>68580</xdr:colOff>
          <xdr:row>0</xdr:row>
          <xdr:rowOff>121920</xdr:rowOff>
        </xdr:from>
        <xdr:to>
          <xdr:col>19</xdr:col>
          <xdr:colOff>601980</xdr:colOff>
          <xdr:row>2</xdr:row>
          <xdr:rowOff>106680</xdr:rowOff>
        </xdr:to>
        <xdr:sp macro="" textlink="">
          <xdr:nvSpPr>
            <xdr:cNvPr id="23661" name="Button 109" hidden="1">
              <a:extLst>
                <a:ext uri="{63B3BB69-23CF-44E3-9099-C40C66FF867C}">
                  <a14:compatExt spid="_x0000_s23661"/>
                </a:ext>
                <a:ext uri="{FF2B5EF4-FFF2-40B4-BE49-F238E27FC236}">
                  <a16:creationId xmlns:a16="http://schemas.microsoft.com/office/drawing/2014/main" id="{00000000-0008-0000-0800-00006D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0</xdr:col>
      <xdr:colOff>15240</xdr:colOff>
      <xdr:row>0</xdr:row>
      <xdr:rowOff>160020</xdr:rowOff>
    </xdr:from>
    <xdr:ext cx="7109460" cy="396240"/>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5240" y="160020"/>
          <a:ext cx="7109460" cy="39624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2400" b="1" baseline="0"/>
            <a:t>        </a:t>
          </a:r>
          <a:r>
            <a:rPr lang="en-US" sz="2400" b="1">
              <a:solidFill>
                <a:schemeClr val="accent4">
                  <a:lumMod val="75000"/>
                </a:schemeClr>
              </a:solidFill>
            </a:rPr>
            <a:t>Salary Scenario Analysis</a:t>
          </a:r>
        </a:p>
      </xdr:txBody>
    </xdr:sp>
    <xdr:clientData/>
  </xdr:oneCellAnchor>
  <xdr:twoCellAnchor>
    <xdr:from>
      <xdr:col>0</xdr:col>
      <xdr:colOff>15240</xdr:colOff>
      <xdr:row>3</xdr:row>
      <xdr:rowOff>0</xdr:rowOff>
    </xdr:from>
    <xdr:to>
      <xdr:col>22</xdr:col>
      <xdr:colOff>99060</xdr:colOff>
      <xdr:row>4</xdr:row>
      <xdr:rowOff>30479</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15240" y="548640"/>
          <a:ext cx="13822680" cy="45719"/>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7620</xdr:colOff>
      <xdr:row>4</xdr:row>
      <xdr:rowOff>175260</xdr:rowOff>
    </xdr:from>
    <xdr:ext cx="4869180" cy="327660"/>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617220" y="739140"/>
          <a:ext cx="4869180" cy="327660"/>
        </a:xfrm>
        <a:prstGeom prst="rect">
          <a:avLst/>
        </a:prstGeom>
        <a:solidFill>
          <a:schemeClr val="accent4">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solidFill>
                <a:schemeClr val="bg1"/>
              </a:solidFill>
            </a:rPr>
            <a:t>  </a:t>
          </a:r>
          <a:r>
            <a:rPr lang="en-US" sz="1400" b="1">
              <a:solidFill>
                <a:schemeClr val="bg1"/>
              </a:solidFill>
            </a:rPr>
            <a:t>INPUT</a:t>
          </a:r>
          <a:r>
            <a:rPr lang="en-US" sz="1400" b="1" baseline="0">
              <a:solidFill>
                <a:schemeClr val="bg1"/>
              </a:solidFill>
            </a:rPr>
            <a:t> SECTION</a:t>
          </a:r>
          <a:endParaRPr lang="en-US" sz="1400" b="1">
            <a:solidFill>
              <a:schemeClr val="bg1"/>
            </a:solidFill>
          </a:endParaRPr>
        </a:p>
      </xdr:txBody>
    </xdr:sp>
    <xdr:clientData/>
  </xdr:oneCellAnchor>
  <xdr:twoCellAnchor>
    <xdr:from>
      <xdr:col>3</xdr:col>
      <xdr:colOff>739140</xdr:colOff>
      <xdr:row>7</xdr:row>
      <xdr:rowOff>38100</xdr:rowOff>
    </xdr:from>
    <xdr:to>
      <xdr:col>3</xdr:col>
      <xdr:colOff>739140</xdr:colOff>
      <xdr:row>7</xdr:row>
      <xdr:rowOff>213360</xdr:rowOff>
    </xdr:to>
    <xdr:cxnSp macro="">
      <xdr:nvCxnSpPr>
        <xdr:cNvPr id="12" name="Straight Arrow Connector 11">
          <a:extLst>
            <a:ext uri="{FF2B5EF4-FFF2-40B4-BE49-F238E27FC236}">
              <a16:creationId xmlns:a16="http://schemas.microsoft.com/office/drawing/2014/main" id="{00000000-0008-0000-0900-00000C000000}"/>
            </a:ext>
          </a:extLst>
        </xdr:cNvPr>
        <xdr:cNvCxnSpPr/>
      </xdr:nvCxnSpPr>
      <xdr:spPr>
        <a:xfrm flipV="1">
          <a:off x="4739640" y="1150620"/>
          <a:ext cx="0" cy="17526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9</xdr:row>
      <xdr:rowOff>15240</xdr:rowOff>
    </xdr:from>
    <xdr:to>
      <xdr:col>3</xdr:col>
      <xdr:colOff>1897380</xdr:colOff>
      <xdr:row>10</xdr:row>
      <xdr:rowOff>167640</xdr:rowOff>
    </xdr:to>
    <xdr:sp macro="" textlink="">
      <xdr:nvSpPr>
        <xdr:cNvPr id="15" name="Rectangle 14">
          <a:extLst>
            <a:ext uri="{FF2B5EF4-FFF2-40B4-BE49-F238E27FC236}">
              <a16:creationId xmlns:a16="http://schemas.microsoft.com/office/drawing/2014/main" id="{00000000-0008-0000-0900-00000F000000}"/>
            </a:ext>
          </a:extLst>
        </xdr:cNvPr>
        <xdr:cNvSpPr/>
      </xdr:nvSpPr>
      <xdr:spPr>
        <a:xfrm>
          <a:off x="609600" y="1577340"/>
          <a:ext cx="4861560" cy="33528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CALCULATION</a:t>
          </a:r>
          <a:r>
            <a:rPr lang="en-US" sz="1400" b="1" baseline="0"/>
            <a:t> SECTION</a:t>
          </a:r>
          <a:endParaRPr lang="en-US" sz="1400" b="1"/>
        </a:p>
      </xdr:txBody>
    </xdr:sp>
    <xdr:clientData/>
  </xdr:twoCellAnchor>
  <xdr:twoCellAnchor>
    <xdr:from>
      <xdr:col>1</xdr:col>
      <xdr:colOff>15240</xdr:colOff>
      <xdr:row>18</xdr:row>
      <xdr:rowOff>0</xdr:rowOff>
    </xdr:from>
    <xdr:to>
      <xdr:col>4</xdr:col>
      <xdr:colOff>7620</xdr:colOff>
      <xdr:row>20</xdr:row>
      <xdr:rowOff>0</xdr:rowOff>
    </xdr:to>
    <xdr:sp macro="" textlink="">
      <xdr:nvSpPr>
        <xdr:cNvPr id="17" name="Rectangle 16">
          <a:extLst>
            <a:ext uri="{FF2B5EF4-FFF2-40B4-BE49-F238E27FC236}">
              <a16:creationId xmlns:a16="http://schemas.microsoft.com/office/drawing/2014/main" id="{00000000-0008-0000-0900-000011000000}"/>
            </a:ext>
          </a:extLst>
        </xdr:cNvPr>
        <xdr:cNvSpPr/>
      </xdr:nvSpPr>
      <xdr:spPr>
        <a:xfrm>
          <a:off x="624840" y="3147060"/>
          <a:ext cx="4869180" cy="32004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t>SUMMARY</a:t>
          </a:r>
        </a:p>
      </xdr:txBody>
    </xdr:sp>
    <xdr:clientData/>
  </xdr:twoCellAnchor>
  <xdr:twoCellAnchor>
    <xdr:from>
      <xdr:col>5</xdr:col>
      <xdr:colOff>3810</xdr:colOff>
      <xdr:row>4</xdr:row>
      <xdr:rowOff>144780</xdr:rowOff>
    </xdr:from>
    <xdr:to>
      <xdr:col>12</xdr:col>
      <xdr:colOff>563880</xdr:colOff>
      <xdr:row>16</xdr:row>
      <xdr:rowOff>7620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15240</xdr:colOff>
      <xdr:row>17</xdr:row>
      <xdr:rowOff>0</xdr:rowOff>
    </xdr:from>
    <xdr:to>
      <xdr:col>13</xdr:col>
      <xdr:colOff>15240</xdr:colOff>
      <xdr:row>18</xdr:row>
      <xdr:rowOff>167640</xdr:rowOff>
    </xdr:to>
    <xdr:sp macro="" textlink="">
      <xdr:nvSpPr>
        <xdr:cNvPr id="19" name="Rectangle 18">
          <a:extLst>
            <a:ext uri="{FF2B5EF4-FFF2-40B4-BE49-F238E27FC236}">
              <a16:creationId xmlns:a16="http://schemas.microsoft.com/office/drawing/2014/main" id="{00000000-0008-0000-0900-000013000000}"/>
            </a:ext>
          </a:extLst>
        </xdr:cNvPr>
        <xdr:cNvSpPr/>
      </xdr:nvSpPr>
      <xdr:spPr>
        <a:xfrm>
          <a:off x="6111240" y="2964180"/>
          <a:ext cx="4732020" cy="35052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t>SCENARIO</a:t>
          </a:r>
          <a:r>
            <a:rPr lang="en-US" sz="1600" b="1" baseline="0"/>
            <a:t> MANEGER</a:t>
          </a:r>
          <a:endParaRPr lang="en-US" sz="1600" b="1"/>
        </a:p>
      </xdr:txBody>
    </xdr:sp>
    <xdr:clientData/>
  </xdr:twoCellAnchor>
  <xdr:oneCellAnchor>
    <xdr:from>
      <xdr:col>0</xdr:col>
      <xdr:colOff>586740</xdr:colOff>
      <xdr:row>23</xdr:row>
      <xdr:rowOff>1</xdr:rowOff>
    </xdr:from>
    <xdr:ext cx="4930141" cy="975360"/>
    <xdr:sp macro="" textlink="">
      <xdr:nvSpPr>
        <xdr:cNvPr id="20" name="TextBox 19">
          <a:extLst>
            <a:ext uri="{FF2B5EF4-FFF2-40B4-BE49-F238E27FC236}">
              <a16:creationId xmlns:a16="http://schemas.microsoft.com/office/drawing/2014/main" id="{00000000-0008-0000-0900-000014000000}"/>
            </a:ext>
          </a:extLst>
        </xdr:cNvPr>
        <xdr:cNvSpPr txBox="1"/>
      </xdr:nvSpPr>
      <xdr:spPr>
        <a:xfrm>
          <a:off x="586740" y="4099561"/>
          <a:ext cx="4930141" cy="975360"/>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t>• </a:t>
          </a:r>
          <a:r>
            <a:rPr lang="en-US" b="1"/>
            <a:t>Scenario Manager </a:t>
          </a:r>
          <a:r>
            <a:rPr lang="en-US"/>
            <a:t>was used to create and evaluate multiple salary increase scenarios </a:t>
          </a:r>
          <a:r>
            <a:rPr lang="en-US" b="1"/>
            <a:t>(5%, 10%, and 20%). </a:t>
          </a:r>
          <a:r>
            <a:rPr lang="en-US"/>
            <a:t>Additionally</a:t>
          </a:r>
          <a:r>
            <a:rPr lang="en-US" b="1"/>
            <a:t>, Goal Seek </a:t>
          </a:r>
          <a:r>
            <a:rPr lang="en-US"/>
            <a:t>was applied to determine the required percentage increase needed </a:t>
          </a:r>
          <a:r>
            <a:rPr lang="en-US" b="1"/>
            <a:t>to reach a target average salary</a:t>
          </a:r>
          <a:r>
            <a:rPr lang="en-US"/>
            <a:t>. A separate summary sheet was created to compare and present the results of all scenarios in a clear and structured way.</a:t>
          </a:r>
          <a:endParaRPr lang="en-US" sz="11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Dana Bodea" refreshedDate="46099.658602199073" createdVersion="7" refreshedVersion="7" minRefreshableVersion="3" recordCount="1000" xr:uid="{00000000-000A-0000-FFFF-FFFF3E000000}">
  <cacheSource type="worksheet">
    <worksheetSource name="HR_Data5"/>
  </cacheSource>
  <cacheFields count="15">
    <cacheField name="Name" numFmtId="0">
      <sharedItems/>
    </cacheField>
    <cacheField name="Age" numFmtId="0">
      <sharedItems containsSemiMixedTypes="0" containsString="0" containsNumber="1" containsInteger="1" minValue="25" maxValue="50" count="6">
        <n v="25"/>
        <n v="36"/>
        <n v="35"/>
        <n v="40"/>
        <n v="30"/>
        <n v="50"/>
      </sharedItems>
    </cacheField>
    <cacheField name="Salary" numFmtId="165">
      <sharedItems containsMixedTypes="1" containsNumber="1" containsInteger="1" minValue="50000" maxValue="70000"/>
    </cacheField>
    <cacheField name="Gender" numFmtId="0">
      <sharedItems count="3">
        <s v="Male"/>
        <s v="Female"/>
        <s v="Other"/>
      </sharedItems>
    </cacheField>
    <cacheField name="Department" numFmtId="0">
      <sharedItems count="5">
        <s v="HR"/>
        <s v="Finance"/>
        <s v="Sales"/>
        <s v="IT"/>
        <s v="Marketing"/>
      </sharedItems>
    </cacheField>
    <cacheField name="Position" numFmtId="0">
      <sharedItems/>
    </cacheField>
    <cacheField name="Joining Date" numFmtId="166">
      <sharedItems containsSemiMixedTypes="0" containsNonDate="0" containsDate="1" containsString="0" minDate="2018-04-05T00:00:00" maxDate="2020-02-21T00:00:00"/>
    </cacheField>
    <cacheField name="Performance Score" numFmtId="0">
      <sharedItems count="5">
        <s v="D"/>
        <s v="F"/>
        <s v="C"/>
        <s v="A"/>
        <s v="B"/>
      </sharedItems>
    </cacheField>
    <cacheField name="Email" numFmtId="0">
      <sharedItems/>
    </cacheField>
    <cacheField name="Phone" numFmtId="0">
      <sharedItems/>
    </cacheField>
    <cacheField name="Age_Group" numFmtId="0">
      <sharedItems/>
    </cacheField>
    <cacheField name="Tenure_Years" numFmtId="0">
      <sharedItems containsSemiMixedTypes="0" containsString="0" containsNumber="1" containsInteger="1" minValue="6" maxValue="7"/>
    </cacheField>
    <cacheField name="Salary_Band" numFmtId="0">
      <sharedItems/>
    </cacheField>
    <cacheField name="Hire_Year" numFmtId="0">
      <sharedItems containsSemiMixedTypes="0" containsString="0" containsNumber="1" containsInteger="1" minValue="2018" maxValue="2020" count="3">
        <n v="2018"/>
        <n v="2020"/>
        <n v="2019"/>
      </sharedItems>
    </cacheField>
    <cacheField name="Performance_Score_Num" numFmtId="0">
      <sharedItems containsSemiMixedTypes="0" containsString="0" containsNumber="1" containsInteger="1" minValue="1" maxValue="5"/>
    </cacheField>
  </cacheFields>
  <extLst>
    <ext xmlns:x14="http://schemas.microsoft.com/office/spreadsheetml/2009/9/main" uri="{725AE2AE-9491-48be-B2B4-4EB974FC3084}">
      <x14:pivotCacheDefinition pivotCacheId="16193854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Grace"/>
    <x v="0"/>
    <n v="50000"/>
    <x v="0"/>
    <x v="0"/>
    <s v="Manager"/>
    <d v="2018-04-05T00:00:00"/>
    <x v="0"/>
    <s v="email@example.com"/>
    <s v="Missing"/>
    <s v="Young"/>
    <n v="7"/>
    <s v="Low"/>
    <x v="0"/>
    <n v="2"/>
  </r>
  <r>
    <s v="David"/>
    <x v="1"/>
    <n v="65000"/>
    <x v="1"/>
    <x v="1"/>
    <s v="Director"/>
    <d v="2020-02-20T00:00:00"/>
    <x v="1"/>
    <s v="user@domain.com"/>
    <s v="123-456-7890"/>
    <s v="Mid-Career"/>
    <n v="6"/>
    <s v="Medium"/>
    <x v="1"/>
    <n v="1"/>
  </r>
  <r>
    <s v="Hannah"/>
    <x v="2"/>
    <n v="60000"/>
    <x v="1"/>
    <x v="2"/>
    <s v="Director"/>
    <d v="2020-01-15T00:00:00"/>
    <x v="2"/>
    <s v="email@example.com"/>
    <s v="098-765-4321"/>
    <s v="Mid-Career"/>
    <n v="6"/>
    <s v="Medium"/>
    <x v="1"/>
    <n v="3"/>
  </r>
  <r>
    <s v="Eve"/>
    <x v="1"/>
    <n v="50000"/>
    <x v="1"/>
    <x v="3"/>
    <s v="Manager"/>
    <d v="2018-04-05T00:00:00"/>
    <x v="3"/>
    <s v="name@company.org"/>
    <s v="Missing"/>
    <s v="Mid-Career"/>
    <n v="7"/>
    <s v="Low"/>
    <x v="0"/>
    <n v="5"/>
  </r>
  <r>
    <s v="Grace"/>
    <x v="1"/>
    <s v=""/>
    <x v="1"/>
    <x v="1"/>
    <s v="Manager"/>
    <d v="2020-01-15T00:00:00"/>
    <x v="1"/>
    <s v="name@company.org"/>
    <s v="098-765-4321"/>
    <s v="Mid-Career"/>
    <n v="6"/>
    <s v="High"/>
    <x v="1"/>
    <n v="1"/>
  </r>
  <r>
    <s v="Jack"/>
    <x v="1"/>
    <n v="65000"/>
    <x v="2"/>
    <x v="4"/>
    <s v="Director"/>
    <d v="2019-03-25T00:00:00"/>
    <x v="1"/>
    <s v="user@domain.com"/>
    <s v="Missing"/>
    <s v="Mid-Career"/>
    <n v="6"/>
    <s v="Medium"/>
    <x v="2"/>
    <n v="1"/>
  </r>
  <r>
    <s v="Charlie"/>
    <x v="1"/>
    <n v="50000"/>
    <x v="0"/>
    <x v="4"/>
    <s v="Clerk"/>
    <d v="2019-12-01T00:00:00"/>
    <x v="4"/>
    <s v="Missing"/>
    <s v="123-456-7890"/>
    <s v="Mid-Career"/>
    <n v="6"/>
    <s v="Low"/>
    <x v="2"/>
    <n v="4"/>
  </r>
  <r>
    <s v="Grace"/>
    <x v="3"/>
    <n v="50000"/>
    <x v="2"/>
    <x v="0"/>
    <s v="Director"/>
    <d v="2019-03-25T00:00:00"/>
    <x v="2"/>
    <s v="Missing"/>
    <s v="Missing"/>
    <s v="Mid-Career"/>
    <n v="6"/>
    <s v="Low"/>
    <x v="2"/>
    <n v="3"/>
  </r>
  <r>
    <s v="Hannah"/>
    <x v="3"/>
    <n v="60000"/>
    <x v="1"/>
    <x v="0"/>
    <s v="Manager"/>
    <d v="2020-01-15T00:00:00"/>
    <x v="2"/>
    <s v="user@domain.com"/>
    <s v="123-456-7890"/>
    <s v="Mid-Career"/>
    <n v="6"/>
    <s v="Medium"/>
    <x v="1"/>
    <n v="3"/>
  </r>
  <r>
    <s v="Eve"/>
    <x v="4"/>
    <s v=""/>
    <x v="2"/>
    <x v="1"/>
    <s v="Assistant"/>
    <d v="2020-02-20T00:00:00"/>
    <x v="3"/>
    <s v="Missing"/>
    <s v="Missing"/>
    <s v="Mid-Career"/>
    <n v="6"/>
    <s v="High"/>
    <x v="1"/>
    <n v="5"/>
  </r>
  <r>
    <s v="David"/>
    <x v="0"/>
    <n v="70000"/>
    <x v="0"/>
    <x v="4"/>
    <s v="Analyst"/>
    <d v="2019-12-01T00:00:00"/>
    <x v="4"/>
    <s v="Missing"/>
    <s v="123-456-7890"/>
    <s v="Young"/>
    <n v="6"/>
    <s v="High"/>
    <x v="2"/>
    <n v="4"/>
  </r>
  <r>
    <s v="Hannah"/>
    <x v="1"/>
    <n v="70000"/>
    <x v="2"/>
    <x v="1"/>
    <s v="Assistant"/>
    <d v="2019-03-25T00:00:00"/>
    <x v="3"/>
    <s v="Missing"/>
    <s v="Missing"/>
    <s v="Mid-Career"/>
    <n v="6"/>
    <s v="High"/>
    <x v="2"/>
    <n v="5"/>
  </r>
  <r>
    <s v="Hannah"/>
    <x v="4"/>
    <n v="50000"/>
    <x v="0"/>
    <x v="3"/>
    <s v="Assistant"/>
    <d v="2018-04-05T00:00:00"/>
    <x v="0"/>
    <s v="Missing"/>
    <s v="Missing"/>
    <s v="Mid-Career"/>
    <n v="7"/>
    <s v="Low"/>
    <x v="0"/>
    <n v="2"/>
  </r>
  <r>
    <s v="Charlie"/>
    <x v="0"/>
    <n v="55000"/>
    <x v="2"/>
    <x v="0"/>
    <s v="Manager"/>
    <d v="2020-02-20T00:00:00"/>
    <x v="1"/>
    <s v="Missing"/>
    <s v="555-555-5555"/>
    <s v="Young"/>
    <n v="6"/>
    <s v="Medium"/>
    <x v="1"/>
    <n v="1"/>
  </r>
  <r>
    <s v="Frank"/>
    <x v="5"/>
    <s v=""/>
    <x v="0"/>
    <x v="4"/>
    <s v="Director"/>
    <d v="2019-03-25T00:00:00"/>
    <x v="3"/>
    <s v="Missing"/>
    <s v="123-456-7890"/>
    <s v="Senior"/>
    <n v="6"/>
    <s v="High"/>
    <x v="2"/>
    <n v="5"/>
  </r>
  <r>
    <s v="Eve"/>
    <x v="2"/>
    <n v="65000"/>
    <x v="0"/>
    <x v="1"/>
    <s v="Clerk"/>
    <d v="2018-04-05T00:00:00"/>
    <x v="1"/>
    <s v="Missing"/>
    <s v="123-456-7890"/>
    <s v="Mid-Career"/>
    <n v="7"/>
    <s v="Medium"/>
    <x v="0"/>
    <n v="1"/>
  </r>
  <r>
    <s v="Bob"/>
    <x v="3"/>
    <n v="55000"/>
    <x v="1"/>
    <x v="2"/>
    <s v="Assistant"/>
    <d v="2020-01-15T00:00:00"/>
    <x v="4"/>
    <s v="Missing"/>
    <s v="098-765-4321"/>
    <s v="Mid-Career"/>
    <n v="6"/>
    <s v="Medium"/>
    <x v="1"/>
    <n v="4"/>
  </r>
  <r>
    <s v="Hannah"/>
    <x v="5"/>
    <n v="55000"/>
    <x v="0"/>
    <x v="0"/>
    <s v="Director"/>
    <d v="2018-04-05T00:00:00"/>
    <x v="0"/>
    <s v="user@domain.com"/>
    <s v="Missing"/>
    <s v="Senior"/>
    <n v="7"/>
    <s v="Medium"/>
    <x v="0"/>
    <n v="2"/>
  </r>
  <r>
    <s v="Frank"/>
    <x v="0"/>
    <s v=""/>
    <x v="1"/>
    <x v="3"/>
    <s v="Clerk"/>
    <d v="2019-03-25T00:00:00"/>
    <x v="4"/>
    <s v="email@example.com"/>
    <s v="555-555-5555"/>
    <s v="Young"/>
    <n v="6"/>
    <s v="High"/>
    <x v="2"/>
    <n v="4"/>
  </r>
  <r>
    <s v="Bob"/>
    <x v="5"/>
    <n v="50000"/>
    <x v="1"/>
    <x v="1"/>
    <s v="Assistant"/>
    <d v="2019-03-25T00:00:00"/>
    <x v="0"/>
    <s v="user@domain.com"/>
    <s v="Missing"/>
    <s v="Senior"/>
    <n v="6"/>
    <s v="Low"/>
    <x v="2"/>
    <n v="2"/>
  </r>
  <r>
    <s v="Eve"/>
    <x v="2"/>
    <n v="50000"/>
    <x v="1"/>
    <x v="3"/>
    <s v="Clerk"/>
    <d v="2020-01-15T00:00:00"/>
    <x v="0"/>
    <s v="email@example.com"/>
    <s v="098-765-4321"/>
    <s v="Mid-Career"/>
    <n v="6"/>
    <s v="Low"/>
    <x v="1"/>
    <n v="2"/>
  </r>
  <r>
    <s v="Alice"/>
    <x v="0"/>
    <n v="50000"/>
    <x v="2"/>
    <x v="3"/>
    <s v="Director"/>
    <d v="2018-04-05T00:00:00"/>
    <x v="1"/>
    <s v="user@domain.com"/>
    <s v="555-555-5555"/>
    <s v="Young"/>
    <n v="7"/>
    <s v="Low"/>
    <x v="0"/>
    <n v="1"/>
  </r>
  <r>
    <s v="Jack"/>
    <x v="5"/>
    <n v="50000"/>
    <x v="2"/>
    <x v="4"/>
    <s v="Analyst"/>
    <d v="2018-04-05T00:00:00"/>
    <x v="4"/>
    <s v="email@example.com"/>
    <s v="Missing"/>
    <s v="Senior"/>
    <n v="7"/>
    <s v="Low"/>
    <x v="0"/>
    <n v="4"/>
  </r>
  <r>
    <s v="Frank"/>
    <x v="3"/>
    <n v="70000"/>
    <x v="2"/>
    <x v="4"/>
    <s v="Director"/>
    <d v="2020-01-15T00:00:00"/>
    <x v="4"/>
    <s v="email@example.com"/>
    <s v="555-555-5555"/>
    <s v="Mid-Career"/>
    <n v="6"/>
    <s v="High"/>
    <x v="1"/>
    <n v="4"/>
  </r>
  <r>
    <s v="Ivy"/>
    <x v="3"/>
    <n v="50000"/>
    <x v="2"/>
    <x v="1"/>
    <s v="Manager"/>
    <d v="2018-04-05T00:00:00"/>
    <x v="3"/>
    <s v="name@company.org"/>
    <s v="123-456-7890"/>
    <s v="Mid-Career"/>
    <n v="7"/>
    <s v="Low"/>
    <x v="0"/>
    <n v="5"/>
  </r>
  <r>
    <s v="Alice"/>
    <x v="4"/>
    <n v="70000"/>
    <x v="0"/>
    <x v="2"/>
    <s v="Clerk"/>
    <d v="2020-01-15T00:00:00"/>
    <x v="4"/>
    <s v="email@example.com"/>
    <s v="123-456-7890"/>
    <s v="Mid-Career"/>
    <n v="6"/>
    <s v="High"/>
    <x v="1"/>
    <n v="4"/>
  </r>
  <r>
    <s v="Jack"/>
    <x v="5"/>
    <n v="70000"/>
    <x v="0"/>
    <x v="1"/>
    <s v="Analyst"/>
    <d v="2020-02-20T00:00:00"/>
    <x v="3"/>
    <s v="email@example.com"/>
    <s v="098-765-4321"/>
    <s v="Senior"/>
    <n v="6"/>
    <s v="High"/>
    <x v="1"/>
    <n v="5"/>
  </r>
  <r>
    <s v="Charlie"/>
    <x v="1"/>
    <n v="50000"/>
    <x v="2"/>
    <x v="2"/>
    <s v="Clerk"/>
    <d v="2019-03-25T00:00:00"/>
    <x v="2"/>
    <s v="name@company.org"/>
    <s v="Missing"/>
    <s v="Mid-Career"/>
    <n v="6"/>
    <s v="Low"/>
    <x v="2"/>
    <n v="3"/>
  </r>
  <r>
    <s v="Grace"/>
    <x v="5"/>
    <n v="60000"/>
    <x v="0"/>
    <x v="3"/>
    <s v="Clerk"/>
    <d v="2020-02-20T00:00:00"/>
    <x v="2"/>
    <s v="Missing"/>
    <s v="Missing"/>
    <s v="Senior"/>
    <n v="6"/>
    <s v="Medium"/>
    <x v="1"/>
    <n v="3"/>
  </r>
  <r>
    <s v="David"/>
    <x v="0"/>
    <n v="65000"/>
    <x v="0"/>
    <x v="0"/>
    <s v="Assistant"/>
    <d v="2019-12-01T00:00:00"/>
    <x v="2"/>
    <s v="Missing"/>
    <s v="555-555-5555"/>
    <s v="Young"/>
    <n v="6"/>
    <s v="Medium"/>
    <x v="2"/>
    <n v="3"/>
  </r>
  <r>
    <s v="Ivy"/>
    <x v="0"/>
    <n v="55000"/>
    <x v="1"/>
    <x v="1"/>
    <s v="Manager"/>
    <d v="2019-12-01T00:00:00"/>
    <x v="4"/>
    <s v="name@company.org"/>
    <s v="098-765-4321"/>
    <s v="Young"/>
    <n v="6"/>
    <s v="Medium"/>
    <x v="2"/>
    <n v="4"/>
  </r>
  <r>
    <s v="Charlie"/>
    <x v="5"/>
    <n v="70000"/>
    <x v="1"/>
    <x v="1"/>
    <s v="Clerk"/>
    <d v="2019-12-01T00:00:00"/>
    <x v="4"/>
    <s v="Missing"/>
    <s v="Missing"/>
    <s v="Senior"/>
    <n v="6"/>
    <s v="High"/>
    <x v="2"/>
    <n v="4"/>
  </r>
  <r>
    <s v="Eve"/>
    <x v="2"/>
    <s v=""/>
    <x v="1"/>
    <x v="2"/>
    <s v="Director"/>
    <d v="2020-01-15T00:00:00"/>
    <x v="3"/>
    <s v="email@example.com"/>
    <s v="123-456-7890"/>
    <s v="Mid-Career"/>
    <n v="6"/>
    <s v="High"/>
    <x v="1"/>
    <n v="5"/>
  </r>
  <r>
    <s v="Charlie"/>
    <x v="3"/>
    <s v=""/>
    <x v="1"/>
    <x v="3"/>
    <s v="Director"/>
    <d v="2018-04-05T00:00:00"/>
    <x v="0"/>
    <s v="email@example.com"/>
    <s v="555-555-5555"/>
    <s v="Mid-Career"/>
    <n v="7"/>
    <s v="High"/>
    <x v="0"/>
    <n v="2"/>
  </r>
  <r>
    <s v="Grace"/>
    <x v="0"/>
    <n v="65000"/>
    <x v="0"/>
    <x v="3"/>
    <s v="Assistant"/>
    <d v="2020-02-20T00:00:00"/>
    <x v="3"/>
    <s v="name@company.org"/>
    <s v="Missing"/>
    <s v="Young"/>
    <n v="6"/>
    <s v="Medium"/>
    <x v="1"/>
    <n v="5"/>
  </r>
  <r>
    <s v="Eve"/>
    <x v="3"/>
    <s v=""/>
    <x v="2"/>
    <x v="2"/>
    <s v="Manager"/>
    <d v="2020-02-20T00:00:00"/>
    <x v="2"/>
    <s v="name@company.org"/>
    <s v="123-456-7890"/>
    <s v="Mid-Career"/>
    <n v="6"/>
    <s v="High"/>
    <x v="1"/>
    <n v="3"/>
  </r>
  <r>
    <s v="Ivy"/>
    <x v="0"/>
    <n v="60000"/>
    <x v="0"/>
    <x v="3"/>
    <s v="Manager"/>
    <d v="2020-02-20T00:00:00"/>
    <x v="3"/>
    <s v="Missing"/>
    <s v="098-765-4321"/>
    <s v="Young"/>
    <n v="6"/>
    <s v="Medium"/>
    <x v="1"/>
    <n v="5"/>
  </r>
  <r>
    <s v="Grace"/>
    <x v="4"/>
    <s v=""/>
    <x v="0"/>
    <x v="4"/>
    <s v="Director"/>
    <d v="2020-02-20T00:00:00"/>
    <x v="0"/>
    <s v="Missing"/>
    <s v="Missing"/>
    <s v="Mid-Career"/>
    <n v="6"/>
    <s v="High"/>
    <x v="1"/>
    <n v="2"/>
  </r>
  <r>
    <s v="Bob"/>
    <x v="1"/>
    <n v="55000"/>
    <x v="0"/>
    <x v="0"/>
    <s v="Analyst"/>
    <d v="2019-12-01T00:00:00"/>
    <x v="4"/>
    <s v="user@domain.com"/>
    <s v="123-456-7890"/>
    <s v="Mid-Career"/>
    <n v="6"/>
    <s v="Medium"/>
    <x v="2"/>
    <n v="4"/>
  </r>
  <r>
    <s v="David"/>
    <x v="0"/>
    <n v="55000"/>
    <x v="1"/>
    <x v="1"/>
    <s v="Assistant"/>
    <d v="2020-02-20T00:00:00"/>
    <x v="3"/>
    <s v="Missing"/>
    <s v="Missing"/>
    <s v="Young"/>
    <n v="6"/>
    <s v="Medium"/>
    <x v="1"/>
    <n v="5"/>
  </r>
  <r>
    <s v="Ivy"/>
    <x v="3"/>
    <n v="70000"/>
    <x v="1"/>
    <x v="0"/>
    <s v="Assistant"/>
    <d v="2018-04-05T00:00:00"/>
    <x v="2"/>
    <s v="email@example.com"/>
    <s v="Missing"/>
    <s v="Mid-Career"/>
    <n v="7"/>
    <s v="High"/>
    <x v="0"/>
    <n v="3"/>
  </r>
  <r>
    <s v="Bob"/>
    <x v="4"/>
    <n v="50000"/>
    <x v="1"/>
    <x v="1"/>
    <s v="Director"/>
    <d v="2019-12-01T00:00:00"/>
    <x v="2"/>
    <s v="name@company.org"/>
    <s v="098-765-4321"/>
    <s v="Mid-Career"/>
    <n v="6"/>
    <s v="Low"/>
    <x v="2"/>
    <n v="3"/>
  </r>
  <r>
    <s v="Jack"/>
    <x v="0"/>
    <n v="60000"/>
    <x v="2"/>
    <x v="4"/>
    <s v="Director"/>
    <d v="2020-02-20T00:00:00"/>
    <x v="4"/>
    <s v="Missing"/>
    <s v="123-456-7890"/>
    <s v="Young"/>
    <n v="6"/>
    <s v="Medium"/>
    <x v="1"/>
    <n v="4"/>
  </r>
  <r>
    <s v="Ivy"/>
    <x v="2"/>
    <n v="70000"/>
    <x v="0"/>
    <x v="3"/>
    <s v="Analyst"/>
    <d v="2020-01-15T00:00:00"/>
    <x v="3"/>
    <s v="Missing"/>
    <s v="555-555-5555"/>
    <s v="Mid-Career"/>
    <n v="6"/>
    <s v="High"/>
    <x v="1"/>
    <n v="5"/>
  </r>
  <r>
    <s v="Jack"/>
    <x v="1"/>
    <n v="60000"/>
    <x v="2"/>
    <x v="2"/>
    <s v="Analyst"/>
    <d v="2019-03-25T00:00:00"/>
    <x v="0"/>
    <s v="Missing"/>
    <s v="123-456-7890"/>
    <s v="Mid-Career"/>
    <n v="6"/>
    <s v="Medium"/>
    <x v="2"/>
    <n v="2"/>
  </r>
  <r>
    <s v="Eve"/>
    <x v="0"/>
    <n v="50000"/>
    <x v="1"/>
    <x v="4"/>
    <s v="Manager"/>
    <d v="2019-03-25T00:00:00"/>
    <x v="4"/>
    <s v="Missing"/>
    <s v="Missing"/>
    <s v="Young"/>
    <n v="6"/>
    <s v="Low"/>
    <x v="2"/>
    <n v="4"/>
  </r>
  <r>
    <s v="Bob"/>
    <x v="4"/>
    <s v=""/>
    <x v="2"/>
    <x v="0"/>
    <s v="Assistant"/>
    <d v="2019-03-25T00:00:00"/>
    <x v="3"/>
    <s v="email@example.com"/>
    <s v="098-765-4321"/>
    <s v="Mid-Career"/>
    <n v="6"/>
    <s v="High"/>
    <x v="2"/>
    <n v="5"/>
  </r>
  <r>
    <s v="David"/>
    <x v="2"/>
    <s v=""/>
    <x v="0"/>
    <x v="2"/>
    <s v="Assistant"/>
    <d v="2019-12-01T00:00:00"/>
    <x v="1"/>
    <s v="user@domain.com"/>
    <s v="098-765-4321"/>
    <s v="Mid-Career"/>
    <n v="6"/>
    <s v="High"/>
    <x v="2"/>
    <n v="1"/>
  </r>
  <r>
    <s v="Grace"/>
    <x v="5"/>
    <n v="50000"/>
    <x v="0"/>
    <x v="3"/>
    <s v="Director"/>
    <d v="2020-02-20T00:00:00"/>
    <x v="2"/>
    <s v="Missing"/>
    <s v="555-555-5555"/>
    <s v="Senior"/>
    <n v="6"/>
    <s v="Low"/>
    <x v="1"/>
    <n v="3"/>
  </r>
  <r>
    <s v="Hannah"/>
    <x v="4"/>
    <n v="70000"/>
    <x v="1"/>
    <x v="4"/>
    <s v="Manager"/>
    <d v="2019-12-01T00:00:00"/>
    <x v="0"/>
    <s v="Missing"/>
    <s v="098-765-4321"/>
    <s v="Mid-Career"/>
    <n v="6"/>
    <s v="High"/>
    <x v="2"/>
    <n v="2"/>
  </r>
  <r>
    <s v="Charlie"/>
    <x v="4"/>
    <n v="50000"/>
    <x v="1"/>
    <x v="2"/>
    <s v="Assistant"/>
    <d v="2018-04-05T00:00:00"/>
    <x v="0"/>
    <s v="user@domain.com"/>
    <s v="098-765-4321"/>
    <s v="Mid-Career"/>
    <n v="7"/>
    <s v="Low"/>
    <x v="0"/>
    <n v="2"/>
  </r>
  <r>
    <s v="Alice"/>
    <x v="2"/>
    <n v="65000"/>
    <x v="2"/>
    <x v="4"/>
    <s v="Manager"/>
    <d v="2020-01-15T00:00:00"/>
    <x v="0"/>
    <s v="Missing"/>
    <s v="098-765-4321"/>
    <s v="Mid-Career"/>
    <n v="6"/>
    <s v="Medium"/>
    <x v="1"/>
    <n v="2"/>
  </r>
  <r>
    <s v="David"/>
    <x v="4"/>
    <n v="55000"/>
    <x v="1"/>
    <x v="4"/>
    <s v="Manager"/>
    <d v="2020-01-15T00:00:00"/>
    <x v="2"/>
    <s v="Missing"/>
    <s v="098-765-4321"/>
    <s v="Mid-Career"/>
    <n v="6"/>
    <s v="Medium"/>
    <x v="1"/>
    <n v="3"/>
  </r>
  <r>
    <s v="Bob"/>
    <x v="2"/>
    <n v="70000"/>
    <x v="1"/>
    <x v="3"/>
    <s v="Director"/>
    <d v="2019-03-25T00:00:00"/>
    <x v="3"/>
    <s v="Missing"/>
    <s v="098-765-4321"/>
    <s v="Mid-Career"/>
    <n v="6"/>
    <s v="High"/>
    <x v="2"/>
    <n v="5"/>
  </r>
  <r>
    <s v="Hannah"/>
    <x v="0"/>
    <n v="60000"/>
    <x v="0"/>
    <x v="1"/>
    <s v="Manager"/>
    <d v="2019-03-25T00:00:00"/>
    <x v="4"/>
    <s v="Missing"/>
    <s v="Missing"/>
    <s v="Young"/>
    <n v="6"/>
    <s v="Medium"/>
    <x v="2"/>
    <n v="4"/>
  </r>
  <r>
    <s v="David"/>
    <x v="2"/>
    <n v="65000"/>
    <x v="1"/>
    <x v="2"/>
    <s v="Analyst"/>
    <d v="2019-03-25T00:00:00"/>
    <x v="3"/>
    <s v="user@domain.com"/>
    <s v="123-456-7890"/>
    <s v="Mid-Career"/>
    <n v="6"/>
    <s v="Medium"/>
    <x v="2"/>
    <n v="5"/>
  </r>
  <r>
    <s v="Bob"/>
    <x v="2"/>
    <n v="70000"/>
    <x v="1"/>
    <x v="3"/>
    <s v="Analyst"/>
    <d v="2020-02-20T00:00:00"/>
    <x v="4"/>
    <s v="email@example.com"/>
    <s v="Missing"/>
    <s v="Mid-Career"/>
    <n v="6"/>
    <s v="High"/>
    <x v="1"/>
    <n v="4"/>
  </r>
  <r>
    <s v="Frank"/>
    <x v="1"/>
    <n v="50000"/>
    <x v="0"/>
    <x v="4"/>
    <s v="Clerk"/>
    <d v="2018-04-05T00:00:00"/>
    <x v="0"/>
    <s v="Missing"/>
    <s v="098-765-4321"/>
    <s v="Mid-Career"/>
    <n v="7"/>
    <s v="Low"/>
    <x v="0"/>
    <n v="2"/>
  </r>
  <r>
    <s v="Frank"/>
    <x v="2"/>
    <n v="50000"/>
    <x v="0"/>
    <x v="3"/>
    <s v="Director"/>
    <d v="2018-04-05T00:00:00"/>
    <x v="3"/>
    <s v="email@example.com"/>
    <s v="Missing"/>
    <s v="Mid-Career"/>
    <n v="7"/>
    <s v="Low"/>
    <x v="0"/>
    <n v="5"/>
  </r>
  <r>
    <s v="Jack"/>
    <x v="2"/>
    <n v="50000"/>
    <x v="2"/>
    <x v="1"/>
    <s v="Clerk"/>
    <d v="2018-04-05T00:00:00"/>
    <x v="0"/>
    <s v="user@domain.com"/>
    <s v="Missing"/>
    <s v="Mid-Career"/>
    <n v="7"/>
    <s v="Low"/>
    <x v="0"/>
    <n v="2"/>
  </r>
  <r>
    <s v="David"/>
    <x v="5"/>
    <n v="50000"/>
    <x v="1"/>
    <x v="2"/>
    <s v="Analyst"/>
    <d v="2018-04-05T00:00:00"/>
    <x v="1"/>
    <s v="user@domain.com"/>
    <s v="Missing"/>
    <s v="Senior"/>
    <n v="7"/>
    <s v="Low"/>
    <x v="0"/>
    <n v="1"/>
  </r>
  <r>
    <s v="Frank"/>
    <x v="0"/>
    <n v="60000"/>
    <x v="0"/>
    <x v="1"/>
    <s v="Clerk"/>
    <d v="2019-03-25T00:00:00"/>
    <x v="0"/>
    <s v="Missing"/>
    <s v="098-765-4321"/>
    <s v="Young"/>
    <n v="6"/>
    <s v="Medium"/>
    <x v="2"/>
    <n v="2"/>
  </r>
  <r>
    <s v="Bob"/>
    <x v="1"/>
    <n v="65000"/>
    <x v="2"/>
    <x v="0"/>
    <s v="Director"/>
    <d v="2020-01-15T00:00:00"/>
    <x v="0"/>
    <s v="Missing"/>
    <s v="Missing"/>
    <s v="Mid-Career"/>
    <n v="6"/>
    <s v="Medium"/>
    <x v="1"/>
    <n v="2"/>
  </r>
  <r>
    <s v="Jack"/>
    <x v="5"/>
    <s v=""/>
    <x v="2"/>
    <x v="2"/>
    <s v="Director"/>
    <d v="2019-03-25T00:00:00"/>
    <x v="4"/>
    <s v="name@company.org"/>
    <s v="098-765-4321"/>
    <s v="Senior"/>
    <n v="6"/>
    <s v="High"/>
    <x v="2"/>
    <n v="4"/>
  </r>
  <r>
    <s v="Bob"/>
    <x v="3"/>
    <n v="55000"/>
    <x v="1"/>
    <x v="1"/>
    <s v="Manager"/>
    <d v="2018-04-05T00:00:00"/>
    <x v="1"/>
    <s v="user@domain.com"/>
    <s v="555-555-5555"/>
    <s v="Mid-Career"/>
    <n v="7"/>
    <s v="Medium"/>
    <x v="0"/>
    <n v="1"/>
  </r>
  <r>
    <s v="Jack"/>
    <x v="0"/>
    <n v="60000"/>
    <x v="1"/>
    <x v="4"/>
    <s v="Assistant"/>
    <d v="2019-03-25T00:00:00"/>
    <x v="0"/>
    <s v="Missing"/>
    <s v="555-555-5555"/>
    <s v="Young"/>
    <n v="6"/>
    <s v="Medium"/>
    <x v="2"/>
    <n v="2"/>
  </r>
  <r>
    <s v="David"/>
    <x v="0"/>
    <n v="60000"/>
    <x v="2"/>
    <x v="2"/>
    <s v="Manager"/>
    <d v="2018-04-05T00:00:00"/>
    <x v="0"/>
    <s v="email@example.com"/>
    <s v="555-555-5555"/>
    <s v="Young"/>
    <n v="7"/>
    <s v="Medium"/>
    <x v="0"/>
    <n v="2"/>
  </r>
  <r>
    <s v="Hannah"/>
    <x v="3"/>
    <s v=""/>
    <x v="0"/>
    <x v="2"/>
    <s v="Director"/>
    <d v="2019-12-01T00:00:00"/>
    <x v="1"/>
    <s v="Missing"/>
    <s v="Missing"/>
    <s v="Mid-Career"/>
    <n v="6"/>
    <s v="High"/>
    <x v="2"/>
    <n v="1"/>
  </r>
  <r>
    <s v="Grace"/>
    <x v="2"/>
    <s v=""/>
    <x v="2"/>
    <x v="3"/>
    <s v="Analyst"/>
    <d v="2020-01-15T00:00:00"/>
    <x v="1"/>
    <s v="email@example.com"/>
    <s v="555-555-5555"/>
    <s v="Mid-Career"/>
    <n v="6"/>
    <s v="High"/>
    <x v="1"/>
    <n v="1"/>
  </r>
  <r>
    <s v="Ivy"/>
    <x v="5"/>
    <n v="55000"/>
    <x v="1"/>
    <x v="4"/>
    <s v="Analyst"/>
    <d v="2019-12-01T00:00:00"/>
    <x v="3"/>
    <s v="user@domain.com"/>
    <s v="Missing"/>
    <s v="Senior"/>
    <n v="6"/>
    <s v="Medium"/>
    <x v="2"/>
    <n v="5"/>
  </r>
  <r>
    <s v="Hannah"/>
    <x v="4"/>
    <n v="55000"/>
    <x v="0"/>
    <x v="0"/>
    <s v="Manager"/>
    <d v="2020-02-20T00:00:00"/>
    <x v="4"/>
    <s v="user@domain.com"/>
    <s v="Missing"/>
    <s v="Mid-Career"/>
    <n v="6"/>
    <s v="Medium"/>
    <x v="1"/>
    <n v="4"/>
  </r>
  <r>
    <s v="Eve"/>
    <x v="1"/>
    <s v=""/>
    <x v="0"/>
    <x v="1"/>
    <s v="Director"/>
    <d v="2019-03-25T00:00:00"/>
    <x v="1"/>
    <s v="email@example.com"/>
    <s v="Missing"/>
    <s v="Mid-Career"/>
    <n v="6"/>
    <s v="High"/>
    <x v="2"/>
    <n v="1"/>
  </r>
  <r>
    <s v="Bob"/>
    <x v="4"/>
    <n v="50000"/>
    <x v="2"/>
    <x v="3"/>
    <s v="Analyst"/>
    <d v="2020-02-20T00:00:00"/>
    <x v="1"/>
    <s v="user@domain.com"/>
    <s v="098-765-4321"/>
    <s v="Mid-Career"/>
    <n v="6"/>
    <s v="Low"/>
    <x v="1"/>
    <n v="1"/>
  </r>
  <r>
    <s v="Eve"/>
    <x v="3"/>
    <n v="60000"/>
    <x v="1"/>
    <x v="1"/>
    <s v="Director"/>
    <d v="2019-03-25T00:00:00"/>
    <x v="2"/>
    <s v="Missing"/>
    <s v="123-456-7890"/>
    <s v="Mid-Career"/>
    <n v="6"/>
    <s v="Medium"/>
    <x v="2"/>
    <n v="3"/>
  </r>
  <r>
    <s v="Hannah"/>
    <x v="0"/>
    <n v="70000"/>
    <x v="2"/>
    <x v="0"/>
    <s v="Analyst"/>
    <d v="2019-12-01T00:00:00"/>
    <x v="1"/>
    <s v="user@domain.com"/>
    <s v="098-765-4321"/>
    <s v="Young"/>
    <n v="6"/>
    <s v="High"/>
    <x v="2"/>
    <n v="1"/>
  </r>
  <r>
    <s v="Jack"/>
    <x v="0"/>
    <n v="55000"/>
    <x v="2"/>
    <x v="0"/>
    <s v="Director"/>
    <d v="2018-04-05T00:00:00"/>
    <x v="4"/>
    <s v="Missing"/>
    <s v="098-765-4321"/>
    <s v="Young"/>
    <n v="7"/>
    <s v="Medium"/>
    <x v="0"/>
    <n v="4"/>
  </r>
  <r>
    <s v="Ivy"/>
    <x v="1"/>
    <n v="55000"/>
    <x v="2"/>
    <x v="2"/>
    <s v="Clerk"/>
    <d v="2018-04-05T00:00:00"/>
    <x v="0"/>
    <s v="Missing"/>
    <s v="098-765-4321"/>
    <s v="Mid-Career"/>
    <n v="7"/>
    <s v="Medium"/>
    <x v="0"/>
    <n v="2"/>
  </r>
  <r>
    <s v="Ivy"/>
    <x v="0"/>
    <s v=""/>
    <x v="0"/>
    <x v="0"/>
    <s v="Director"/>
    <d v="2019-03-25T00:00:00"/>
    <x v="0"/>
    <s v="name@company.org"/>
    <s v="098-765-4321"/>
    <s v="Young"/>
    <n v="6"/>
    <s v="High"/>
    <x v="2"/>
    <n v="2"/>
  </r>
  <r>
    <s v="Alice"/>
    <x v="0"/>
    <n v="65000"/>
    <x v="0"/>
    <x v="1"/>
    <s v="Director"/>
    <d v="2018-04-05T00:00:00"/>
    <x v="0"/>
    <s v="user@domain.com"/>
    <s v="123-456-7890"/>
    <s v="Young"/>
    <n v="7"/>
    <s v="Medium"/>
    <x v="0"/>
    <n v="2"/>
  </r>
  <r>
    <s v="Ivy"/>
    <x v="1"/>
    <n v="70000"/>
    <x v="1"/>
    <x v="4"/>
    <s v="Manager"/>
    <d v="2019-12-01T00:00:00"/>
    <x v="0"/>
    <s v="user@domain.com"/>
    <s v="555-555-5555"/>
    <s v="Mid-Career"/>
    <n v="6"/>
    <s v="High"/>
    <x v="2"/>
    <n v="2"/>
  </r>
  <r>
    <s v="Grace"/>
    <x v="5"/>
    <n v="70000"/>
    <x v="1"/>
    <x v="4"/>
    <s v="Clerk"/>
    <d v="2018-04-05T00:00:00"/>
    <x v="2"/>
    <s v="Missing"/>
    <s v="098-765-4321"/>
    <s v="Senior"/>
    <n v="7"/>
    <s v="High"/>
    <x v="0"/>
    <n v="3"/>
  </r>
  <r>
    <s v="Ivy"/>
    <x v="5"/>
    <n v="55000"/>
    <x v="2"/>
    <x v="2"/>
    <s v="Assistant"/>
    <d v="2019-12-01T00:00:00"/>
    <x v="1"/>
    <s v="Missing"/>
    <s v="Missing"/>
    <s v="Senior"/>
    <n v="6"/>
    <s v="Medium"/>
    <x v="2"/>
    <n v="1"/>
  </r>
  <r>
    <s v="Hannah"/>
    <x v="1"/>
    <n v="50000"/>
    <x v="2"/>
    <x v="1"/>
    <s v="Manager"/>
    <d v="2020-02-20T00:00:00"/>
    <x v="0"/>
    <s v="email@example.com"/>
    <s v="Missing"/>
    <s v="Mid-Career"/>
    <n v="6"/>
    <s v="Low"/>
    <x v="1"/>
    <n v="2"/>
  </r>
  <r>
    <s v="Alice"/>
    <x v="3"/>
    <n v="65000"/>
    <x v="2"/>
    <x v="1"/>
    <s v="Assistant"/>
    <d v="2019-12-01T00:00:00"/>
    <x v="3"/>
    <s v="email@example.com"/>
    <s v="Missing"/>
    <s v="Mid-Career"/>
    <n v="6"/>
    <s v="Medium"/>
    <x v="2"/>
    <n v="5"/>
  </r>
  <r>
    <s v="Hannah"/>
    <x v="0"/>
    <n v="70000"/>
    <x v="1"/>
    <x v="0"/>
    <s v="Analyst"/>
    <d v="2020-01-15T00:00:00"/>
    <x v="0"/>
    <s v="email@example.com"/>
    <s v="Missing"/>
    <s v="Young"/>
    <n v="6"/>
    <s v="High"/>
    <x v="1"/>
    <n v="2"/>
  </r>
  <r>
    <s v="Hannah"/>
    <x v="0"/>
    <n v="55000"/>
    <x v="0"/>
    <x v="1"/>
    <s v="Assistant"/>
    <d v="2020-01-15T00:00:00"/>
    <x v="1"/>
    <s v="Missing"/>
    <s v="098-765-4321"/>
    <s v="Young"/>
    <n v="6"/>
    <s v="Medium"/>
    <x v="1"/>
    <n v="1"/>
  </r>
  <r>
    <s v="Charlie"/>
    <x v="3"/>
    <n v="70000"/>
    <x v="0"/>
    <x v="3"/>
    <s v="Director"/>
    <d v="2020-01-15T00:00:00"/>
    <x v="0"/>
    <s v="email@example.com"/>
    <s v="123-456-7890"/>
    <s v="Mid-Career"/>
    <n v="6"/>
    <s v="High"/>
    <x v="1"/>
    <n v="2"/>
  </r>
  <r>
    <s v="Alice"/>
    <x v="5"/>
    <n v="65000"/>
    <x v="2"/>
    <x v="0"/>
    <s v="Assistant"/>
    <d v="2019-03-25T00:00:00"/>
    <x v="2"/>
    <s v="email@example.com"/>
    <s v="555-555-5555"/>
    <s v="Senior"/>
    <n v="6"/>
    <s v="Medium"/>
    <x v="2"/>
    <n v="3"/>
  </r>
  <r>
    <s v="Hannah"/>
    <x v="2"/>
    <n v="65000"/>
    <x v="2"/>
    <x v="3"/>
    <s v="Manager"/>
    <d v="2019-03-25T00:00:00"/>
    <x v="4"/>
    <s v="name@company.org"/>
    <s v="Missing"/>
    <s v="Mid-Career"/>
    <n v="6"/>
    <s v="Medium"/>
    <x v="2"/>
    <n v="4"/>
  </r>
  <r>
    <s v="Charlie"/>
    <x v="2"/>
    <n v="60000"/>
    <x v="2"/>
    <x v="2"/>
    <s v="Manager"/>
    <d v="2019-03-25T00:00:00"/>
    <x v="4"/>
    <s v="email@example.com"/>
    <s v="555-555-5555"/>
    <s v="Mid-Career"/>
    <n v="6"/>
    <s v="Medium"/>
    <x v="2"/>
    <n v="4"/>
  </r>
  <r>
    <s v="Charlie"/>
    <x v="2"/>
    <s v=""/>
    <x v="2"/>
    <x v="4"/>
    <s v="Assistant"/>
    <d v="2019-12-01T00:00:00"/>
    <x v="1"/>
    <s v="user@domain.com"/>
    <s v="123-456-7890"/>
    <s v="Mid-Career"/>
    <n v="6"/>
    <s v="High"/>
    <x v="2"/>
    <n v="1"/>
  </r>
  <r>
    <s v="Alice"/>
    <x v="5"/>
    <s v=""/>
    <x v="1"/>
    <x v="2"/>
    <s v="Manager"/>
    <d v="2019-03-25T00:00:00"/>
    <x v="4"/>
    <s v="Missing"/>
    <s v="Missing"/>
    <s v="Senior"/>
    <n v="6"/>
    <s v="High"/>
    <x v="2"/>
    <n v="4"/>
  </r>
  <r>
    <s v="Eve"/>
    <x v="5"/>
    <n v="55000"/>
    <x v="0"/>
    <x v="4"/>
    <s v="Manager"/>
    <d v="2020-02-20T00:00:00"/>
    <x v="4"/>
    <s v="Missing"/>
    <s v="555-555-5555"/>
    <s v="Senior"/>
    <n v="6"/>
    <s v="Medium"/>
    <x v="1"/>
    <n v="4"/>
  </r>
  <r>
    <s v="Jack"/>
    <x v="3"/>
    <n v="65000"/>
    <x v="2"/>
    <x v="2"/>
    <s v="Assistant"/>
    <d v="2020-01-15T00:00:00"/>
    <x v="3"/>
    <s v="name@company.org"/>
    <s v="123-456-7890"/>
    <s v="Mid-Career"/>
    <n v="6"/>
    <s v="Medium"/>
    <x v="1"/>
    <n v="5"/>
  </r>
  <r>
    <s v="Grace"/>
    <x v="0"/>
    <n v="60000"/>
    <x v="1"/>
    <x v="1"/>
    <s v="Clerk"/>
    <d v="2019-12-01T00:00:00"/>
    <x v="1"/>
    <s v="Missing"/>
    <s v="555-555-5555"/>
    <s v="Young"/>
    <n v="6"/>
    <s v="Medium"/>
    <x v="2"/>
    <n v="1"/>
  </r>
  <r>
    <s v="Jack"/>
    <x v="3"/>
    <n v="60000"/>
    <x v="2"/>
    <x v="3"/>
    <s v="Clerk"/>
    <d v="2020-01-15T00:00:00"/>
    <x v="1"/>
    <s v="Missing"/>
    <s v="098-765-4321"/>
    <s v="Mid-Career"/>
    <n v="6"/>
    <s v="Medium"/>
    <x v="1"/>
    <n v="1"/>
  </r>
  <r>
    <s v="Ivy"/>
    <x v="3"/>
    <n v="70000"/>
    <x v="2"/>
    <x v="4"/>
    <s v="Analyst"/>
    <d v="2019-03-25T00:00:00"/>
    <x v="4"/>
    <s v="user@domain.com"/>
    <s v="123-456-7890"/>
    <s v="Mid-Career"/>
    <n v="6"/>
    <s v="High"/>
    <x v="2"/>
    <n v="4"/>
  </r>
  <r>
    <s v="Grace"/>
    <x v="5"/>
    <n v="70000"/>
    <x v="0"/>
    <x v="0"/>
    <s v="Manager"/>
    <d v="2019-12-01T00:00:00"/>
    <x v="4"/>
    <s v="email@example.com"/>
    <s v="555-555-5555"/>
    <s v="Senior"/>
    <n v="6"/>
    <s v="High"/>
    <x v="2"/>
    <n v="4"/>
  </r>
  <r>
    <s v="Ivy"/>
    <x v="2"/>
    <n v="60000"/>
    <x v="2"/>
    <x v="3"/>
    <s v="Assistant"/>
    <d v="2018-04-05T00:00:00"/>
    <x v="4"/>
    <s v="user@domain.com"/>
    <s v="098-765-4321"/>
    <s v="Mid-Career"/>
    <n v="7"/>
    <s v="Medium"/>
    <x v="0"/>
    <n v="4"/>
  </r>
  <r>
    <s v="Hannah"/>
    <x v="4"/>
    <n v="70000"/>
    <x v="0"/>
    <x v="0"/>
    <s v="Manager"/>
    <d v="2020-02-20T00:00:00"/>
    <x v="2"/>
    <s v="email@example.com"/>
    <s v="098-765-4321"/>
    <s v="Mid-Career"/>
    <n v="6"/>
    <s v="High"/>
    <x v="1"/>
    <n v="3"/>
  </r>
  <r>
    <s v="Bob"/>
    <x v="0"/>
    <n v="65000"/>
    <x v="0"/>
    <x v="3"/>
    <s v="Director"/>
    <d v="2019-03-25T00:00:00"/>
    <x v="0"/>
    <s v="email@example.com"/>
    <s v="123-456-7890"/>
    <s v="Young"/>
    <n v="6"/>
    <s v="Medium"/>
    <x v="2"/>
    <n v="2"/>
  </r>
  <r>
    <s v="Alice"/>
    <x v="5"/>
    <n v="50000"/>
    <x v="0"/>
    <x v="3"/>
    <s v="Manager"/>
    <d v="2019-03-25T00:00:00"/>
    <x v="2"/>
    <s v="Missing"/>
    <s v="Missing"/>
    <s v="Senior"/>
    <n v="6"/>
    <s v="Low"/>
    <x v="2"/>
    <n v="3"/>
  </r>
  <r>
    <s v="Grace"/>
    <x v="2"/>
    <n v="65000"/>
    <x v="1"/>
    <x v="2"/>
    <s v="Manager"/>
    <d v="2020-02-20T00:00:00"/>
    <x v="1"/>
    <s v="email@example.com"/>
    <s v="Missing"/>
    <s v="Mid-Career"/>
    <n v="6"/>
    <s v="Medium"/>
    <x v="1"/>
    <n v="1"/>
  </r>
  <r>
    <s v="Grace"/>
    <x v="4"/>
    <n v="60000"/>
    <x v="1"/>
    <x v="4"/>
    <s v="Clerk"/>
    <d v="2020-02-20T00:00:00"/>
    <x v="3"/>
    <s v="name@company.org"/>
    <s v="123-456-7890"/>
    <s v="Mid-Career"/>
    <n v="6"/>
    <s v="Medium"/>
    <x v="1"/>
    <n v="5"/>
  </r>
  <r>
    <s v="Hannah"/>
    <x v="4"/>
    <n v="60000"/>
    <x v="0"/>
    <x v="4"/>
    <s v="Assistant"/>
    <d v="2018-04-05T00:00:00"/>
    <x v="0"/>
    <s v="name@company.org"/>
    <s v="098-765-4321"/>
    <s v="Mid-Career"/>
    <n v="7"/>
    <s v="Medium"/>
    <x v="0"/>
    <n v="2"/>
  </r>
  <r>
    <s v="Eve"/>
    <x v="5"/>
    <n v="65000"/>
    <x v="2"/>
    <x v="3"/>
    <s v="Manager"/>
    <d v="2019-03-25T00:00:00"/>
    <x v="3"/>
    <s v="name@company.org"/>
    <s v="098-765-4321"/>
    <s v="Senior"/>
    <n v="6"/>
    <s v="Medium"/>
    <x v="2"/>
    <n v="5"/>
  </r>
  <r>
    <s v="Charlie"/>
    <x v="1"/>
    <n v="70000"/>
    <x v="0"/>
    <x v="1"/>
    <s v="Clerk"/>
    <d v="2019-03-25T00:00:00"/>
    <x v="1"/>
    <s v="Missing"/>
    <s v="123-456-7890"/>
    <s v="Mid-Career"/>
    <n v="6"/>
    <s v="High"/>
    <x v="2"/>
    <n v="1"/>
  </r>
  <r>
    <s v="Hannah"/>
    <x v="0"/>
    <n v="70000"/>
    <x v="2"/>
    <x v="1"/>
    <s v="Analyst"/>
    <d v="2020-01-15T00:00:00"/>
    <x v="1"/>
    <s v="user@domain.com"/>
    <s v="Missing"/>
    <s v="Young"/>
    <n v="6"/>
    <s v="High"/>
    <x v="1"/>
    <n v="1"/>
  </r>
  <r>
    <s v="Frank"/>
    <x v="4"/>
    <s v=""/>
    <x v="0"/>
    <x v="0"/>
    <s v="Clerk"/>
    <d v="2019-12-01T00:00:00"/>
    <x v="3"/>
    <s v="Missing"/>
    <s v="Missing"/>
    <s v="Mid-Career"/>
    <n v="6"/>
    <s v="High"/>
    <x v="2"/>
    <n v="5"/>
  </r>
  <r>
    <s v="Charlie"/>
    <x v="5"/>
    <n v="60000"/>
    <x v="2"/>
    <x v="0"/>
    <s v="Clerk"/>
    <d v="2019-12-01T00:00:00"/>
    <x v="3"/>
    <s v="email@example.com"/>
    <s v="555-555-5555"/>
    <s v="Senior"/>
    <n v="6"/>
    <s v="Medium"/>
    <x v="2"/>
    <n v="5"/>
  </r>
  <r>
    <s v="Alice"/>
    <x v="5"/>
    <n v="55000"/>
    <x v="1"/>
    <x v="2"/>
    <s v="Clerk"/>
    <d v="2020-01-15T00:00:00"/>
    <x v="3"/>
    <s v="Missing"/>
    <s v="123-456-7890"/>
    <s v="Senior"/>
    <n v="6"/>
    <s v="Medium"/>
    <x v="1"/>
    <n v="5"/>
  </r>
  <r>
    <s v="Charlie"/>
    <x v="2"/>
    <s v=""/>
    <x v="2"/>
    <x v="3"/>
    <s v="Manager"/>
    <d v="2019-12-01T00:00:00"/>
    <x v="1"/>
    <s v="user@domain.com"/>
    <s v="Missing"/>
    <s v="Mid-Career"/>
    <n v="6"/>
    <s v="High"/>
    <x v="2"/>
    <n v="1"/>
  </r>
  <r>
    <s v="Eve"/>
    <x v="1"/>
    <n v="70000"/>
    <x v="0"/>
    <x v="0"/>
    <s v="Manager"/>
    <d v="2020-02-20T00:00:00"/>
    <x v="4"/>
    <s v="user@domain.com"/>
    <s v="Missing"/>
    <s v="Mid-Career"/>
    <n v="6"/>
    <s v="High"/>
    <x v="1"/>
    <n v="4"/>
  </r>
  <r>
    <s v="Charlie"/>
    <x v="0"/>
    <n v="65000"/>
    <x v="1"/>
    <x v="0"/>
    <s v="Analyst"/>
    <d v="2019-12-01T00:00:00"/>
    <x v="3"/>
    <s v="Missing"/>
    <s v="098-765-4321"/>
    <s v="Young"/>
    <n v="6"/>
    <s v="Medium"/>
    <x v="2"/>
    <n v="5"/>
  </r>
  <r>
    <s v="Alice"/>
    <x v="3"/>
    <n v="70000"/>
    <x v="2"/>
    <x v="3"/>
    <s v="Director"/>
    <d v="2019-12-01T00:00:00"/>
    <x v="0"/>
    <s v="name@company.org"/>
    <s v="555-555-5555"/>
    <s v="Mid-Career"/>
    <n v="6"/>
    <s v="High"/>
    <x v="2"/>
    <n v="2"/>
  </r>
  <r>
    <s v="Eve"/>
    <x v="2"/>
    <n v="65000"/>
    <x v="2"/>
    <x v="2"/>
    <s v="Director"/>
    <d v="2020-01-15T00:00:00"/>
    <x v="1"/>
    <s v="name@company.org"/>
    <s v="123-456-7890"/>
    <s v="Mid-Career"/>
    <n v="6"/>
    <s v="Medium"/>
    <x v="1"/>
    <n v="1"/>
  </r>
  <r>
    <s v="Jack"/>
    <x v="4"/>
    <s v=""/>
    <x v="2"/>
    <x v="0"/>
    <s v="Director"/>
    <d v="2018-04-05T00:00:00"/>
    <x v="2"/>
    <s v="user@domain.com"/>
    <s v="098-765-4321"/>
    <s v="Mid-Career"/>
    <n v="7"/>
    <s v="High"/>
    <x v="0"/>
    <n v="3"/>
  </r>
  <r>
    <s v="Grace"/>
    <x v="4"/>
    <n v="60000"/>
    <x v="2"/>
    <x v="2"/>
    <s v="Analyst"/>
    <d v="2019-12-01T00:00:00"/>
    <x v="2"/>
    <s v="Missing"/>
    <s v="098-765-4321"/>
    <s v="Mid-Career"/>
    <n v="6"/>
    <s v="Medium"/>
    <x v="2"/>
    <n v="3"/>
  </r>
  <r>
    <s v="Grace"/>
    <x v="2"/>
    <n v="70000"/>
    <x v="2"/>
    <x v="4"/>
    <s v="Director"/>
    <d v="2019-12-01T00:00:00"/>
    <x v="0"/>
    <s v="Missing"/>
    <s v="Missing"/>
    <s v="Mid-Career"/>
    <n v="6"/>
    <s v="High"/>
    <x v="2"/>
    <n v="2"/>
  </r>
  <r>
    <s v="Ivy"/>
    <x v="5"/>
    <n v="65000"/>
    <x v="1"/>
    <x v="2"/>
    <s v="Director"/>
    <d v="2018-04-05T00:00:00"/>
    <x v="4"/>
    <s v="email@example.com"/>
    <s v="Missing"/>
    <s v="Senior"/>
    <n v="7"/>
    <s v="Medium"/>
    <x v="0"/>
    <n v="4"/>
  </r>
  <r>
    <s v="Jack"/>
    <x v="4"/>
    <n v="60000"/>
    <x v="1"/>
    <x v="1"/>
    <s v="Clerk"/>
    <d v="2020-01-15T00:00:00"/>
    <x v="3"/>
    <s v="name@company.org"/>
    <s v="123-456-7890"/>
    <s v="Mid-Career"/>
    <n v="6"/>
    <s v="Medium"/>
    <x v="1"/>
    <n v="5"/>
  </r>
  <r>
    <s v="Jack"/>
    <x v="1"/>
    <n v="55000"/>
    <x v="1"/>
    <x v="1"/>
    <s v="Manager"/>
    <d v="2018-04-05T00:00:00"/>
    <x v="1"/>
    <s v="user@domain.com"/>
    <s v="123-456-7890"/>
    <s v="Mid-Career"/>
    <n v="7"/>
    <s v="Medium"/>
    <x v="0"/>
    <n v="1"/>
  </r>
  <r>
    <s v="Charlie"/>
    <x v="0"/>
    <n v="65000"/>
    <x v="1"/>
    <x v="2"/>
    <s v="Manager"/>
    <d v="2020-01-15T00:00:00"/>
    <x v="3"/>
    <s v="Missing"/>
    <s v="123-456-7890"/>
    <s v="Young"/>
    <n v="6"/>
    <s v="Medium"/>
    <x v="1"/>
    <n v="5"/>
  </r>
  <r>
    <s v="Grace"/>
    <x v="1"/>
    <s v=""/>
    <x v="0"/>
    <x v="1"/>
    <s v="Clerk"/>
    <d v="2020-02-20T00:00:00"/>
    <x v="1"/>
    <s v="name@company.org"/>
    <s v="098-765-4321"/>
    <s v="Mid-Career"/>
    <n v="6"/>
    <s v="High"/>
    <x v="1"/>
    <n v="1"/>
  </r>
  <r>
    <s v="Alice"/>
    <x v="4"/>
    <n v="55000"/>
    <x v="1"/>
    <x v="4"/>
    <s v="Clerk"/>
    <d v="2020-01-15T00:00:00"/>
    <x v="2"/>
    <s v="email@example.com"/>
    <s v="Missing"/>
    <s v="Mid-Career"/>
    <n v="6"/>
    <s v="Medium"/>
    <x v="1"/>
    <n v="3"/>
  </r>
  <r>
    <s v="David"/>
    <x v="3"/>
    <n v="55000"/>
    <x v="2"/>
    <x v="3"/>
    <s v="Clerk"/>
    <d v="2020-02-20T00:00:00"/>
    <x v="3"/>
    <s v="Missing"/>
    <s v="555-555-5555"/>
    <s v="Mid-Career"/>
    <n v="6"/>
    <s v="Medium"/>
    <x v="1"/>
    <n v="5"/>
  </r>
  <r>
    <s v="David"/>
    <x v="0"/>
    <n v="50000"/>
    <x v="2"/>
    <x v="1"/>
    <s v="Manager"/>
    <d v="2020-02-20T00:00:00"/>
    <x v="0"/>
    <s v="user@domain.com"/>
    <s v="098-765-4321"/>
    <s v="Young"/>
    <n v="6"/>
    <s v="Low"/>
    <x v="1"/>
    <n v="2"/>
  </r>
  <r>
    <s v="Eve"/>
    <x v="0"/>
    <n v="70000"/>
    <x v="1"/>
    <x v="1"/>
    <s v="Director"/>
    <d v="2020-01-15T00:00:00"/>
    <x v="4"/>
    <s v="name@company.org"/>
    <s v="555-555-5555"/>
    <s v="Young"/>
    <n v="6"/>
    <s v="High"/>
    <x v="1"/>
    <n v="4"/>
  </r>
  <r>
    <s v="Grace"/>
    <x v="2"/>
    <n v="65000"/>
    <x v="2"/>
    <x v="2"/>
    <s v="Clerk"/>
    <d v="2019-03-25T00:00:00"/>
    <x v="0"/>
    <s v="Missing"/>
    <s v="Missing"/>
    <s v="Mid-Career"/>
    <n v="6"/>
    <s v="Medium"/>
    <x v="2"/>
    <n v="2"/>
  </r>
  <r>
    <s v="Grace"/>
    <x v="2"/>
    <n v="55000"/>
    <x v="1"/>
    <x v="4"/>
    <s v="Analyst"/>
    <d v="2020-01-15T00:00:00"/>
    <x v="4"/>
    <s v="email@example.com"/>
    <s v="Missing"/>
    <s v="Mid-Career"/>
    <n v="6"/>
    <s v="Medium"/>
    <x v="1"/>
    <n v="4"/>
  </r>
  <r>
    <s v="David"/>
    <x v="3"/>
    <n v="50000"/>
    <x v="2"/>
    <x v="3"/>
    <s v="Clerk"/>
    <d v="2019-12-01T00:00:00"/>
    <x v="3"/>
    <s v="email@example.com"/>
    <s v="123-456-7890"/>
    <s v="Mid-Career"/>
    <n v="6"/>
    <s v="Low"/>
    <x v="2"/>
    <n v="5"/>
  </r>
  <r>
    <s v="Grace"/>
    <x v="5"/>
    <s v=""/>
    <x v="0"/>
    <x v="2"/>
    <s v="Assistant"/>
    <d v="2019-12-01T00:00:00"/>
    <x v="3"/>
    <s v="name@company.org"/>
    <s v="555-555-5555"/>
    <s v="Senior"/>
    <n v="6"/>
    <s v="High"/>
    <x v="2"/>
    <n v="5"/>
  </r>
  <r>
    <s v="Charlie"/>
    <x v="0"/>
    <n v="60000"/>
    <x v="0"/>
    <x v="2"/>
    <s v="Clerk"/>
    <d v="2019-03-25T00:00:00"/>
    <x v="4"/>
    <s v="Missing"/>
    <s v="098-765-4321"/>
    <s v="Young"/>
    <n v="6"/>
    <s v="Medium"/>
    <x v="2"/>
    <n v="4"/>
  </r>
  <r>
    <s v="Frank"/>
    <x v="3"/>
    <n v="65000"/>
    <x v="1"/>
    <x v="4"/>
    <s v="Manager"/>
    <d v="2020-02-20T00:00:00"/>
    <x v="2"/>
    <s v="email@example.com"/>
    <s v="555-555-5555"/>
    <s v="Mid-Career"/>
    <n v="6"/>
    <s v="Medium"/>
    <x v="1"/>
    <n v="3"/>
  </r>
  <r>
    <s v="Bob"/>
    <x v="2"/>
    <n v="55000"/>
    <x v="1"/>
    <x v="3"/>
    <s v="Clerk"/>
    <d v="2019-03-25T00:00:00"/>
    <x v="1"/>
    <s v="user@domain.com"/>
    <s v="Missing"/>
    <s v="Mid-Career"/>
    <n v="6"/>
    <s v="Medium"/>
    <x v="2"/>
    <n v="1"/>
  </r>
  <r>
    <s v="Jack"/>
    <x v="2"/>
    <n v="70000"/>
    <x v="1"/>
    <x v="4"/>
    <s v="Assistant"/>
    <d v="2019-12-01T00:00:00"/>
    <x v="0"/>
    <s v="email@example.com"/>
    <s v="123-456-7890"/>
    <s v="Mid-Career"/>
    <n v="6"/>
    <s v="High"/>
    <x v="2"/>
    <n v="2"/>
  </r>
  <r>
    <s v="Ivy"/>
    <x v="0"/>
    <n v="50000"/>
    <x v="2"/>
    <x v="3"/>
    <s v="Analyst"/>
    <d v="2019-03-25T00:00:00"/>
    <x v="0"/>
    <s v="Missing"/>
    <s v="555-555-5555"/>
    <s v="Young"/>
    <n v="6"/>
    <s v="Low"/>
    <x v="2"/>
    <n v="2"/>
  </r>
  <r>
    <s v="Eve"/>
    <x v="1"/>
    <n v="55000"/>
    <x v="1"/>
    <x v="4"/>
    <s v="Director"/>
    <d v="2020-01-15T00:00:00"/>
    <x v="0"/>
    <s v="Missing"/>
    <s v="Missing"/>
    <s v="Mid-Career"/>
    <n v="6"/>
    <s v="Medium"/>
    <x v="1"/>
    <n v="2"/>
  </r>
  <r>
    <s v="Frank"/>
    <x v="4"/>
    <n v="70000"/>
    <x v="0"/>
    <x v="2"/>
    <s v="Clerk"/>
    <d v="2019-03-25T00:00:00"/>
    <x v="3"/>
    <s v="Missing"/>
    <s v="098-765-4321"/>
    <s v="Mid-Career"/>
    <n v="6"/>
    <s v="High"/>
    <x v="2"/>
    <n v="5"/>
  </r>
  <r>
    <s v="David"/>
    <x v="2"/>
    <n v="55000"/>
    <x v="2"/>
    <x v="2"/>
    <s v="Assistant"/>
    <d v="2020-02-20T00:00:00"/>
    <x v="0"/>
    <s v="name@company.org"/>
    <s v="Missing"/>
    <s v="Mid-Career"/>
    <n v="6"/>
    <s v="Medium"/>
    <x v="1"/>
    <n v="2"/>
  </r>
  <r>
    <s v="Jack"/>
    <x v="5"/>
    <n v="65000"/>
    <x v="1"/>
    <x v="0"/>
    <s v="Assistant"/>
    <d v="2020-01-15T00:00:00"/>
    <x v="1"/>
    <s v="Missing"/>
    <s v="098-765-4321"/>
    <s v="Senior"/>
    <n v="6"/>
    <s v="Medium"/>
    <x v="1"/>
    <n v="1"/>
  </r>
  <r>
    <s v="Grace"/>
    <x v="5"/>
    <n v="65000"/>
    <x v="2"/>
    <x v="1"/>
    <s v="Analyst"/>
    <d v="2018-04-05T00:00:00"/>
    <x v="1"/>
    <s v="email@example.com"/>
    <s v="123-456-7890"/>
    <s v="Senior"/>
    <n v="7"/>
    <s v="Medium"/>
    <x v="0"/>
    <n v="1"/>
  </r>
  <r>
    <s v="Ivy"/>
    <x v="2"/>
    <n v="65000"/>
    <x v="2"/>
    <x v="4"/>
    <s v="Manager"/>
    <d v="2019-12-01T00:00:00"/>
    <x v="4"/>
    <s v="email@example.com"/>
    <s v="098-765-4321"/>
    <s v="Mid-Career"/>
    <n v="6"/>
    <s v="Medium"/>
    <x v="2"/>
    <n v="4"/>
  </r>
  <r>
    <s v="Grace"/>
    <x v="1"/>
    <s v=""/>
    <x v="1"/>
    <x v="0"/>
    <s v="Clerk"/>
    <d v="2019-12-01T00:00:00"/>
    <x v="3"/>
    <s v="Missing"/>
    <s v="098-765-4321"/>
    <s v="Mid-Career"/>
    <n v="6"/>
    <s v="High"/>
    <x v="2"/>
    <n v="5"/>
  </r>
  <r>
    <s v="Alice"/>
    <x v="1"/>
    <s v=""/>
    <x v="2"/>
    <x v="1"/>
    <s v="Assistant"/>
    <d v="2019-03-25T00:00:00"/>
    <x v="1"/>
    <s v="Missing"/>
    <s v="098-765-4321"/>
    <s v="Mid-Career"/>
    <n v="6"/>
    <s v="High"/>
    <x v="2"/>
    <n v="1"/>
  </r>
  <r>
    <s v="Alice"/>
    <x v="3"/>
    <n v="50000"/>
    <x v="0"/>
    <x v="4"/>
    <s v="Analyst"/>
    <d v="2020-01-15T00:00:00"/>
    <x v="2"/>
    <s v="user@domain.com"/>
    <s v="098-765-4321"/>
    <s v="Mid-Career"/>
    <n v="6"/>
    <s v="Low"/>
    <x v="1"/>
    <n v="3"/>
  </r>
  <r>
    <s v="Ivy"/>
    <x v="5"/>
    <n v="65000"/>
    <x v="0"/>
    <x v="3"/>
    <s v="Director"/>
    <d v="2018-04-05T00:00:00"/>
    <x v="3"/>
    <s v="Missing"/>
    <s v="123-456-7890"/>
    <s v="Senior"/>
    <n v="7"/>
    <s v="Medium"/>
    <x v="0"/>
    <n v="5"/>
  </r>
  <r>
    <s v="Ivy"/>
    <x v="3"/>
    <n v="70000"/>
    <x v="2"/>
    <x v="1"/>
    <s v="Assistant"/>
    <d v="2020-01-15T00:00:00"/>
    <x v="3"/>
    <s v="user@domain.com"/>
    <s v="Missing"/>
    <s v="Mid-Career"/>
    <n v="6"/>
    <s v="High"/>
    <x v="1"/>
    <n v="5"/>
  </r>
  <r>
    <s v="David"/>
    <x v="5"/>
    <n v="55000"/>
    <x v="1"/>
    <x v="2"/>
    <s v="Analyst"/>
    <d v="2019-12-01T00:00:00"/>
    <x v="1"/>
    <s v="email@example.com"/>
    <s v="555-555-5555"/>
    <s v="Senior"/>
    <n v="6"/>
    <s v="Medium"/>
    <x v="2"/>
    <n v="1"/>
  </r>
  <r>
    <s v="Ivy"/>
    <x v="4"/>
    <n v="60000"/>
    <x v="2"/>
    <x v="0"/>
    <s v="Manager"/>
    <d v="2020-01-15T00:00:00"/>
    <x v="2"/>
    <s v="user@domain.com"/>
    <s v="Missing"/>
    <s v="Mid-Career"/>
    <n v="6"/>
    <s v="Medium"/>
    <x v="1"/>
    <n v="3"/>
  </r>
  <r>
    <s v="Charlie"/>
    <x v="4"/>
    <n v="70000"/>
    <x v="0"/>
    <x v="1"/>
    <s v="Manager"/>
    <d v="2018-04-05T00:00:00"/>
    <x v="4"/>
    <s v="user@domain.com"/>
    <s v="555-555-5555"/>
    <s v="Mid-Career"/>
    <n v="7"/>
    <s v="High"/>
    <x v="0"/>
    <n v="4"/>
  </r>
  <r>
    <s v="Grace"/>
    <x v="0"/>
    <s v=""/>
    <x v="2"/>
    <x v="1"/>
    <s v="Assistant"/>
    <d v="2019-03-25T00:00:00"/>
    <x v="1"/>
    <s v="name@company.org"/>
    <s v="555-555-5555"/>
    <s v="Young"/>
    <n v="6"/>
    <s v="High"/>
    <x v="2"/>
    <n v="1"/>
  </r>
  <r>
    <s v="Frank"/>
    <x v="3"/>
    <s v=""/>
    <x v="2"/>
    <x v="2"/>
    <s v="Assistant"/>
    <d v="2020-02-20T00:00:00"/>
    <x v="2"/>
    <s v="Missing"/>
    <s v="Missing"/>
    <s v="Mid-Career"/>
    <n v="6"/>
    <s v="High"/>
    <x v="1"/>
    <n v="3"/>
  </r>
  <r>
    <s v="Hannah"/>
    <x v="2"/>
    <n v="70000"/>
    <x v="0"/>
    <x v="4"/>
    <s v="Clerk"/>
    <d v="2020-01-15T00:00:00"/>
    <x v="3"/>
    <s v="user@domain.com"/>
    <s v="123-456-7890"/>
    <s v="Mid-Career"/>
    <n v="6"/>
    <s v="High"/>
    <x v="1"/>
    <n v="5"/>
  </r>
  <r>
    <s v="Ivy"/>
    <x v="3"/>
    <s v=""/>
    <x v="2"/>
    <x v="3"/>
    <s v="Analyst"/>
    <d v="2020-02-20T00:00:00"/>
    <x v="2"/>
    <s v="email@example.com"/>
    <s v="Missing"/>
    <s v="Mid-Career"/>
    <n v="6"/>
    <s v="High"/>
    <x v="1"/>
    <n v="3"/>
  </r>
  <r>
    <s v="Eve"/>
    <x v="2"/>
    <n v="65000"/>
    <x v="2"/>
    <x v="2"/>
    <s v="Assistant"/>
    <d v="2019-12-01T00:00:00"/>
    <x v="3"/>
    <s v="Missing"/>
    <s v="123-456-7890"/>
    <s v="Mid-Career"/>
    <n v="6"/>
    <s v="Medium"/>
    <x v="2"/>
    <n v="5"/>
  </r>
  <r>
    <s v="Alice"/>
    <x v="1"/>
    <n v="50000"/>
    <x v="1"/>
    <x v="3"/>
    <s v="Clerk"/>
    <d v="2019-03-25T00:00:00"/>
    <x v="1"/>
    <s v="user@domain.com"/>
    <s v="555-555-5555"/>
    <s v="Mid-Career"/>
    <n v="6"/>
    <s v="Low"/>
    <x v="2"/>
    <n v="1"/>
  </r>
  <r>
    <s v="Charlie"/>
    <x v="3"/>
    <n v="55000"/>
    <x v="1"/>
    <x v="4"/>
    <s v="Clerk"/>
    <d v="2019-03-25T00:00:00"/>
    <x v="1"/>
    <s v="Missing"/>
    <s v="123-456-7890"/>
    <s v="Mid-Career"/>
    <n v="6"/>
    <s v="Medium"/>
    <x v="2"/>
    <n v="1"/>
  </r>
  <r>
    <s v="Jack"/>
    <x v="1"/>
    <n v="50000"/>
    <x v="0"/>
    <x v="1"/>
    <s v="Assistant"/>
    <d v="2020-01-15T00:00:00"/>
    <x v="0"/>
    <s v="name@company.org"/>
    <s v="Missing"/>
    <s v="Mid-Career"/>
    <n v="6"/>
    <s v="Low"/>
    <x v="1"/>
    <n v="2"/>
  </r>
  <r>
    <s v="Hannah"/>
    <x v="4"/>
    <n v="55000"/>
    <x v="0"/>
    <x v="3"/>
    <s v="Manager"/>
    <d v="2019-03-25T00:00:00"/>
    <x v="0"/>
    <s v="email@example.com"/>
    <s v="Missing"/>
    <s v="Mid-Career"/>
    <n v="6"/>
    <s v="Medium"/>
    <x v="2"/>
    <n v="2"/>
  </r>
  <r>
    <s v="Frank"/>
    <x v="4"/>
    <n v="55000"/>
    <x v="0"/>
    <x v="0"/>
    <s v="Analyst"/>
    <d v="2020-01-15T00:00:00"/>
    <x v="0"/>
    <s v="name@company.org"/>
    <s v="Missing"/>
    <s v="Mid-Career"/>
    <n v="6"/>
    <s v="Medium"/>
    <x v="1"/>
    <n v="2"/>
  </r>
  <r>
    <s v="Hannah"/>
    <x v="0"/>
    <n v="50000"/>
    <x v="1"/>
    <x v="0"/>
    <s v="Analyst"/>
    <d v="2020-01-15T00:00:00"/>
    <x v="1"/>
    <s v="Missing"/>
    <s v="555-555-5555"/>
    <s v="Young"/>
    <n v="6"/>
    <s v="Low"/>
    <x v="1"/>
    <n v="1"/>
  </r>
  <r>
    <s v="Ivy"/>
    <x v="3"/>
    <n v="70000"/>
    <x v="0"/>
    <x v="2"/>
    <s v="Manager"/>
    <d v="2020-02-20T00:00:00"/>
    <x v="4"/>
    <s v="user@domain.com"/>
    <s v="Missing"/>
    <s v="Mid-Career"/>
    <n v="6"/>
    <s v="High"/>
    <x v="1"/>
    <n v="4"/>
  </r>
  <r>
    <s v="David"/>
    <x v="1"/>
    <n v="55000"/>
    <x v="0"/>
    <x v="4"/>
    <s v="Assistant"/>
    <d v="2019-03-25T00:00:00"/>
    <x v="1"/>
    <s v="user@domain.com"/>
    <s v="555-555-5555"/>
    <s v="Mid-Career"/>
    <n v="6"/>
    <s v="Medium"/>
    <x v="2"/>
    <n v="1"/>
  </r>
  <r>
    <s v="Alice"/>
    <x v="2"/>
    <n v="50000"/>
    <x v="0"/>
    <x v="2"/>
    <s v="Analyst"/>
    <d v="2020-01-15T00:00:00"/>
    <x v="2"/>
    <s v="Missing"/>
    <s v="Missing"/>
    <s v="Mid-Career"/>
    <n v="6"/>
    <s v="Low"/>
    <x v="1"/>
    <n v="3"/>
  </r>
  <r>
    <s v="Alice"/>
    <x v="4"/>
    <n v="55000"/>
    <x v="1"/>
    <x v="2"/>
    <s v="Assistant"/>
    <d v="2020-02-20T00:00:00"/>
    <x v="1"/>
    <s v="user@domain.com"/>
    <s v="555-555-5555"/>
    <s v="Mid-Career"/>
    <n v="6"/>
    <s v="Medium"/>
    <x v="1"/>
    <n v="1"/>
  </r>
  <r>
    <s v="Jack"/>
    <x v="4"/>
    <n v="60000"/>
    <x v="2"/>
    <x v="2"/>
    <s v="Assistant"/>
    <d v="2018-04-05T00:00:00"/>
    <x v="1"/>
    <s v="email@example.com"/>
    <s v="Missing"/>
    <s v="Mid-Career"/>
    <n v="7"/>
    <s v="Medium"/>
    <x v="0"/>
    <n v="1"/>
  </r>
  <r>
    <s v="David"/>
    <x v="2"/>
    <n v="70000"/>
    <x v="0"/>
    <x v="0"/>
    <s v="Clerk"/>
    <d v="2020-02-20T00:00:00"/>
    <x v="3"/>
    <s v="Missing"/>
    <s v="Missing"/>
    <s v="Mid-Career"/>
    <n v="6"/>
    <s v="High"/>
    <x v="1"/>
    <n v="5"/>
  </r>
  <r>
    <s v="Grace"/>
    <x v="1"/>
    <n v="65000"/>
    <x v="2"/>
    <x v="0"/>
    <s v="Manager"/>
    <d v="2020-02-20T00:00:00"/>
    <x v="3"/>
    <s v="name@company.org"/>
    <s v="555-555-5555"/>
    <s v="Mid-Career"/>
    <n v="6"/>
    <s v="Medium"/>
    <x v="1"/>
    <n v="5"/>
  </r>
  <r>
    <s v="Bob"/>
    <x v="1"/>
    <n v="55000"/>
    <x v="0"/>
    <x v="2"/>
    <s v="Assistant"/>
    <d v="2020-01-15T00:00:00"/>
    <x v="3"/>
    <s v="Missing"/>
    <s v="Missing"/>
    <s v="Mid-Career"/>
    <n v="6"/>
    <s v="Medium"/>
    <x v="1"/>
    <n v="5"/>
  </r>
  <r>
    <s v="Charlie"/>
    <x v="3"/>
    <n v="60000"/>
    <x v="2"/>
    <x v="0"/>
    <s v="Director"/>
    <d v="2019-12-01T00:00:00"/>
    <x v="1"/>
    <s v="user@domain.com"/>
    <s v="Missing"/>
    <s v="Mid-Career"/>
    <n v="6"/>
    <s v="Medium"/>
    <x v="2"/>
    <n v="1"/>
  </r>
  <r>
    <s v="Alice"/>
    <x v="3"/>
    <n v="65000"/>
    <x v="1"/>
    <x v="4"/>
    <s v="Manager"/>
    <d v="2019-12-01T00:00:00"/>
    <x v="4"/>
    <s v="name@company.org"/>
    <s v="555-555-5555"/>
    <s v="Mid-Career"/>
    <n v="6"/>
    <s v="Medium"/>
    <x v="2"/>
    <n v="4"/>
  </r>
  <r>
    <s v="Eve"/>
    <x v="5"/>
    <n v="65000"/>
    <x v="1"/>
    <x v="2"/>
    <s v="Analyst"/>
    <d v="2019-12-01T00:00:00"/>
    <x v="2"/>
    <s v="Missing"/>
    <s v="Missing"/>
    <s v="Senior"/>
    <n v="6"/>
    <s v="Medium"/>
    <x v="2"/>
    <n v="3"/>
  </r>
  <r>
    <s v="Alice"/>
    <x v="5"/>
    <n v="55000"/>
    <x v="0"/>
    <x v="0"/>
    <s v="Clerk"/>
    <d v="2020-02-20T00:00:00"/>
    <x v="2"/>
    <s v="Missing"/>
    <s v="Missing"/>
    <s v="Senior"/>
    <n v="6"/>
    <s v="Medium"/>
    <x v="1"/>
    <n v="3"/>
  </r>
  <r>
    <s v="Hannah"/>
    <x v="0"/>
    <n v="50000"/>
    <x v="2"/>
    <x v="3"/>
    <s v="Analyst"/>
    <d v="2020-01-15T00:00:00"/>
    <x v="4"/>
    <s v="name@company.org"/>
    <s v="Missing"/>
    <s v="Young"/>
    <n v="6"/>
    <s v="Low"/>
    <x v="1"/>
    <n v="4"/>
  </r>
  <r>
    <s v="Alice"/>
    <x v="4"/>
    <n v="55000"/>
    <x v="1"/>
    <x v="2"/>
    <s v="Analyst"/>
    <d v="2019-03-25T00:00:00"/>
    <x v="4"/>
    <s v="name@company.org"/>
    <s v="Missing"/>
    <s v="Mid-Career"/>
    <n v="6"/>
    <s v="Medium"/>
    <x v="2"/>
    <n v="4"/>
  </r>
  <r>
    <s v="Alice"/>
    <x v="3"/>
    <n v="60000"/>
    <x v="0"/>
    <x v="2"/>
    <s v="Manager"/>
    <d v="2020-02-20T00:00:00"/>
    <x v="2"/>
    <s v="name@company.org"/>
    <s v="Missing"/>
    <s v="Mid-Career"/>
    <n v="6"/>
    <s v="Medium"/>
    <x v="1"/>
    <n v="3"/>
  </r>
  <r>
    <s v="Bob"/>
    <x v="1"/>
    <n v="65000"/>
    <x v="0"/>
    <x v="4"/>
    <s v="Analyst"/>
    <d v="2020-02-20T00:00:00"/>
    <x v="0"/>
    <s v="email@example.com"/>
    <s v="555-555-5555"/>
    <s v="Mid-Career"/>
    <n v="6"/>
    <s v="Medium"/>
    <x v="1"/>
    <n v="2"/>
  </r>
  <r>
    <s v="Bob"/>
    <x v="2"/>
    <n v="55000"/>
    <x v="1"/>
    <x v="1"/>
    <s v="Assistant"/>
    <d v="2020-01-15T00:00:00"/>
    <x v="3"/>
    <s v="Missing"/>
    <s v="Missing"/>
    <s v="Mid-Career"/>
    <n v="6"/>
    <s v="Medium"/>
    <x v="1"/>
    <n v="5"/>
  </r>
  <r>
    <s v="Frank"/>
    <x v="1"/>
    <n v="50000"/>
    <x v="1"/>
    <x v="1"/>
    <s v="Analyst"/>
    <d v="2018-04-05T00:00:00"/>
    <x v="3"/>
    <s v="name@company.org"/>
    <s v="Missing"/>
    <s v="Mid-Career"/>
    <n v="7"/>
    <s v="Low"/>
    <x v="0"/>
    <n v="5"/>
  </r>
  <r>
    <s v="Grace"/>
    <x v="4"/>
    <n v="55000"/>
    <x v="0"/>
    <x v="4"/>
    <s v="Clerk"/>
    <d v="2020-02-20T00:00:00"/>
    <x v="2"/>
    <s v="Missing"/>
    <s v="123-456-7890"/>
    <s v="Mid-Career"/>
    <n v="6"/>
    <s v="Medium"/>
    <x v="1"/>
    <n v="3"/>
  </r>
  <r>
    <s v="Eve"/>
    <x v="5"/>
    <n v="70000"/>
    <x v="2"/>
    <x v="4"/>
    <s v="Clerk"/>
    <d v="2018-04-05T00:00:00"/>
    <x v="4"/>
    <s v="name@company.org"/>
    <s v="Missing"/>
    <s v="Senior"/>
    <n v="7"/>
    <s v="High"/>
    <x v="0"/>
    <n v="4"/>
  </r>
  <r>
    <s v="Alice"/>
    <x v="1"/>
    <n v="50000"/>
    <x v="2"/>
    <x v="4"/>
    <s v="Director"/>
    <d v="2018-04-05T00:00:00"/>
    <x v="0"/>
    <s v="Missing"/>
    <s v="Missing"/>
    <s v="Mid-Career"/>
    <n v="7"/>
    <s v="Low"/>
    <x v="0"/>
    <n v="2"/>
  </r>
  <r>
    <s v="Alice"/>
    <x v="0"/>
    <n v="60000"/>
    <x v="2"/>
    <x v="1"/>
    <s v="Clerk"/>
    <d v="2019-12-01T00:00:00"/>
    <x v="2"/>
    <s v="Missing"/>
    <s v="123-456-7890"/>
    <s v="Young"/>
    <n v="6"/>
    <s v="Medium"/>
    <x v="2"/>
    <n v="3"/>
  </r>
  <r>
    <s v="Charlie"/>
    <x v="4"/>
    <n v="65000"/>
    <x v="0"/>
    <x v="4"/>
    <s v="Analyst"/>
    <d v="2020-01-15T00:00:00"/>
    <x v="3"/>
    <s v="Missing"/>
    <s v="Missing"/>
    <s v="Mid-Career"/>
    <n v="6"/>
    <s v="Medium"/>
    <x v="1"/>
    <n v="5"/>
  </r>
  <r>
    <s v="Bob"/>
    <x v="5"/>
    <n v="55000"/>
    <x v="1"/>
    <x v="0"/>
    <s v="Clerk"/>
    <d v="2018-04-05T00:00:00"/>
    <x v="1"/>
    <s v="user@domain.com"/>
    <s v="098-765-4321"/>
    <s v="Senior"/>
    <n v="7"/>
    <s v="Medium"/>
    <x v="0"/>
    <n v="1"/>
  </r>
  <r>
    <s v="Eve"/>
    <x v="2"/>
    <n v="50000"/>
    <x v="0"/>
    <x v="2"/>
    <s v="Manager"/>
    <d v="2020-01-15T00:00:00"/>
    <x v="4"/>
    <s v="name@company.org"/>
    <s v="098-765-4321"/>
    <s v="Mid-Career"/>
    <n v="6"/>
    <s v="Low"/>
    <x v="1"/>
    <n v="4"/>
  </r>
  <r>
    <s v="Jack"/>
    <x v="5"/>
    <n v="70000"/>
    <x v="1"/>
    <x v="2"/>
    <s v="Clerk"/>
    <d v="2019-12-01T00:00:00"/>
    <x v="1"/>
    <s v="user@domain.com"/>
    <s v="Missing"/>
    <s v="Senior"/>
    <n v="6"/>
    <s v="High"/>
    <x v="2"/>
    <n v="1"/>
  </r>
  <r>
    <s v="Frank"/>
    <x v="0"/>
    <n v="50000"/>
    <x v="2"/>
    <x v="3"/>
    <s v="Assistant"/>
    <d v="2020-01-15T00:00:00"/>
    <x v="2"/>
    <s v="Missing"/>
    <s v="Missing"/>
    <s v="Young"/>
    <n v="6"/>
    <s v="Low"/>
    <x v="1"/>
    <n v="3"/>
  </r>
  <r>
    <s v="Grace"/>
    <x v="4"/>
    <s v=""/>
    <x v="2"/>
    <x v="3"/>
    <s v="Manager"/>
    <d v="2020-02-20T00:00:00"/>
    <x v="3"/>
    <s v="user@domain.com"/>
    <s v="098-765-4321"/>
    <s v="Mid-Career"/>
    <n v="6"/>
    <s v="High"/>
    <x v="1"/>
    <n v="5"/>
  </r>
  <r>
    <s v="David"/>
    <x v="2"/>
    <n v="70000"/>
    <x v="1"/>
    <x v="2"/>
    <s v="Director"/>
    <d v="2018-04-05T00:00:00"/>
    <x v="0"/>
    <s v="Missing"/>
    <s v="555-555-5555"/>
    <s v="Mid-Career"/>
    <n v="7"/>
    <s v="High"/>
    <x v="0"/>
    <n v="2"/>
  </r>
  <r>
    <s v="Grace"/>
    <x v="0"/>
    <n v="60000"/>
    <x v="1"/>
    <x v="0"/>
    <s v="Assistant"/>
    <d v="2020-01-15T00:00:00"/>
    <x v="1"/>
    <s v="Missing"/>
    <s v="555-555-5555"/>
    <s v="Young"/>
    <n v="6"/>
    <s v="Medium"/>
    <x v="1"/>
    <n v="1"/>
  </r>
  <r>
    <s v="Hannah"/>
    <x v="5"/>
    <n v="65000"/>
    <x v="0"/>
    <x v="1"/>
    <s v="Analyst"/>
    <d v="2019-03-25T00:00:00"/>
    <x v="0"/>
    <s v="Missing"/>
    <s v="123-456-7890"/>
    <s v="Senior"/>
    <n v="6"/>
    <s v="Medium"/>
    <x v="2"/>
    <n v="2"/>
  </r>
  <r>
    <s v="Alice"/>
    <x v="0"/>
    <n v="60000"/>
    <x v="2"/>
    <x v="1"/>
    <s v="Analyst"/>
    <d v="2020-01-15T00:00:00"/>
    <x v="3"/>
    <s v="user@domain.com"/>
    <s v="Missing"/>
    <s v="Young"/>
    <n v="6"/>
    <s v="Medium"/>
    <x v="1"/>
    <n v="5"/>
  </r>
  <r>
    <s v="Frank"/>
    <x v="4"/>
    <n v="55000"/>
    <x v="0"/>
    <x v="0"/>
    <s v="Analyst"/>
    <d v="2018-04-05T00:00:00"/>
    <x v="1"/>
    <s v="name@company.org"/>
    <s v="Missing"/>
    <s v="Mid-Career"/>
    <n v="7"/>
    <s v="Medium"/>
    <x v="0"/>
    <n v="1"/>
  </r>
  <r>
    <s v="Hannah"/>
    <x v="3"/>
    <n v="50000"/>
    <x v="0"/>
    <x v="1"/>
    <s v="Assistant"/>
    <d v="2019-12-01T00:00:00"/>
    <x v="0"/>
    <s v="user@domain.com"/>
    <s v="098-765-4321"/>
    <s v="Mid-Career"/>
    <n v="6"/>
    <s v="Low"/>
    <x v="2"/>
    <n v="2"/>
  </r>
  <r>
    <s v="Eve"/>
    <x v="0"/>
    <s v=""/>
    <x v="0"/>
    <x v="4"/>
    <s v="Assistant"/>
    <d v="2019-12-01T00:00:00"/>
    <x v="0"/>
    <s v="name@company.org"/>
    <s v="Missing"/>
    <s v="Young"/>
    <n v="6"/>
    <s v="High"/>
    <x v="2"/>
    <n v="2"/>
  </r>
  <r>
    <s v="David"/>
    <x v="0"/>
    <n v="70000"/>
    <x v="2"/>
    <x v="2"/>
    <s v="Assistant"/>
    <d v="2018-04-05T00:00:00"/>
    <x v="1"/>
    <s v="name@company.org"/>
    <s v="Missing"/>
    <s v="Young"/>
    <n v="7"/>
    <s v="High"/>
    <x v="0"/>
    <n v="1"/>
  </r>
  <r>
    <s v="Bob"/>
    <x v="5"/>
    <n v="70000"/>
    <x v="0"/>
    <x v="2"/>
    <s v="Manager"/>
    <d v="2020-02-20T00:00:00"/>
    <x v="3"/>
    <s v="Missing"/>
    <s v="098-765-4321"/>
    <s v="Senior"/>
    <n v="6"/>
    <s v="High"/>
    <x v="1"/>
    <n v="5"/>
  </r>
  <r>
    <s v="Frank"/>
    <x v="5"/>
    <n v="50000"/>
    <x v="0"/>
    <x v="0"/>
    <s v="Manager"/>
    <d v="2020-02-20T00:00:00"/>
    <x v="0"/>
    <s v="user@domain.com"/>
    <s v="098-765-4321"/>
    <s v="Senior"/>
    <n v="6"/>
    <s v="Low"/>
    <x v="1"/>
    <n v="2"/>
  </r>
  <r>
    <s v="Frank"/>
    <x v="2"/>
    <s v=""/>
    <x v="0"/>
    <x v="1"/>
    <s v="Analyst"/>
    <d v="2019-12-01T00:00:00"/>
    <x v="2"/>
    <s v="name@company.org"/>
    <s v="Missing"/>
    <s v="Mid-Career"/>
    <n v="6"/>
    <s v="High"/>
    <x v="2"/>
    <n v="3"/>
  </r>
  <r>
    <s v="Alice"/>
    <x v="5"/>
    <n v="50000"/>
    <x v="0"/>
    <x v="3"/>
    <s v="Clerk"/>
    <d v="2019-12-01T00:00:00"/>
    <x v="1"/>
    <s v="Missing"/>
    <s v="098-765-4321"/>
    <s v="Senior"/>
    <n v="6"/>
    <s v="Low"/>
    <x v="2"/>
    <n v="1"/>
  </r>
  <r>
    <s v="Ivy"/>
    <x v="1"/>
    <n v="55000"/>
    <x v="0"/>
    <x v="3"/>
    <s v="Analyst"/>
    <d v="2018-04-05T00:00:00"/>
    <x v="4"/>
    <s v="name@company.org"/>
    <s v="123-456-7890"/>
    <s v="Mid-Career"/>
    <n v="7"/>
    <s v="Medium"/>
    <x v="0"/>
    <n v="4"/>
  </r>
  <r>
    <s v="Frank"/>
    <x v="4"/>
    <n v="60000"/>
    <x v="0"/>
    <x v="1"/>
    <s v="Director"/>
    <d v="2020-02-20T00:00:00"/>
    <x v="4"/>
    <s v="Missing"/>
    <s v="123-456-7890"/>
    <s v="Mid-Career"/>
    <n v="6"/>
    <s v="Medium"/>
    <x v="1"/>
    <n v="4"/>
  </r>
  <r>
    <s v="Charlie"/>
    <x v="4"/>
    <n v="70000"/>
    <x v="2"/>
    <x v="3"/>
    <s v="Manager"/>
    <d v="2019-12-01T00:00:00"/>
    <x v="3"/>
    <s v="user@domain.com"/>
    <s v="Missing"/>
    <s v="Mid-Career"/>
    <n v="6"/>
    <s v="High"/>
    <x v="2"/>
    <n v="5"/>
  </r>
  <r>
    <s v="David"/>
    <x v="3"/>
    <n v="55000"/>
    <x v="0"/>
    <x v="0"/>
    <s v="Assistant"/>
    <d v="2020-02-20T00:00:00"/>
    <x v="2"/>
    <s v="user@domain.com"/>
    <s v="Missing"/>
    <s v="Mid-Career"/>
    <n v="6"/>
    <s v="Medium"/>
    <x v="1"/>
    <n v="3"/>
  </r>
  <r>
    <s v="David"/>
    <x v="3"/>
    <n v="60000"/>
    <x v="1"/>
    <x v="0"/>
    <s v="Manager"/>
    <d v="2019-12-01T00:00:00"/>
    <x v="0"/>
    <s v="user@domain.com"/>
    <s v="123-456-7890"/>
    <s v="Mid-Career"/>
    <n v="6"/>
    <s v="Medium"/>
    <x v="2"/>
    <n v="2"/>
  </r>
  <r>
    <s v="Charlie"/>
    <x v="4"/>
    <n v="55000"/>
    <x v="0"/>
    <x v="1"/>
    <s v="Assistant"/>
    <d v="2020-01-15T00:00:00"/>
    <x v="4"/>
    <s v="name@company.org"/>
    <s v="123-456-7890"/>
    <s v="Mid-Career"/>
    <n v="6"/>
    <s v="Medium"/>
    <x v="1"/>
    <n v="4"/>
  </r>
  <r>
    <s v="Jack"/>
    <x v="3"/>
    <s v=""/>
    <x v="0"/>
    <x v="3"/>
    <s v="Director"/>
    <d v="2019-03-25T00:00:00"/>
    <x v="3"/>
    <s v="email@example.com"/>
    <s v="Missing"/>
    <s v="Mid-Career"/>
    <n v="6"/>
    <s v="High"/>
    <x v="2"/>
    <n v="5"/>
  </r>
  <r>
    <s v="Charlie"/>
    <x v="2"/>
    <n v="70000"/>
    <x v="2"/>
    <x v="0"/>
    <s v="Director"/>
    <d v="2020-01-15T00:00:00"/>
    <x v="2"/>
    <s v="name@company.org"/>
    <s v="555-555-5555"/>
    <s v="Mid-Career"/>
    <n v="6"/>
    <s v="High"/>
    <x v="1"/>
    <n v="3"/>
  </r>
  <r>
    <s v="Charlie"/>
    <x v="5"/>
    <n v="50000"/>
    <x v="2"/>
    <x v="0"/>
    <s v="Manager"/>
    <d v="2019-12-01T00:00:00"/>
    <x v="2"/>
    <s v="name@company.org"/>
    <s v="098-765-4321"/>
    <s v="Senior"/>
    <n v="6"/>
    <s v="Low"/>
    <x v="2"/>
    <n v="3"/>
  </r>
  <r>
    <s v="David"/>
    <x v="4"/>
    <n v="50000"/>
    <x v="1"/>
    <x v="4"/>
    <s v="Assistant"/>
    <d v="2019-03-25T00:00:00"/>
    <x v="3"/>
    <s v="Missing"/>
    <s v="123-456-7890"/>
    <s v="Mid-Career"/>
    <n v="6"/>
    <s v="Low"/>
    <x v="2"/>
    <n v="5"/>
  </r>
  <r>
    <s v="Grace"/>
    <x v="3"/>
    <n v="60000"/>
    <x v="1"/>
    <x v="4"/>
    <s v="Director"/>
    <d v="2019-03-25T00:00:00"/>
    <x v="3"/>
    <s v="Missing"/>
    <s v="555-555-5555"/>
    <s v="Mid-Career"/>
    <n v="6"/>
    <s v="Medium"/>
    <x v="2"/>
    <n v="5"/>
  </r>
  <r>
    <s v="David"/>
    <x v="4"/>
    <n v="65000"/>
    <x v="2"/>
    <x v="0"/>
    <s v="Analyst"/>
    <d v="2019-12-01T00:00:00"/>
    <x v="0"/>
    <s v="name@company.org"/>
    <s v="Missing"/>
    <s v="Mid-Career"/>
    <n v="6"/>
    <s v="Medium"/>
    <x v="2"/>
    <n v="2"/>
  </r>
  <r>
    <s v="Ivy"/>
    <x v="1"/>
    <s v=""/>
    <x v="2"/>
    <x v="1"/>
    <s v="Analyst"/>
    <d v="2019-12-01T00:00:00"/>
    <x v="3"/>
    <s v="Missing"/>
    <s v="555-555-5555"/>
    <s v="Mid-Career"/>
    <n v="6"/>
    <s v="High"/>
    <x v="2"/>
    <n v="5"/>
  </r>
  <r>
    <s v="Alice"/>
    <x v="0"/>
    <n v="60000"/>
    <x v="0"/>
    <x v="2"/>
    <s v="Assistant"/>
    <d v="2020-02-20T00:00:00"/>
    <x v="0"/>
    <s v="Missing"/>
    <s v="Missing"/>
    <s v="Young"/>
    <n v="6"/>
    <s v="Medium"/>
    <x v="1"/>
    <n v="2"/>
  </r>
  <r>
    <s v="Hannah"/>
    <x v="5"/>
    <n v="65000"/>
    <x v="2"/>
    <x v="2"/>
    <s v="Manager"/>
    <d v="2019-12-01T00:00:00"/>
    <x v="0"/>
    <s v="name@company.org"/>
    <s v="Missing"/>
    <s v="Senior"/>
    <n v="6"/>
    <s v="Medium"/>
    <x v="2"/>
    <n v="2"/>
  </r>
  <r>
    <s v="Grace"/>
    <x v="4"/>
    <n v="55000"/>
    <x v="1"/>
    <x v="0"/>
    <s v="Director"/>
    <d v="2018-04-05T00:00:00"/>
    <x v="1"/>
    <s v="email@example.com"/>
    <s v="Missing"/>
    <s v="Mid-Career"/>
    <n v="7"/>
    <s v="Medium"/>
    <x v="0"/>
    <n v="1"/>
  </r>
  <r>
    <s v="Bob"/>
    <x v="0"/>
    <s v=""/>
    <x v="0"/>
    <x v="0"/>
    <s v="Manager"/>
    <d v="2019-12-01T00:00:00"/>
    <x v="2"/>
    <s v="Missing"/>
    <s v="555-555-5555"/>
    <s v="Young"/>
    <n v="6"/>
    <s v="High"/>
    <x v="2"/>
    <n v="3"/>
  </r>
  <r>
    <s v="Hannah"/>
    <x v="3"/>
    <n v="55000"/>
    <x v="1"/>
    <x v="0"/>
    <s v="Analyst"/>
    <d v="2018-04-05T00:00:00"/>
    <x v="2"/>
    <s v="user@domain.com"/>
    <s v="Missing"/>
    <s v="Mid-Career"/>
    <n v="7"/>
    <s v="Medium"/>
    <x v="0"/>
    <n v="3"/>
  </r>
  <r>
    <s v="Alice"/>
    <x v="0"/>
    <n v="70000"/>
    <x v="0"/>
    <x v="1"/>
    <s v="Director"/>
    <d v="2019-12-01T00:00:00"/>
    <x v="2"/>
    <s v="name@company.org"/>
    <s v="123-456-7890"/>
    <s v="Young"/>
    <n v="6"/>
    <s v="High"/>
    <x v="2"/>
    <n v="3"/>
  </r>
  <r>
    <s v="Ivy"/>
    <x v="5"/>
    <s v=""/>
    <x v="2"/>
    <x v="4"/>
    <s v="Manager"/>
    <d v="2020-02-20T00:00:00"/>
    <x v="1"/>
    <s v="name@company.org"/>
    <s v="555-555-5555"/>
    <s v="Senior"/>
    <n v="6"/>
    <s v="High"/>
    <x v="1"/>
    <n v="1"/>
  </r>
  <r>
    <s v="Ivy"/>
    <x v="4"/>
    <n v="65000"/>
    <x v="1"/>
    <x v="0"/>
    <s v="Clerk"/>
    <d v="2018-04-05T00:00:00"/>
    <x v="0"/>
    <s v="Missing"/>
    <s v="123-456-7890"/>
    <s v="Mid-Career"/>
    <n v="7"/>
    <s v="Medium"/>
    <x v="0"/>
    <n v="2"/>
  </r>
  <r>
    <s v="Bob"/>
    <x v="1"/>
    <n v="70000"/>
    <x v="0"/>
    <x v="0"/>
    <s v="Assistant"/>
    <d v="2020-01-15T00:00:00"/>
    <x v="0"/>
    <s v="Missing"/>
    <s v="555-555-5555"/>
    <s v="Mid-Career"/>
    <n v="6"/>
    <s v="High"/>
    <x v="1"/>
    <n v="2"/>
  </r>
  <r>
    <s v="Grace"/>
    <x v="3"/>
    <n v="50000"/>
    <x v="0"/>
    <x v="3"/>
    <s v="Assistant"/>
    <d v="2018-04-05T00:00:00"/>
    <x v="3"/>
    <s v="Missing"/>
    <s v="123-456-7890"/>
    <s v="Mid-Career"/>
    <n v="7"/>
    <s v="Low"/>
    <x v="0"/>
    <n v="5"/>
  </r>
  <r>
    <s v="Jack"/>
    <x v="4"/>
    <n v="65000"/>
    <x v="2"/>
    <x v="1"/>
    <s v="Clerk"/>
    <d v="2020-02-20T00:00:00"/>
    <x v="1"/>
    <s v="Missing"/>
    <s v="555-555-5555"/>
    <s v="Mid-Career"/>
    <n v="6"/>
    <s v="Medium"/>
    <x v="1"/>
    <n v="1"/>
  </r>
  <r>
    <s v="Charlie"/>
    <x v="5"/>
    <n v="60000"/>
    <x v="2"/>
    <x v="0"/>
    <s v="Analyst"/>
    <d v="2018-04-05T00:00:00"/>
    <x v="3"/>
    <s v="user@domain.com"/>
    <s v="Missing"/>
    <s v="Senior"/>
    <n v="7"/>
    <s v="Medium"/>
    <x v="0"/>
    <n v="5"/>
  </r>
  <r>
    <s v="Grace"/>
    <x v="3"/>
    <n v="50000"/>
    <x v="2"/>
    <x v="3"/>
    <s v="Director"/>
    <d v="2019-12-01T00:00:00"/>
    <x v="1"/>
    <s v="Missing"/>
    <s v="098-765-4321"/>
    <s v="Mid-Career"/>
    <n v="6"/>
    <s v="Low"/>
    <x v="2"/>
    <n v="1"/>
  </r>
  <r>
    <s v="Jack"/>
    <x v="2"/>
    <n v="50000"/>
    <x v="1"/>
    <x v="2"/>
    <s v="Assistant"/>
    <d v="2019-12-01T00:00:00"/>
    <x v="3"/>
    <s v="Missing"/>
    <s v="Missing"/>
    <s v="Mid-Career"/>
    <n v="6"/>
    <s v="Low"/>
    <x v="2"/>
    <n v="5"/>
  </r>
  <r>
    <s v="Ivy"/>
    <x v="0"/>
    <n v="60000"/>
    <x v="0"/>
    <x v="0"/>
    <s v="Clerk"/>
    <d v="2020-02-20T00:00:00"/>
    <x v="4"/>
    <s v="Missing"/>
    <s v="123-456-7890"/>
    <s v="Young"/>
    <n v="6"/>
    <s v="Medium"/>
    <x v="1"/>
    <n v="4"/>
  </r>
  <r>
    <s v="David"/>
    <x v="5"/>
    <s v=""/>
    <x v="2"/>
    <x v="0"/>
    <s v="Clerk"/>
    <d v="2019-03-25T00:00:00"/>
    <x v="2"/>
    <s v="Missing"/>
    <s v="Missing"/>
    <s v="Senior"/>
    <n v="6"/>
    <s v="High"/>
    <x v="2"/>
    <n v="3"/>
  </r>
  <r>
    <s v="Alice"/>
    <x v="2"/>
    <n v="50000"/>
    <x v="1"/>
    <x v="3"/>
    <s v="Analyst"/>
    <d v="2019-12-01T00:00:00"/>
    <x v="2"/>
    <s v="email@example.com"/>
    <s v="Missing"/>
    <s v="Mid-Career"/>
    <n v="6"/>
    <s v="Low"/>
    <x v="2"/>
    <n v="3"/>
  </r>
  <r>
    <s v="Bob"/>
    <x v="4"/>
    <n v="65000"/>
    <x v="1"/>
    <x v="1"/>
    <s v="Analyst"/>
    <d v="2020-01-15T00:00:00"/>
    <x v="0"/>
    <s v="email@example.com"/>
    <s v="098-765-4321"/>
    <s v="Mid-Career"/>
    <n v="6"/>
    <s v="Medium"/>
    <x v="1"/>
    <n v="2"/>
  </r>
  <r>
    <s v="Alice"/>
    <x v="1"/>
    <n v="70000"/>
    <x v="1"/>
    <x v="0"/>
    <s v="Manager"/>
    <d v="2020-02-20T00:00:00"/>
    <x v="4"/>
    <s v="name@company.org"/>
    <s v="123-456-7890"/>
    <s v="Mid-Career"/>
    <n v="6"/>
    <s v="High"/>
    <x v="1"/>
    <n v="4"/>
  </r>
  <r>
    <s v="Eve"/>
    <x v="3"/>
    <n v="50000"/>
    <x v="2"/>
    <x v="2"/>
    <s v="Assistant"/>
    <d v="2018-04-05T00:00:00"/>
    <x v="2"/>
    <s v="name@company.org"/>
    <s v="Missing"/>
    <s v="Mid-Career"/>
    <n v="7"/>
    <s v="Low"/>
    <x v="0"/>
    <n v="3"/>
  </r>
  <r>
    <s v="Eve"/>
    <x v="0"/>
    <n v="65000"/>
    <x v="2"/>
    <x v="0"/>
    <s v="Manager"/>
    <d v="2018-04-05T00:00:00"/>
    <x v="0"/>
    <s v="Missing"/>
    <s v="555-555-5555"/>
    <s v="Young"/>
    <n v="7"/>
    <s v="Medium"/>
    <x v="0"/>
    <n v="2"/>
  </r>
  <r>
    <s v="Grace"/>
    <x v="3"/>
    <n v="55000"/>
    <x v="0"/>
    <x v="2"/>
    <s v="Clerk"/>
    <d v="2020-01-15T00:00:00"/>
    <x v="4"/>
    <s v="Missing"/>
    <s v="Missing"/>
    <s v="Mid-Career"/>
    <n v="6"/>
    <s v="Medium"/>
    <x v="1"/>
    <n v="4"/>
  </r>
  <r>
    <s v="Ivy"/>
    <x v="4"/>
    <n v="65000"/>
    <x v="0"/>
    <x v="4"/>
    <s v="Director"/>
    <d v="2019-12-01T00:00:00"/>
    <x v="2"/>
    <s v="user@domain.com"/>
    <s v="123-456-7890"/>
    <s v="Mid-Career"/>
    <n v="6"/>
    <s v="Medium"/>
    <x v="2"/>
    <n v="3"/>
  </r>
  <r>
    <s v="Ivy"/>
    <x v="3"/>
    <n v="70000"/>
    <x v="2"/>
    <x v="4"/>
    <s v="Director"/>
    <d v="2020-02-20T00:00:00"/>
    <x v="3"/>
    <s v="user@domain.com"/>
    <s v="Missing"/>
    <s v="Mid-Career"/>
    <n v="6"/>
    <s v="High"/>
    <x v="1"/>
    <n v="5"/>
  </r>
  <r>
    <s v="Charlie"/>
    <x v="0"/>
    <n v="65000"/>
    <x v="1"/>
    <x v="2"/>
    <s v="Analyst"/>
    <d v="2020-01-15T00:00:00"/>
    <x v="1"/>
    <s v="email@example.com"/>
    <s v="123-456-7890"/>
    <s v="Young"/>
    <n v="6"/>
    <s v="Medium"/>
    <x v="1"/>
    <n v="1"/>
  </r>
  <r>
    <s v="Charlie"/>
    <x v="4"/>
    <n v="60000"/>
    <x v="1"/>
    <x v="1"/>
    <s v="Director"/>
    <d v="2019-12-01T00:00:00"/>
    <x v="4"/>
    <s v="name@company.org"/>
    <s v="555-555-5555"/>
    <s v="Mid-Career"/>
    <n v="6"/>
    <s v="Medium"/>
    <x v="2"/>
    <n v="4"/>
  </r>
  <r>
    <s v="Charlie"/>
    <x v="3"/>
    <n v="70000"/>
    <x v="1"/>
    <x v="0"/>
    <s v="Director"/>
    <d v="2020-02-20T00:00:00"/>
    <x v="0"/>
    <s v="email@example.com"/>
    <s v="098-765-4321"/>
    <s v="Mid-Career"/>
    <n v="6"/>
    <s v="High"/>
    <x v="1"/>
    <n v="2"/>
  </r>
  <r>
    <s v="David"/>
    <x v="1"/>
    <s v=""/>
    <x v="0"/>
    <x v="0"/>
    <s v="Director"/>
    <d v="2018-04-05T00:00:00"/>
    <x v="4"/>
    <s v="email@example.com"/>
    <s v="Missing"/>
    <s v="Mid-Career"/>
    <n v="7"/>
    <s v="High"/>
    <x v="0"/>
    <n v="4"/>
  </r>
  <r>
    <s v="Hannah"/>
    <x v="5"/>
    <n v="55000"/>
    <x v="1"/>
    <x v="4"/>
    <s v="Clerk"/>
    <d v="2020-02-20T00:00:00"/>
    <x v="0"/>
    <s v="name@company.org"/>
    <s v="123-456-7890"/>
    <s v="Senior"/>
    <n v="6"/>
    <s v="Medium"/>
    <x v="1"/>
    <n v="2"/>
  </r>
  <r>
    <s v="Frank"/>
    <x v="4"/>
    <n v="60000"/>
    <x v="0"/>
    <x v="2"/>
    <s v="Director"/>
    <d v="2019-03-25T00:00:00"/>
    <x v="4"/>
    <s v="user@domain.com"/>
    <s v="123-456-7890"/>
    <s v="Mid-Career"/>
    <n v="6"/>
    <s v="Medium"/>
    <x v="2"/>
    <n v="4"/>
  </r>
  <r>
    <s v="Hannah"/>
    <x v="5"/>
    <s v=""/>
    <x v="0"/>
    <x v="0"/>
    <s v="Director"/>
    <d v="2020-02-20T00:00:00"/>
    <x v="0"/>
    <s v="name@company.org"/>
    <s v="123-456-7890"/>
    <s v="Senior"/>
    <n v="6"/>
    <s v="High"/>
    <x v="1"/>
    <n v="2"/>
  </r>
  <r>
    <s v="Alice"/>
    <x v="4"/>
    <n v="65000"/>
    <x v="1"/>
    <x v="0"/>
    <s v="Director"/>
    <d v="2019-03-25T00:00:00"/>
    <x v="2"/>
    <s v="Missing"/>
    <s v="098-765-4321"/>
    <s v="Mid-Career"/>
    <n v="6"/>
    <s v="Medium"/>
    <x v="2"/>
    <n v="3"/>
  </r>
  <r>
    <s v="Hannah"/>
    <x v="1"/>
    <n v="70000"/>
    <x v="1"/>
    <x v="1"/>
    <s v="Manager"/>
    <d v="2020-02-20T00:00:00"/>
    <x v="3"/>
    <s v="Missing"/>
    <s v="123-456-7890"/>
    <s v="Mid-Career"/>
    <n v="6"/>
    <s v="High"/>
    <x v="1"/>
    <n v="5"/>
  </r>
  <r>
    <s v="David"/>
    <x v="5"/>
    <n v="55000"/>
    <x v="2"/>
    <x v="3"/>
    <s v="Clerk"/>
    <d v="2019-03-25T00:00:00"/>
    <x v="2"/>
    <s v="Missing"/>
    <s v="Missing"/>
    <s v="Senior"/>
    <n v="6"/>
    <s v="Medium"/>
    <x v="2"/>
    <n v="3"/>
  </r>
  <r>
    <s v="Alice"/>
    <x v="2"/>
    <n v="60000"/>
    <x v="2"/>
    <x v="4"/>
    <s v="Analyst"/>
    <d v="2018-04-05T00:00:00"/>
    <x v="3"/>
    <s v="Missing"/>
    <s v="Missing"/>
    <s v="Mid-Career"/>
    <n v="7"/>
    <s v="Medium"/>
    <x v="0"/>
    <n v="5"/>
  </r>
  <r>
    <s v="Hannah"/>
    <x v="0"/>
    <s v=""/>
    <x v="1"/>
    <x v="4"/>
    <s v="Manager"/>
    <d v="2019-12-01T00:00:00"/>
    <x v="2"/>
    <s v="user@domain.com"/>
    <s v="123-456-7890"/>
    <s v="Young"/>
    <n v="6"/>
    <s v="High"/>
    <x v="2"/>
    <n v="3"/>
  </r>
  <r>
    <s v="David"/>
    <x v="2"/>
    <s v=""/>
    <x v="0"/>
    <x v="3"/>
    <s v="Assistant"/>
    <d v="2019-03-25T00:00:00"/>
    <x v="2"/>
    <s v="user@domain.com"/>
    <s v="Missing"/>
    <s v="Mid-Career"/>
    <n v="6"/>
    <s v="High"/>
    <x v="2"/>
    <n v="3"/>
  </r>
  <r>
    <s v="Frank"/>
    <x v="3"/>
    <n v="55000"/>
    <x v="0"/>
    <x v="0"/>
    <s v="Clerk"/>
    <d v="2019-03-25T00:00:00"/>
    <x v="4"/>
    <s v="Missing"/>
    <s v="Missing"/>
    <s v="Mid-Career"/>
    <n v="6"/>
    <s v="Medium"/>
    <x v="2"/>
    <n v="4"/>
  </r>
  <r>
    <s v="Hannah"/>
    <x v="1"/>
    <n v="65000"/>
    <x v="0"/>
    <x v="1"/>
    <s v="Clerk"/>
    <d v="2018-04-05T00:00:00"/>
    <x v="1"/>
    <s v="email@example.com"/>
    <s v="Missing"/>
    <s v="Mid-Career"/>
    <n v="7"/>
    <s v="Medium"/>
    <x v="0"/>
    <n v="1"/>
  </r>
  <r>
    <s v="David"/>
    <x v="2"/>
    <n v="55000"/>
    <x v="0"/>
    <x v="1"/>
    <s v="Assistant"/>
    <d v="2019-03-25T00:00:00"/>
    <x v="0"/>
    <s v="Missing"/>
    <s v="123-456-7890"/>
    <s v="Mid-Career"/>
    <n v="6"/>
    <s v="Medium"/>
    <x v="2"/>
    <n v="2"/>
  </r>
  <r>
    <s v="Charlie"/>
    <x v="4"/>
    <s v=""/>
    <x v="0"/>
    <x v="4"/>
    <s v="Assistant"/>
    <d v="2020-01-15T00:00:00"/>
    <x v="0"/>
    <s v="Missing"/>
    <s v="555-555-5555"/>
    <s v="Mid-Career"/>
    <n v="6"/>
    <s v="High"/>
    <x v="1"/>
    <n v="2"/>
  </r>
  <r>
    <s v="Ivy"/>
    <x v="3"/>
    <n v="50000"/>
    <x v="2"/>
    <x v="1"/>
    <s v="Assistant"/>
    <d v="2018-04-05T00:00:00"/>
    <x v="0"/>
    <s v="email@example.com"/>
    <s v="Missing"/>
    <s v="Mid-Career"/>
    <n v="7"/>
    <s v="Low"/>
    <x v="0"/>
    <n v="2"/>
  </r>
  <r>
    <s v="Charlie"/>
    <x v="3"/>
    <n v="60000"/>
    <x v="1"/>
    <x v="3"/>
    <s v="Analyst"/>
    <d v="2020-01-15T00:00:00"/>
    <x v="3"/>
    <s v="name@company.org"/>
    <s v="098-765-4321"/>
    <s v="Mid-Career"/>
    <n v="6"/>
    <s v="Medium"/>
    <x v="1"/>
    <n v="5"/>
  </r>
  <r>
    <s v="Ivy"/>
    <x v="2"/>
    <n v="55000"/>
    <x v="2"/>
    <x v="0"/>
    <s v="Director"/>
    <d v="2018-04-05T00:00:00"/>
    <x v="0"/>
    <s v="name@company.org"/>
    <s v="123-456-7890"/>
    <s v="Mid-Career"/>
    <n v="7"/>
    <s v="Medium"/>
    <x v="0"/>
    <n v="2"/>
  </r>
  <r>
    <s v="Bob"/>
    <x v="2"/>
    <s v=""/>
    <x v="0"/>
    <x v="3"/>
    <s v="Clerk"/>
    <d v="2019-03-25T00:00:00"/>
    <x v="0"/>
    <s v="user@domain.com"/>
    <s v="098-765-4321"/>
    <s v="Mid-Career"/>
    <n v="6"/>
    <s v="High"/>
    <x v="2"/>
    <n v="2"/>
  </r>
  <r>
    <s v="Bob"/>
    <x v="1"/>
    <n v="65000"/>
    <x v="0"/>
    <x v="2"/>
    <s v="Director"/>
    <d v="2020-01-15T00:00:00"/>
    <x v="4"/>
    <s v="Missing"/>
    <s v="555-555-5555"/>
    <s v="Mid-Career"/>
    <n v="6"/>
    <s v="Medium"/>
    <x v="1"/>
    <n v="4"/>
  </r>
  <r>
    <s v="Bob"/>
    <x v="0"/>
    <s v=""/>
    <x v="0"/>
    <x v="4"/>
    <s v="Director"/>
    <d v="2019-03-25T00:00:00"/>
    <x v="2"/>
    <s v="user@domain.com"/>
    <s v="098-765-4321"/>
    <s v="Young"/>
    <n v="6"/>
    <s v="High"/>
    <x v="2"/>
    <n v="3"/>
  </r>
  <r>
    <s v="Frank"/>
    <x v="2"/>
    <n v="65000"/>
    <x v="0"/>
    <x v="1"/>
    <s v="Assistant"/>
    <d v="2018-04-05T00:00:00"/>
    <x v="0"/>
    <s v="name@company.org"/>
    <s v="123-456-7890"/>
    <s v="Mid-Career"/>
    <n v="7"/>
    <s v="Medium"/>
    <x v="0"/>
    <n v="2"/>
  </r>
  <r>
    <s v="Charlie"/>
    <x v="2"/>
    <n v="55000"/>
    <x v="1"/>
    <x v="2"/>
    <s v="Analyst"/>
    <d v="2019-03-25T00:00:00"/>
    <x v="1"/>
    <s v="email@example.com"/>
    <s v="123-456-7890"/>
    <s v="Mid-Career"/>
    <n v="6"/>
    <s v="Medium"/>
    <x v="2"/>
    <n v="1"/>
  </r>
  <r>
    <s v="Ivy"/>
    <x v="5"/>
    <n v="65000"/>
    <x v="0"/>
    <x v="1"/>
    <s v="Manager"/>
    <d v="2020-01-15T00:00:00"/>
    <x v="0"/>
    <s v="user@domain.com"/>
    <s v="555-555-5555"/>
    <s v="Senior"/>
    <n v="6"/>
    <s v="Medium"/>
    <x v="1"/>
    <n v="2"/>
  </r>
  <r>
    <s v="David"/>
    <x v="4"/>
    <n v="70000"/>
    <x v="1"/>
    <x v="0"/>
    <s v="Analyst"/>
    <d v="2020-01-15T00:00:00"/>
    <x v="3"/>
    <s v="Missing"/>
    <s v="123-456-7890"/>
    <s v="Mid-Career"/>
    <n v="6"/>
    <s v="High"/>
    <x v="1"/>
    <n v="5"/>
  </r>
  <r>
    <s v="Alice"/>
    <x v="5"/>
    <n v="70000"/>
    <x v="0"/>
    <x v="0"/>
    <s v="Director"/>
    <d v="2019-03-25T00:00:00"/>
    <x v="3"/>
    <s v="Missing"/>
    <s v="555-555-5555"/>
    <s v="Senior"/>
    <n v="6"/>
    <s v="High"/>
    <x v="2"/>
    <n v="5"/>
  </r>
  <r>
    <s v="David"/>
    <x v="5"/>
    <n v="70000"/>
    <x v="1"/>
    <x v="0"/>
    <s v="Analyst"/>
    <d v="2020-02-20T00:00:00"/>
    <x v="3"/>
    <s v="email@example.com"/>
    <s v="555-555-5555"/>
    <s v="Senior"/>
    <n v="6"/>
    <s v="High"/>
    <x v="1"/>
    <n v="5"/>
  </r>
  <r>
    <s v="Alice"/>
    <x v="3"/>
    <n v="50000"/>
    <x v="2"/>
    <x v="1"/>
    <s v="Assistant"/>
    <d v="2018-04-05T00:00:00"/>
    <x v="0"/>
    <s v="name@company.org"/>
    <s v="123-456-7890"/>
    <s v="Mid-Career"/>
    <n v="7"/>
    <s v="Low"/>
    <x v="0"/>
    <n v="2"/>
  </r>
  <r>
    <s v="Eve"/>
    <x v="0"/>
    <n v="55000"/>
    <x v="0"/>
    <x v="2"/>
    <s v="Manager"/>
    <d v="2018-04-05T00:00:00"/>
    <x v="4"/>
    <s v="Missing"/>
    <s v="Missing"/>
    <s v="Young"/>
    <n v="7"/>
    <s v="Medium"/>
    <x v="0"/>
    <n v="4"/>
  </r>
  <r>
    <s v="David"/>
    <x v="4"/>
    <s v=""/>
    <x v="1"/>
    <x v="0"/>
    <s v="Assistant"/>
    <d v="2019-03-25T00:00:00"/>
    <x v="1"/>
    <s v="Missing"/>
    <s v="555-555-5555"/>
    <s v="Mid-Career"/>
    <n v="6"/>
    <s v="High"/>
    <x v="2"/>
    <n v="1"/>
  </r>
  <r>
    <s v="Hannah"/>
    <x v="1"/>
    <s v=""/>
    <x v="2"/>
    <x v="2"/>
    <s v="Manager"/>
    <d v="2020-02-20T00:00:00"/>
    <x v="0"/>
    <s v="Missing"/>
    <s v="123-456-7890"/>
    <s v="Mid-Career"/>
    <n v="6"/>
    <s v="High"/>
    <x v="1"/>
    <n v="2"/>
  </r>
  <r>
    <s v="Hannah"/>
    <x v="1"/>
    <n v="50000"/>
    <x v="0"/>
    <x v="1"/>
    <s v="Director"/>
    <d v="2020-01-15T00:00:00"/>
    <x v="4"/>
    <s v="user@domain.com"/>
    <s v="Missing"/>
    <s v="Mid-Career"/>
    <n v="6"/>
    <s v="Low"/>
    <x v="1"/>
    <n v="4"/>
  </r>
  <r>
    <s v="Grace"/>
    <x v="2"/>
    <n v="65000"/>
    <x v="0"/>
    <x v="2"/>
    <s v="Manager"/>
    <d v="2019-12-01T00:00:00"/>
    <x v="4"/>
    <s v="name@company.org"/>
    <s v="555-555-5555"/>
    <s v="Mid-Career"/>
    <n v="6"/>
    <s v="Medium"/>
    <x v="2"/>
    <n v="4"/>
  </r>
  <r>
    <s v="Charlie"/>
    <x v="2"/>
    <n v="50000"/>
    <x v="0"/>
    <x v="1"/>
    <s v="Manager"/>
    <d v="2019-12-01T00:00:00"/>
    <x v="0"/>
    <s v="user@domain.com"/>
    <s v="Missing"/>
    <s v="Mid-Career"/>
    <n v="6"/>
    <s v="Low"/>
    <x v="2"/>
    <n v="2"/>
  </r>
  <r>
    <s v="Alice"/>
    <x v="1"/>
    <n v="65000"/>
    <x v="1"/>
    <x v="1"/>
    <s v="Manager"/>
    <d v="2019-03-25T00:00:00"/>
    <x v="0"/>
    <s v="name@company.org"/>
    <s v="Missing"/>
    <s v="Mid-Career"/>
    <n v="6"/>
    <s v="Medium"/>
    <x v="2"/>
    <n v="2"/>
  </r>
  <r>
    <s v="Alice"/>
    <x v="2"/>
    <n v="65000"/>
    <x v="1"/>
    <x v="4"/>
    <s v="Analyst"/>
    <d v="2020-02-20T00:00:00"/>
    <x v="4"/>
    <s v="Missing"/>
    <s v="Missing"/>
    <s v="Mid-Career"/>
    <n v="6"/>
    <s v="Medium"/>
    <x v="1"/>
    <n v="4"/>
  </r>
  <r>
    <s v="Charlie"/>
    <x v="0"/>
    <n v="60000"/>
    <x v="2"/>
    <x v="1"/>
    <s v="Analyst"/>
    <d v="2020-02-20T00:00:00"/>
    <x v="4"/>
    <s v="Missing"/>
    <s v="Missing"/>
    <s v="Young"/>
    <n v="6"/>
    <s v="Medium"/>
    <x v="1"/>
    <n v="4"/>
  </r>
  <r>
    <s v="Frank"/>
    <x v="5"/>
    <s v=""/>
    <x v="1"/>
    <x v="1"/>
    <s v="Director"/>
    <d v="2018-04-05T00:00:00"/>
    <x v="4"/>
    <s v="user@domain.com"/>
    <s v="555-555-5555"/>
    <s v="Senior"/>
    <n v="7"/>
    <s v="High"/>
    <x v="0"/>
    <n v="4"/>
  </r>
  <r>
    <s v="Grace"/>
    <x v="2"/>
    <n v="70000"/>
    <x v="1"/>
    <x v="3"/>
    <s v="Manager"/>
    <d v="2020-01-15T00:00:00"/>
    <x v="0"/>
    <s v="Missing"/>
    <s v="123-456-7890"/>
    <s v="Mid-Career"/>
    <n v="6"/>
    <s v="High"/>
    <x v="1"/>
    <n v="2"/>
  </r>
  <r>
    <s v="Frank"/>
    <x v="3"/>
    <n v="65000"/>
    <x v="0"/>
    <x v="0"/>
    <s v="Clerk"/>
    <d v="2020-02-20T00:00:00"/>
    <x v="4"/>
    <s v="name@company.org"/>
    <s v="098-765-4321"/>
    <s v="Mid-Career"/>
    <n v="6"/>
    <s v="Medium"/>
    <x v="1"/>
    <n v="4"/>
  </r>
  <r>
    <s v="Frank"/>
    <x v="2"/>
    <n v="60000"/>
    <x v="0"/>
    <x v="4"/>
    <s v="Director"/>
    <d v="2019-12-01T00:00:00"/>
    <x v="3"/>
    <s v="user@domain.com"/>
    <s v="123-456-7890"/>
    <s v="Mid-Career"/>
    <n v="6"/>
    <s v="Medium"/>
    <x v="2"/>
    <n v="5"/>
  </r>
  <r>
    <s v="Frank"/>
    <x v="4"/>
    <s v=""/>
    <x v="0"/>
    <x v="4"/>
    <s v="Manager"/>
    <d v="2020-01-15T00:00:00"/>
    <x v="0"/>
    <s v="user@domain.com"/>
    <s v="098-765-4321"/>
    <s v="Mid-Career"/>
    <n v="6"/>
    <s v="High"/>
    <x v="1"/>
    <n v="2"/>
  </r>
  <r>
    <s v="Charlie"/>
    <x v="0"/>
    <n v="70000"/>
    <x v="0"/>
    <x v="4"/>
    <s v="Manager"/>
    <d v="2020-01-15T00:00:00"/>
    <x v="3"/>
    <s v="Missing"/>
    <s v="098-765-4321"/>
    <s v="Young"/>
    <n v="6"/>
    <s v="High"/>
    <x v="1"/>
    <n v="5"/>
  </r>
  <r>
    <s v="Frank"/>
    <x v="4"/>
    <n v="65000"/>
    <x v="0"/>
    <x v="3"/>
    <s v="Analyst"/>
    <d v="2019-03-25T00:00:00"/>
    <x v="2"/>
    <s v="user@domain.com"/>
    <s v="555-555-5555"/>
    <s v="Mid-Career"/>
    <n v="6"/>
    <s v="Medium"/>
    <x v="2"/>
    <n v="3"/>
  </r>
  <r>
    <s v="Hannah"/>
    <x v="4"/>
    <n v="65000"/>
    <x v="0"/>
    <x v="1"/>
    <s v="Director"/>
    <d v="2020-02-20T00:00:00"/>
    <x v="0"/>
    <s v="Missing"/>
    <s v="Missing"/>
    <s v="Mid-Career"/>
    <n v="6"/>
    <s v="Medium"/>
    <x v="1"/>
    <n v="2"/>
  </r>
  <r>
    <s v="Bob"/>
    <x v="3"/>
    <n v="50000"/>
    <x v="0"/>
    <x v="0"/>
    <s v="Manager"/>
    <d v="2019-03-25T00:00:00"/>
    <x v="2"/>
    <s v="Missing"/>
    <s v="123-456-7890"/>
    <s v="Mid-Career"/>
    <n v="6"/>
    <s v="Low"/>
    <x v="2"/>
    <n v="3"/>
  </r>
  <r>
    <s v="Eve"/>
    <x v="0"/>
    <n v="50000"/>
    <x v="2"/>
    <x v="2"/>
    <s v="Manager"/>
    <d v="2020-02-20T00:00:00"/>
    <x v="4"/>
    <s v="Missing"/>
    <s v="Missing"/>
    <s v="Young"/>
    <n v="6"/>
    <s v="Low"/>
    <x v="1"/>
    <n v="4"/>
  </r>
  <r>
    <s v="Alice"/>
    <x v="0"/>
    <s v=""/>
    <x v="2"/>
    <x v="1"/>
    <s v="Director"/>
    <d v="2018-04-05T00:00:00"/>
    <x v="4"/>
    <s v="name@company.org"/>
    <s v="Missing"/>
    <s v="Young"/>
    <n v="7"/>
    <s v="High"/>
    <x v="0"/>
    <n v="4"/>
  </r>
  <r>
    <s v="Alice"/>
    <x v="0"/>
    <n v="70000"/>
    <x v="2"/>
    <x v="3"/>
    <s v="Clerk"/>
    <d v="2019-03-25T00:00:00"/>
    <x v="1"/>
    <s v="Missing"/>
    <s v="555-555-5555"/>
    <s v="Young"/>
    <n v="6"/>
    <s v="High"/>
    <x v="2"/>
    <n v="1"/>
  </r>
  <r>
    <s v="Eve"/>
    <x v="0"/>
    <n v="65000"/>
    <x v="2"/>
    <x v="1"/>
    <s v="Director"/>
    <d v="2019-03-25T00:00:00"/>
    <x v="4"/>
    <s v="Missing"/>
    <s v="555-555-5555"/>
    <s v="Young"/>
    <n v="6"/>
    <s v="Medium"/>
    <x v="2"/>
    <n v="4"/>
  </r>
  <r>
    <s v="Charlie"/>
    <x v="0"/>
    <s v=""/>
    <x v="0"/>
    <x v="1"/>
    <s v="Director"/>
    <d v="2019-12-01T00:00:00"/>
    <x v="2"/>
    <s v="email@example.com"/>
    <s v="Missing"/>
    <s v="Young"/>
    <n v="6"/>
    <s v="High"/>
    <x v="2"/>
    <n v="3"/>
  </r>
  <r>
    <s v="David"/>
    <x v="3"/>
    <s v=""/>
    <x v="2"/>
    <x v="3"/>
    <s v="Clerk"/>
    <d v="2019-03-25T00:00:00"/>
    <x v="4"/>
    <s v="email@example.com"/>
    <s v="123-456-7890"/>
    <s v="Mid-Career"/>
    <n v="6"/>
    <s v="High"/>
    <x v="2"/>
    <n v="4"/>
  </r>
  <r>
    <s v="Charlie"/>
    <x v="2"/>
    <n v="55000"/>
    <x v="0"/>
    <x v="4"/>
    <s v="Director"/>
    <d v="2020-02-20T00:00:00"/>
    <x v="0"/>
    <s v="user@domain.com"/>
    <s v="Missing"/>
    <s v="Mid-Career"/>
    <n v="6"/>
    <s v="Medium"/>
    <x v="1"/>
    <n v="2"/>
  </r>
  <r>
    <s v="Alice"/>
    <x v="4"/>
    <n v="50000"/>
    <x v="2"/>
    <x v="4"/>
    <s v="Manager"/>
    <d v="2019-12-01T00:00:00"/>
    <x v="4"/>
    <s v="user@domain.com"/>
    <s v="123-456-7890"/>
    <s v="Mid-Career"/>
    <n v="6"/>
    <s v="Low"/>
    <x v="2"/>
    <n v="4"/>
  </r>
  <r>
    <s v="Alice"/>
    <x v="0"/>
    <n v="70000"/>
    <x v="1"/>
    <x v="0"/>
    <s v="Director"/>
    <d v="2019-03-25T00:00:00"/>
    <x v="1"/>
    <s v="email@example.com"/>
    <s v="098-765-4321"/>
    <s v="Young"/>
    <n v="6"/>
    <s v="High"/>
    <x v="2"/>
    <n v="1"/>
  </r>
  <r>
    <s v="Eve"/>
    <x v="2"/>
    <n v="65000"/>
    <x v="2"/>
    <x v="0"/>
    <s v="Clerk"/>
    <d v="2019-03-25T00:00:00"/>
    <x v="4"/>
    <s v="Missing"/>
    <s v="555-555-5555"/>
    <s v="Mid-Career"/>
    <n v="6"/>
    <s v="Medium"/>
    <x v="2"/>
    <n v="4"/>
  </r>
  <r>
    <s v="Frank"/>
    <x v="2"/>
    <s v=""/>
    <x v="2"/>
    <x v="4"/>
    <s v="Assistant"/>
    <d v="2018-04-05T00:00:00"/>
    <x v="2"/>
    <s v="user@domain.com"/>
    <s v="123-456-7890"/>
    <s v="Mid-Career"/>
    <n v="7"/>
    <s v="High"/>
    <x v="0"/>
    <n v="3"/>
  </r>
  <r>
    <s v="Charlie"/>
    <x v="4"/>
    <n v="65000"/>
    <x v="0"/>
    <x v="2"/>
    <s v="Director"/>
    <d v="2019-03-25T00:00:00"/>
    <x v="2"/>
    <s v="Missing"/>
    <s v="Missing"/>
    <s v="Mid-Career"/>
    <n v="6"/>
    <s v="Medium"/>
    <x v="2"/>
    <n v="3"/>
  </r>
  <r>
    <s v="Ivy"/>
    <x v="3"/>
    <n v="55000"/>
    <x v="2"/>
    <x v="1"/>
    <s v="Analyst"/>
    <d v="2020-01-15T00:00:00"/>
    <x v="4"/>
    <s v="Missing"/>
    <s v="Missing"/>
    <s v="Mid-Career"/>
    <n v="6"/>
    <s v="Medium"/>
    <x v="1"/>
    <n v="4"/>
  </r>
  <r>
    <s v="Eve"/>
    <x v="1"/>
    <n v="70000"/>
    <x v="1"/>
    <x v="2"/>
    <s v="Manager"/>
    <d v="2019-12-01T00:00:00"/>
    <x v="2"/>
    <s v="Missing"/>
    <s v="555-555-5555"/>
    <s v="Mid-Career"/>
    <n v="6"/>
    <s v="High"/>
    <x v="2"/>
    <n v="3"/>
  </r>
  <r>
    <s v="Hannah"/>
    <x v="1"/>
    <s v=""/>
    <x v="0"/>
    <x v="1"/>
    <s v="Manager"/>
    <d v="2020-01-15T00:00:00"/>
    <x v="2"/>
    <s v="user@domain.com"/>
    <s v="Missing"/>
    <s v="Mid-Career"/>
    <n v="6"/>
    <s v="High"/>
    <x v="1"/>
    <n v="3"/>
  </r>
  <r>
    <s v="Alice"/>
    <x v="2"/>
    <n v="65000"/>
    <x v="0"/>
    <x v="4"/>
    <s v="Analyst"/>
    <d v="2019-12-01T00:00:00"/>
    <x v="1"/>
    <s v="Missing"/>
    <s v="Missing"/>
    <s v="Mid-Career"/>
    <n v="6"/>
    <s v="Medium"/>
    <x v="2"/>
    <n v="1"/>
  </r>
  <r>
    <s v="Eve"/>
    <x v="5"/>
    <n v="50000"/>
    <x v="2"/>
    <x v="0"/>
    <s v="Analyst"/>
    <d v="2018-04-05T00:00:00"/>
    <x v="0"/>
    <s v="user@domain.com"/>
    <s v="123-456-7890"/>
    <s v="Senior"/>
    <n v="7"/>
    <s v="Low"/>
    <x v="0"/>
    <n v="2"/>
  </r>
  <r>
    <s v="Charlie"/>
    <x v="5"/>
    <n v="55000"/>
    <x v="0"/>
    <x v="0"/>
    <s v="Director"/>
    <d v="2019-03-25T00:00:00"/>
    <x v="1"/>
    <s v="user@domain.com"/>
    <s v="Missing"/>
    <s v="Senior"/>
    <n v="6"/>
    <s v="Medium"/>
    <x v="2"/>
    <n v="1"/>
  </r>
  <r>
    <s v="Alice"/>
    <x v="4"/>
    <n v="70000"/>
    <x v="0"/>
    <x v="2"/>
    <s v="Analyst"/>
    <d v="2019-03-25T00:00:00"/>
    <x v="3"/>
    <s v="Missing"/>
    <s v="555-555-5555"/>
    <s v="Mid-Career"/>
    <n v="6"/>
    <s v="High"/>
    <x v="2"/>
    <n v="5"/>
  </r>
  <r>
    <s v="David"/>
    <x v="1"/>
    <n v="55000"/>
    <x v="0"/>
    <x v="0"/>
    <s v="Assistant"/>
    <d v="2019-03-25T00:00:00"/>
    <x v="1"/>
    <s v="email@example.com"/>
    <s v="123-456-7890"/>
    <s v="Mid-Career"/>
    <n v="6"/>
    <s v="Medium"/>
    <x v="2"/>
    <n v="1"/>
  </r>
  <r>
    <s v="Eve"/>
    <x v="2"/>
    <n v="50000"/>
    <x v="0"/>
    <x v="4"/>
    <s v="Clerk"/>
    <d v="2019-12-01T00:00:00"/>
    <x v="4"/>
    <s v="Missing"/>
    <s v="098-765-4321"/>
    <s v="Mid-Career"/>
    <n v="6"/>
    <s v="Low"/>
    <x v="2"/>
    <n v="4"/>
  </r>
  <r>
    <s v="Grace"/>
    <x v="3"/>
    <n v="70000"/>
    <x v="0"/>
    <x v="2"/>
    <s v="Analyst"/>
    <d v="2019-03-25T00:00:00"/>
    <x v="0"/>
    <s v="Missing"/>
    <s v="Missing"/>
    <s v="Mid-Career"/>
    <n v="6"/>
    <s v="High"/>
    <x v="2"/>
    <n v="2"/>
  </r>
  <r>
    <s v="Alice"/>
    <x v="1"/>
    <n v="55000"/>
    <x v="0"/>
    <x v="1"/>
    <s v="Analyst"/>
    <d v="2020-01-15T00:00:00"/>
    <x v="4"/>
    <s v="name@company.org"/>
    <s v="Missing"/>
    <s v="Mid-Career"/>
    <n v="6"/>
    <s v="Medium"/>
    <x v="1"/>
    <n v="4"/>
  </r>
  <r>
    <s v="Charlie"/>
    <x v="2"/>
    <n v="60000"/>
    <x v="1"/>
    <x v="0"/>
    <s v="Assistant"/>
    <d v="2019-03-25T00:00:00"/>
    <x v="3"/>
    <s v="Missing"/>
    <s v="123-456-7890"/>
    <s v="Mid-Career"/>
    <n v="6"/>
    <s v="Medium"/>
    <x v="2"/>
    <n v="5"/>
  </r>
  <r>
    <s v="Bob"/>
    <x v="2"/>
    <n v="50000"/>
    <x v="2"/>
    <x v="3"/>
    <s v="Manager"/>
    <d v="2018-04-05T00:00:00"/>
    <x v="0"/>
    <s v="user@domain.com"/>
    <s v="Missing"/>
    <s v="Mid-Career"/>
    <n v="7"/>
    <s v="Low"/>
    <x v="0"/>
    <n v="2"/>
  </r>
  <r>
    <s v="Ivy"/>
    <x v="0"/>
    <n v="50000"/>
    <x v="1"/>
    <x v="0"/>
    <s v="Manager"/>
    <d v="2020-01-15T00:00:00"/>
    <x v="2"/>
    <s v="user@domain.com"/>
    <s v="Missing"/>
    <s v="Young"/>
    <n v="6"/>
    <s v="Low"/>
    <x v="1"/>
    <n v="3"/>
  </r>
  <r>
    <s v="Jack"/>
    <x v="3"/>
    <n v="50000"/>
    <x v="0"/>
    <x v="1"/>
    <s v="Director"/>
    <d v="2019-03-25T00:00:00"/>
    <x v="1"/>
    <s v="Missing"/>
    <s v="555-555-5555"/>
    <s v="Mid-Career"/>
    <n v="6"/>
    <s v="Low"/>
    <x v="2"/>
    <n v="1"/>
  </r>
  <r>
    <s v="Frank"/>
    <x v="0"/>
    <n v="60000"/>
    <x v="0"/>
    <x v="2"/>
    <s v="Assistant"/>
    <d v="2019-03-25T00:00:00"/>
    <x v="4"/>
    <s v="name@company.org"/>
    <s v="Missing"/>
    <s v="Young"/>
    <n v="6"/>
    <s v="Medium"/>
    <x v="2"/>
    <n v="4"/>
  </r>
  <r>
    <s v="Jack"/>
    <x v="4"/>
    <n v="60000"/>
    <x v="2"/>
    <x v="1"/>
    <s v="Clerk"/>
    <d v="2020-02-20T00:00:00"/>
    <x v="3"/>
    <s v="Missing"/>
    <s v="098-765-4321"/>
    <s v="Mid-Career"/>
    <n v="6"/>
    <s v="Medium"/>
    <x v="1"/>
    <n v="5"/>
  </r>
  <r>
    <s v="Charlie"/>
    <x v="0"/>
    <n v="65000"/>
    <x v="1"/>
    <x v="3"/>
    <s v="Clerk"/>
    <d v="2019-12-01T00:00:00"/>
    <x v="2"/>
    <s v="name@company.org"/>
    <s v="Missing"/>
    <s v="Young"/>
    <n v="6"/>
    <s v="Medium"/>
    <x v="2"/>
    <n v="3"/>
  </r>
  <r>
    <s v="Hannah"/>
    <x v="0"/>
    <s v=""/>
    <x v="2"/>
    <x v="4"/>
    <s v="Assistant"/>
    <d v="2020-01-15T00:00:00"/>
    <x v="1"/>
    <s v="name@company.org"/>
    <s v="Missing"/>
    <s v="Young"/>
    <n v="6"/>
    <s v="High"/>
    <x v="1"/>
    <n v="1"/>
  </r>
  <r>
    <s v="Hannah"/>
    <x v="1"/>
    <n v="55000"/>
    <x v="1"/>
    <x v="0"/>
    <s v="Clerk"/>
    <d v="2020-02-20T00:00:00"/>
    <x v="2"/>
    <s v="Missing"/>
    <s v="Missing"/>
    <s v="Mid-Career"/>
    <n v="6"/>
    <s v="Medium"/>
    <x v="1"/>
    <n v="3"/>
  </r>
  <r>
    <s v="Bob"/>
    <x v="5"/>
    <n v="65000"/>
    <x v="0"/>
    <x v="2"/>
    <s v="Manager"/>
    <d v="2018-04-05T00:00:00"/>
    <x v="1"/>
    <s v="user@domain.com"/>
    <s v="123-456-7890"/>
    <s v="Senior"/>
    <n v="7"/>
    <s v="Medium"/>
    <x v="0"/>
    <n v="1"/>
  </r>
  <r>
    <s v="Frank"/>
    <x v="2"/>
    <n v="55000"/>
    <x v="2"/>
    <x v="4"/>
    <s v="Clerk"/>
    <d v="2019-12-01T00:00:00"/>
    <x v="0"/>
    <s v="user@domain.com"/>
    <s v="Missing"/>
    <s v="Mid-Career"/>
    <n v="6"/>
    <s v="Medium"/>
    <x v="2"/>
    <n v="2"/>
  </r>
  <r>
    <s v="Grace"/>
    <x v="3"/>
    <s v=""/>
    <x v="2"/>
    <x v="1"/>
    <s v="Clerk"/>
    <d v="2020-01-15T00:00:00"/>
    <x v="2"/>
    <s v="name@company.org"/>
    <s v="Missing"/>
    <s v="Mid-Career"/>
    <n v="6"/>
    <s v="High"/>
    <x v="1"/>
    <n v="3"/>
  </r>
  <r>
    <s v="Bob"/>
    <x v="0"/>
    <n v="60000"/>
    <x v="0"/>
    <x v="2"/>
    <s v="Assistant"/>
    <d v="2019-03-25T00:00:00"/>
    <x v="2"/>
    <s v="user@domain.com"/>
    <s v="123-456-7890"/>
    <s v="Young"/>
    <n v="6"/>
    <s v="Medium"/>
    <x v="2"/>
    <n v="3"/>
  </r>
  <r>
    <s v="Jack"/>
    <x v="3"/>
    <s v=""/>
    <x v="2"/>
    <x v="4"/>
    <s v="Assistant"/>
    <d v="2020-01-15T00:00:00"/>
    <x v="2"/>
    <s v="email@example.com"/>
    <s v="555-555-5555"/>
    <s v="Mid-Career"/>
    <n v="6"/>
    <s v="High"/>
    <x v="1"/>
    <n v="3"/>
  </r>
  <r>
    <s v="Bob"/>
    <x v="5"/>
    <n v="60000"/>
    <x v="1"/>
    <x v="2"/>
    <s v="Clerk"/>
    <d v="2019-03-25T00:00:00"/>
    <x v="0"/>
    <s v="name@company.org"/>
    <s v="123-456-7890"/>
    <s v="Senior"/>
    <n v="6"/>
    <s v="Medium"/>
    <x v="2"/>
    <n v="2"/>
  </r>
  <r>
    <s v="Jack"/>
    <x v="5"/>
    <s v=""/>
    <x v="1"/>
    <x v="3"/>
    <s v="Analyst"/>
    <d v="2019-12-01T00:00:00"/>
    <x v="3"/>
    <s v="user@domain.com"/>
    <s v="098-765-4321"/>
    <s v="Senior"/>
    <n v="6"/>
    <s v="High"/>
    <x v="2"/>
    <n v="5"/>
  </r>
  <r>
    <s v="Alice"/>
    <x v="0"/>
    <n v="65000"/>
    <x v="1"/>
    <x v="3"/>
    <s v="Assistant"/>
    <d v="2019-03-25T00:00:00"/>
    <x v="1"/>
    <s v="email@example.com"/>
    <s v="123-456-7890"/>
    <s v="Young"/>
    <n v="6"/>
    <s v="Medium"/>
    <x v="2"/>
    <n v="1"/>
  </r>
  <r>
    <s v="Hannah"/>
    <x v="4"/>
    <n v="70000"/>
    <x v="1"/>
    <x v="0"/>
    <s v="Director"/>
    <d v="2018-04-05T00:00:00"/>
    <x v="2"/>
    <s v="Missing"/>
    <s v="555-555-5555"/>
    <s v="Mid-Career"/>
    <n v="7"/>
    <s v="High"/>
    <x v="0"/>
    <n v="3"/>
  </r>
  <r>
    <s v="Alice"/>
    <x v="0"/>
    <n v="65000"/>
    <x v="0"/>
    <x v="0"/>
    <s v="Director"/>
    <d v="2019-03-25T00:00:00"/>
    <x v="0"/>
    <s v="user@domain.com"/>
    <s v="Missing"/>
    <s v="Young"/>
    <n v="6"/>
    <s v="Medium"/>
    <x v="2"/>
    <n v="2"/>
  </r>
  <r>
    <s v="Ivy"/>
    <x v="1"/>
    <n v="55000"/>
    <x v="2"/>
    <x v="3"/>
    <s v="Manager"/>
    <d v="2018-04-05T00:00:00"/>
    <x v="3"/>
    <s v="email@example.com"/>
    <s v="123-456-7890"/>
    <s v="Mid-Career"/>
    <n v="7"/>
    <s v="Medium"/>
    <x v="0"/>
    <n v="5"/>
  </r>
  <r>
    <s v="Frank"/>
    <x v="2"/>
    <n v="65000"/>
    <x v="1"/>
    <x v="2"/>
    <s v="Clerk"/>
    <d v="2019-12-01T00:00:00"/>
    <x v="1"/>
    <s v="Missing"/>
    <s v="123-456-7890"/>
    <s v="Mid-Career"/>
    <n v="6"/>
    <s v="Medium"/>
    <x v="2"/>
    <n v="1"/>
  </r>
  <r>
    <s v="Grace"/>
    <x v="4"/>
    <n v="50000"/>
    <x v="0"/>
    <x v="3"/>
    <s v="Analyst"/>
    <d v="2019-12-01T00:00:00"/>
    <x v="0"/>
    <s v="Missing"/>
    <s v="123-456-7890"/>
    <s v="Mid-Career"/>
    <n v="6"/>
    <s v="Low"/>
    <x v="2"/>
    <n v="2"/>
  </r>
  <r>
    <s v="Jack"/>
    <x v="0"/>
    <n v="55000"/>
    <x v="2"/>
    <x v="0"/>
    <s v="Manager"/>
    <d v="2020-01-15T00:00:00"/>
    <x v="1"/>
    <s v="email@example.com"/>
    <s v="123-456-7890"/>
    <s v="Young"/>
    <n v="6"/>
    <s v="Medium"/>
    <x v="1"/>
    <n v="1"/>
  </r>
  <r>
    <s v="Grace"/>
    <x v="3"/>
    <s v=""/>
    <x v="2"/>
    <x v="3"/>
    <s v="Clerk"/>
    <d v="2018-04-05T00:00:00"/>
    <x v="2"/>
    <s v="name@company.org"/>
    <s v="555-555-5555"/>
    <s v="Mid-Career"/>
    <n v="7"/>
    <s v="High"/>
    <x v="0"/>
    <n v="3"/>
  </r>
  <r>
    <s v="Jack"/>
    <x v="4"/>
    <n v="55000"/>
    <x v="0"/>
    <x v="3"/>
    <s v="Assistant"/>
    <d v="2018-04-05T00:00:00"/>
    <x v="3"/>
    <s v="name@company.org"/>
    <s v="Missing"/>
    <s v="Mid-Career"/>
    <n v="7"/>
    <s v="Medium"/>
    <x v="0"/>
    <n v="5"/>
  </r>
  <r>
    <s v="Charlie"/>
    <x v="4"/>
    <n v="70000"/>
    <x v="0"/>
    <x v="2"/>
    <s v="Director"/>
    <d v="2020-02-20T00:00:00"/>
    <x v="0"/>
    <s v="user@domain.com"/>
    <s v="Missing"/>
    <s v="Mid-Career"/>
    <n v="6"/>
    <s v="High"/>
    <x v="1"/>
    <n v="2"/>
  </r>
  <r>
    <s v="Bob"/>
    <x v="0"/>
    <n v="60000"/>
    <x v="1"/>
    <x v="4"/>
    <s v="Analyst"/>
    <d v="2020-02-20T00:00:00"/>
    <x v="3"/>
    <s v="Missing"/>
    <s v="123-456-7890"/>
    <s v="Young"/>
    <n v="6"/>
    <s v="Medium"/>
    <x v="1"/>
    <n v="5"/>
  </r>
  <r>
    <s v="Ivy"/>
    <x v="4"/>
    <s v=""/>
    <x v="2"/>
    <x v="0"/>
    <s v="Director"/>
    <d v="2020-02-20T00:00:00"/>
    <x v="2"/>
    <s v="name@company.org"/>
    <s v="555-555-5555"/>
    <s v="Mid-Career"/>
    <n v="6"/>
    <s v="High"/>
    <x v="1"/>
    <n v="3"/>
  </r>
  <r>
    <s v="Hannah"/>
    <x v="3"/>
    <n v="55000"/>
    <x v="2"/>
    <x v="2"/>
    <s v="Assistant"/>
    <d v="2019-03-25T00:00:00"/>
    <x v="3"/>
    <s v="name@company.org"/>
    <s v="555-555-5555"/>
    <s v="Mid-Career"/>
    <n v="6"/>
    <s v="Medium"/>
    <x v="2"/>
    <n v="5"/>
  </r>
  <r>
    <s v="Jack"/>
    <x v="5"/>
    <s v=""/>
    <x v="0"/>
    <x v="3"/>
    <s v="Clerk"/>
    <d v="2020-02-20T00:00:00"/>
    <x v="3"/>
    <s v="Missing"/>
    <s v="123-456-7890"/>
    <s v="Senior"/>
    <n v="6"/>
    <s v="High"/>
    <x v="1"/>
    <n v="5"/>
  </r>
  <r>
    <s v="Grace"/>
    <x v="4"/>
    <s v=""/>
    <x v="2"/>
    <x v="3"/>
    <s v="Assistant"/>
    <d v="2018-04-05T00:00:00"/>
    <x v="4"/>
    <s v="Missing"/>
    <s v="098-765-4321"/>
    <s v="Mid-Career"/>
    <n v="7"/>
    <s v="High"/>
    <x v="0"/>
    <n v="4"/>
  </r>
  <r>
    <s v="Ivy"/>
    <x v="5"/>
    <s v=""/>
    <x v="1"/>
    <x v="4"/>
    <s v="Assistant"/>
    <d v="2019-03-25T00:00:00"/>
    <x v="3"/>
    <s v="name@company.org"/>
    <s v="123-456-7890"/>
    <s v="Senior"/>
    <n v="6"/>
    <s v="High"/>
    <x v="2"/>
    <n v="5"/>
  </r>
  <r>
    <s v="David"/>
    <x v="3"/>
    <n v="60000"/>
    <x v="2"/>
    <x v="0"/>
    <s v="Director"/>
    <d v="2019-12-01T00:00:00"/>
    <x v="1"/>
    <s v="email@example.com"/>
    <s v="098-765-4321"/>
    <s v="Mid-Career"/>
    <n v="6"/>
    <s v="Medium"/>
    <x v="2"/>
    <n v="1"/>
  </r>
  <r>
    <s v="David"/>
    <x v="0"/>
    <n v="65000"/>
    <x v="0"/>
    <x v="0"/>
    <s v="Analyst"/>
    <d v="2020-01-15T00:00:00"/>
    <x v="0"/>
    <s v="user@domain.com"/>
    <s v="123-456-7890"/>
    <s v="Young"/>
    <n v="6"/>
    <s v="Medium"/>
    <x v="1"/>
    <n v="2"/>
  </r>
  <r>
    <s v="Alice"/>
    <x v="2"/>
    <s v=""/>
    <x v="0"/>
    <x v="1"/>
    <s v="Assistant"/>
    <d v="2020-02-20T00:00:00"/>
    <x v="4"/>
    <s v="name@company.org"/>
    <s v="098-765-4321"/>
    <s v="Mid-Career"/>
    <n v="6"/>
    <s v="High"/>
    <x v="1"/>
    <n v="4"/>
  </r>
  <r>
    <s v="Hannah"/>
    <x v="4"/>
    <n v="50000"/>
    <x v="1"/>
    <x v="0"/>
    <s v="Director"/>
    <d v="2019-12-01T00:00:00"/>
    <x v="0"/>
    <s v="name@company.org"/>
    <s v="098-765-4321"/>
    <s v="Mid-Career"/>
    <n v="6"/>
    <s v="Low"/>
    <x v="2"/>
    <n v="2"/>
  </r>
  <r>
    <s v="Charlie"/>
    <x v="2"/>
    <n v="70000"/>
    <x v="1"/>
    <x v="4"/>
    <s v="Analyst"/>
    <d v="2018-04-05T00:00:00"/>
    <x v="0"/>
    <s v="Missing"/>
    <s v="123-456-7890"/>
    <s v="Mid-Career"/>
    <n v="7"/>
    <s v="High"/>
    <x v="0"/>
    <n v="2"/>
  </r>
  <r>
    <s v="Grace"/>
    <x v="3"/>
    <n v="60000"/>
    <x v="2"/>
    <x v="1"/>
    <s v="Clerk"/>
    <d v="2020-01-15T00:00:00"/>
    <x v="2"/>
    <s v="email@example.com"/>
    <s v="098-765-4321"/>
    <s v="Mid-Career"/>
    <n v="6"/>
    <s v="Medium"/>
    <x v="1"/>
    <n v="3"/>
  </r>
  <r>
    <s v="Bob"/>
    <x v="4"/>
    <n v="55000"/>
    <x v="2"/>
    <x v="1"/>
    <s v="Clerk"/>
    <d v="2019-12-01T00:00:00"/>
    <x v="2"/>
    <s v="user@domain.com"/>
    <s v="Missing"/>
    <s v="Mid-Career"/>
    <n v="6"/>
    <s v="Medium"/>
    <x v="2"/>
    <n v="3"/>
  </r>
  <r>
    <s v="Bob"/>
    <x v="5"/>
    <n v="60000"/>
    <x v="0"/>
    <x v="3"/>
    <s v="Manager"/>
    <d v="2020-01-15T00:00:00"/>
    <x v="4"/>
    <s v="name@company.org"/>
    <s v="Missing"/>
    <s v="Senior"/>
    <n v="6"/>
    <s v="Medium"/>
    <x v="1"/>
    <n v="4"/>
  </r>
  <r>
    <s v="Grace"/>
    <x v="1"/>
    <n v="55000"/>
    <x v="1"/>
    <x v="3"/>
    <s v="Director"/>
    <d v="2020-02-20T00:00:00"/>
    <x v="2"/>
    <s v="user@domain.com"/>
    <s v="555-555-5555"/>
    <s v="Mid-Career"/>
    <n v="6"/>
    <s v="Medium"/>
    <x v="1"/>
    <n v="3"/>
  </r>
  <r>
    <s v="Frank"/>
    <x v="2"/>
    <n v="60000"/>
    <x v="1"/>
    <x v="0"/>
    <s v="Analyst"/>
    <d v="2018-04-05T00:00:00"/>
    <x v="2"/>
    <s v="Missing"/>
    <s v="098-765-4321"/>
    <s v="Mid-Career"/>
    <n v="7"/>
    <s v="Medium"/>
    <x v="0"/>
    <n v="3"/>
  </r>
  <r>
    <s v="Charlie"/>
    <x v="4"/>
    <n v="55000"/>
    <x v="1"/>
    <x v="1"/>
    <s v="Assistant"/>
    <d v="2020-01-15T00:00:00"/>
    <x v="2"/>
    <s v="name@company.org"/>
    <s v="098-765-4321"/>
    <s v="Mid-Career"/>
    <n v="6"/>
    <s v="Medium"/>
    <x v="1"/>
    <n v="3"/>
  </r>
  <r>
    <s v="Ivy"/>
    <x v="2"/>
    <s v=""/>
    <x v="2"/>
    <x v="3"/>
    <s v="Clerk"/>
    <d v="2019-12-01T00:00:00"/>
    <x v="0"/>
    <s v="name@company.org"/>
    <s v="555-555-5555"/>
    <s v="Mid-Career"/>
    <n v="6"/>
    <s v="High"/>
    <x v="2"/>
    <n v="2"/>
  </r>
  <r>
    <s v="Jack"/>
    <x v="4"/>
    <n v="65000"/>
    <x v="1"/>
    <x v="4"/>
    <s v="Analyst"/>
    <d v="2020-02-20T00:00:00"/>
    <x v="4"/>
    <s v="Missing"/>
    <s v="098-765-4321"/>
    <s v="Mid-Career"/>
    <n v="6"/>
    <s v="Medium"/>
    <x v="1"/>
    <n v="4"/>
  </r>
  <r>
    <s v="Frank"/>
    <x v="0"/>
    <n v="55000"/>
    <x v="0"/>
    <x v="3"/>
    <s v="Director"/>
    <d v="2020-02-20T00:00:00"/>
    <x v="0"/>
    <s v="Missing"/>
    <s v="555-555-5555"/>
    <s v="Young"/>
    <n v="6"/>
    <s v="Medium"/>
    <x v="1"/>
    <n v="2"/>
  </r>
  <r>
    <s v="Jack"/>
    <x v="5"/>
    <n v="55000"/>
    <x v="0"/>
    <x v="3"/>
    <s v="Manager"/>
    <d v="2019-12-01T00:00:00"/>
    <x v="1"/>
    <s v="name@company.org"/>
    <s v="123-456-7890"/>
    <s v="Senior"/>
    <n v="6"/>
    <s v="Medium"/>
    <x v="2"/>
    <n v="1"/>
  </r>
  <r>
    <s v="Jack"/>
    <x v="2"/>
    <n v="50000"/>
    <x v="2"/>
    <x v="1"/>
    <s v="Clerk"/>
    <d v="2019-12-01T00:00:00"/>
    <x v="0"/>
    <s v="user@domain.com"/>
    <s v="Missing"/>
    <s v="Mid-Career"/>
    <n v="6"/>
    <s v="Low"/>
    <x v="2"/>
    <n v="2"/>
  </r>
  <r>
    <s v="Frank"/>
    <x v="1"/>
    <n v="55000"/>
    <x v="2"/>
    <x v="1"/>
    <s v="Analyst"/>
    <d v="2020-01-15T00:00:00"/>
    <x v="1"/>
    <s v="email@example.com"/>
    <s v="Missing"/>
    <s v="Mid-Career"/>
    <n v="6"/>
    <s v="Medium"/>
    <x v="1"/>
    <n v="1"/>
  </r>
  <r>
    <s v="Alice"/>
    <x v="1"/>
    <n v="50000"/>
    <x v="1"/>
    <x v="2"/>
    <s v="Analyst"/>
    <d v="2019-03-25T00:00:00"/>
    <x v="3"/>
    <s v="user@domain.com"/>
    <s v="Missing"/>
    <s v="Mid-Career"/>
    <n v="6"/>
    <s v="Low"/>
    <x v="2"/>
    <n v="5"/>
  </r>
  <r>
    <s v="David"/>
    <x v="3"/>
    <n v="70000"/>
    <x v="2"/>
    <x v="4"/>
    <s v="Analyst"/>
    <d v="2020-02-20T00:00:00"/>
    <x v="3"/>
    <s v="Missing"/>
    <s v="098-765-4321"/>
    <s v="Mid-Career"/>
    <n v="6"/>
    <s v="High"/>
    <x v="1"/>
    <n v="5"/>
  </r>
  <r>
    <s v="Jack"/>
    <x v="4"/>
    <s v=""/>
    <x v="0"/>
    <x v="1"/>
    <s v="Director"/>
    <d v="2020-01-15T00:00:00"/>
    <x v="1"/>
    <s v="email@example.com"/>
    <s v="Missing"/>
    <s v="Mid-Career"/>
    <n v="6"/>
    <s v="High"/>
    <x v="1"/>
    <n v="1"/>
  </r>
  <r>
    <s v="Frank"/>
    <x v="2"/>
    <n v="50000"/>
    <x v="1"/>
    <x v="0"/>
    <s v="Director"/>
    <d v="2019-12-01T00:00:00"/>
    <x v="1"/>
    <s v="user@domain.com"/>
    <s v="123-456-7890"/>
    <s v="Mid-Career"/>
    <n v="6"/>
    <s v="Low"/>
    <x v="2"/>
    <n v="1"/>
  </r>
  <r>
    <s v="Frank"/>
    <x v="3"/>
    <n v="65000"/>
    <x v="0"/>
    <x v="4"/>
    <s v="Director"/>
    <d v="2020-01-15T00:00:00"/>
    <x v="0"/>
    <s v="user@domain.com"/>
    <s v="Missing"/>
    <s v="Mid-Career"/>
    <n v="6"/>
    <s v="Medium"/>
    <x v="1"/>
    <n v="2"/>
  </r>
  <r>
    <s v="Eve"/>
    <x v="2"/>
    <s v=""/>
    <x v="1"/>
    <x v="4"/>
    <s v="Assistant"/>
    <d v="2019-12-01T00:00:00"/>
    <x v="1"/>
    <s v="Missing"/>
    <s v="123-456-7890"/>
    <s v="Mid-Career"/>
    <n v="6"/>
    <s v="High"/>
    <x v="2"/>
    <n v="1"/>
  </r>
  <r>
    <s v="Alice"/>
    <x v="4"/>
    <n v="50000"/>
    <x v="2"/>
    <x v="1"/>
    <s v="Analyst"/>
    <d v="2018-04-05T00:00:00"/>
    <x v="4"/>
    <s v="Missing"/>
    <s v="123-456-7890"/>
    <s v="Mid-Career"/>
    <n v="7"/>
    <s v="Low"/>
    <x v="0"/>
    <n v="4"/>
  </r>
  <r>
    <s v="Hannah"/>
    <x v="1"/>
    <s v=""/>
    <x v="1"/>
    <x v="4"/>
    <s v="Clerk"/>
    <d v="2019-12-01T00:00:00"/>
    <x v="3"/>
    <s v="Missing"/>
    <s v="098-765-4321"/>
    <s v="Mid-Career"/>
    <n v="6"/>
    <s v="High"/>
    <x v="2"/>
    <n v="5"/>
  </r>
  <r>
    <s v="Eve"/>
    <x v="0"/>
    <s v=""/>
    <x v="1"/>
    <x v="1"/>
    <s v="Director"/>
    <d v="2019-12-01T00:00:00"/>
    <x v="3"/>
    <s v="email@example.com"/>
    <s v="123-456-7890"/>
    <s v="Young"/>
    <n v="6"/>
    <s v="High"/>
    <x v="2"/>
    <n v="5"/>
  </r>
  <r>
    <s v="Eve"/>
    <x v="1"/>
    <s v=""/>
    <x v="0"/>
    <x v="3"/>
    <s v="Director"/>
    <d v="2019-12-01T00:00:00"/>
    <x v="1"/>
    <s v="Missing"/>
    <s v="Missing"/>
    <s v="Mid-Career"/>
    <n v="6"/>
    <s v="High"/>
    <x v="2"/>
    <n v="1"/>
  </r>
  <r>
    <s v="Grace"/>
    <x v="3"/>
    <n v="70000"/>
    <x v="0"/>
    <x v="2"/>
    <s v="Analyst"/>
    <d v="2019-03-25T00:00:00"/>
    <x v="2"/>
    <s v="Missing"/>
    <s v="Missing"/>
    <s v="Mid-Career"/>
    <n v="6"/>
    <s v="High"/>
    <x v="2"/>
    <n v="3"/>
  </r>
  <r>
    <s v="David"/>
    <x v="5"/>
    <n v="65000"/>
    <x v="1"/>
    <x v="3"/>
    <s v="Director"/>
    <d v="2019-12-01T00:00:00"/>
    <x v="2"/>
    <s v="name@company.org"/>
    <s v="Missing"/>
    <s v="Senior"/>
    <n v="6"/>
    <s v="Medium"/>
    <x v="2"/>
    <n v="3"/>
  </r>
  <r>
    <s v="Frank"/>
    <x v="0"/>
    <n v="60000"/>
    <x v="2"/>
    <x v="1"/>
    <s v="Assistant"/>
    <d v="2020-02-20T00:00:00"/>
    <x v="1"/>
    <s v="name@company.org"/>
    <s v="098-765-4321"/>
    <s v="Young"/>
    <n v="6"/>
    <s v="Medium"/>
    <x v="1"/>
    <n v="1"/>
  </r>
  <r>
    <s v="David"/>
    <x v="3"/>
    <n v="60000"/>
    <x v="2"/>
    <x v="1"/>
    <s v="Assistant"/>
    <d v="2020-02-20T00:00:00"/>
    <x v="4"/>
    <s v="email@example.com"/>
    <s v="Missing"/>
    <s v="Mid-Career"/>
    <n v="6"/>
    <s v="Medium"/>
    <x v="1"/>
    <n v="4"/>
  </r>
  <r>
    <s v="Charlie"/>
    <x v="4"/>
    <n v="50000"/>
    <x v="0"/>
    <x v="3"/>
    <s v="Director"/>
    <d v="2020-01-15T00:00:00"/>
    <x v="2"/>
    <s v="name@company.org"/>
    <s v="555-555-5555"/>
    <s v="Mid-Career"/>
    <n v="6"/>
    <s v="Low"/>
    <x v="1"/>
    <n v="3"/>
  </r>
  <r>
    <s v="Grace"/>
    <x v="0"/>
    <s v=""/>
    <x v="2"/>
    <x v="0"/>
    <s v="Analyst"/>
    <d v="2019-03-25T00:00:00"/>
    <x v="1"/>
    <s v="Missing"/>
    <s v="Missing"/>
    <s v="Young"/>
    <n v="6"/>
    <s v="High"/>
    <x v="2"/>
    <n v="1"/>
  </r>
  <r>
    <s v="Hannah"/>
    <x v="3"/>
    <n v="50000"/>
    <x v="0"/>
    <x v="0"/>
    <s v="Analyst"/>
    <d v="2020-01-15T00:00:00"/>
    <x v="4"/>
    <s v="email@example.com"/>
    <s v="555-555-5555"/>
    <s v="Mid-Career"/>
    <n v="6"/>
    <s v="Low"/>
    <x v="1"/>
    <n v="4"/>
  </r>
  <r>
    <s v="David"/>
    <x v="4"/>
    <n v="70000"/>
    <x v="2"/>
    <x v="0"/>
    <s v="Analyst"/>
    <d v="2020-02-20T00:00:00"/>
    <x v="4"/>
    <s v="Missing"/>
    <s v="555-555-5555"/>
    <s v="Mid-Career"/>
    <n v="6"/>
    <s v="High"/>
    <x v="1"/>
    <n v="4"/>
  </r>
  <r>
    <s v="Bob"/>
    <x v="1"/>
    <n v="70000"/>
    <x v="1"/>
    <x v="1"/>
    <s v="Manager"/>
    <d v="2020-02-20T00:00:00"/>
    <x v="0"/>
    <s v="email@example.com"/>
    <s v="098-765-4321"/>
    <s v="Mid-Career"/>
    <n v="6"/>
    <s v="High"/>
    <x v="1"/>
    <n v="2"/>
  </r>
  <r>
    <s v="Jack"/>
    <x v="5"/>
    <n v="55000"/>
    <x v="0"/>
    <x v="4"/>
    <s v="Director"/>
    <d v="2018-04-05T00:00:00"/>
    <x v="4"/>
    <s v="email@example.com"/>
    <s v="123-456-7890"/>
    <s v="Senior"/>
    <n v="7"/>
    <s v="Medium"/>
    <x v="0"/>
    <n v="4"/>
  </r>
  <r>
    <s v="Charlie"/>
    <x v="4"/>
    <n v="70000"/>
    <x v="0"/>
    <x v="1"/>
    <s v="Analyst"/>
    <d v="2019-12-01T00:00:00"/>
    <x v="2"/>
    <s v="user@domain.com"/>
    <s v="555-555-5555"/>
    <s v="Mid-Career"/>
    <n v="6"/>
    <s v="High"/>
    <x v="2"/>
    <n v="3"/>
  </r>
  <r>
    <s v="Alice"/>
    <x v="2"/>
    <n v="55000"/>
    <x v="1"/>
    <x v="4"/>
    <s v="Assistant"/>
    <d v="2020-02-20T00:00:00"/>
    <x v="2"/>
    <s v="user@domain.com"/>
    <s v="Missing"/>
    <s v="Mid-Career"/>
    <n v="6"/>
    <s v="Medium"/>
    <x v="1"/>
    <n v="3"/>
  </r>
  <r>
    <s v="Hannah"/>
    <x v="4"/>
    <n v="65000"/>
    <x v="0"/>
    <x v="3"/>
    <s v="Clerk"/>
    <d v="2020-01-15T00:00:00"/>
    <x v="1"/>
    <s v="email@example.com"/>
    <s v="123-456-7890"/>
    <s v="Mid-Career"/>
    <n v="6"/>
    <s v="Medium"/>
    <x v="1"/>
    <n v="1"/>
  </r>
  <r>
    <s v="Charlie"/>
    <x v="4"/>
    <n v="50000"/>
    <x v="2"/>
    <x v="2"/>
    <s v="Clerk"/>
    <d v="2020-01-15T00:00:00"/>
    <x v="1"/>
    <s v="name@company.org"/>
    <s v="Missing"/>
    <s v="Mid-Career"/>
    <n v="6"/>
    <s v="Low"/>
    <x v="1"/>
    <n v="1"/>
  </r>
  <r>
    <s v="Jack"/>
    <x v="5"/>
    <n v="65000"/>
    <x v="2"/>
    <x v="4"/>
    <s v="Analyst"/>
    <d v="2019-12-01T00:00:00"/>
    <x v="4"/>
    <s v="user@domain.com"/>
    <s v="Missing"/>
    <s v="Senior"/>
    <n v="6"/>
    <s v="Medium"/>
    <x v="2"/>
    <n v="4"/>
  </r>
  <r>
    <s v="Grace"/>
    <x v="2"/>
    <n v="70000"/>
    <x v="0"/>
    <x v="0"/>
    <s v="Clerk"/>
    <d v="2019-12-01T00:00:00"/>
    <x v="3"/>
    <s v="Missing"/>
    <s v="123-456-7890"/>
    <s v="Mid-Career"/>
    <n v="6"/>
    <s v="High"/>
    <x v="2"/>
    <n v="5"/>
  </r>
  <r>
    <s v="Jack"/>
    <x v="3"/>
    <n v="65000"/>
    <x v="2"/>
    <x v="1"/>
    <s v="Clerk"/>
    <d v="2018-04-05T00:00:00"/>
    <x v="0"/>
    <s v="Missing"/>
    <s v="123-456-7890"/>
    <s v="Mid-Career"/>
    <n v="7"/>
    <s v="Medium"/>
    <x v="0"/>
    <n v="2"/>
  </r>
  <r>
    <s v="Eve"/>
    <x v="3"/>
    <n v="65000"/>
    <x v="0"/>
    <x v="3"/>
    <s v="Manager"/>
    <d v="2019-03-25T00:00:00"/>
    <x v="3"/>
    <s v="user@domain.com"/>
    <s v="Missing"/>
    <s v="Mid-Career"/>
    <n v="6"/>
    <s v="Medium"/>
    <x v="2"/>
    <n v="5"/>
  </r>
  <r>
    <s v="Jack"/>
    <x v="4"/>
    <n v="65000"/>
    <x v="1"/>
    <x v="0"/>
    <s v="Assistant"/>
    <d v="2020-01-15T00:00:00"/>
    <x v="4"/>
    <s v="email@example.com"/>
    <s v="098-765-4321"/>
    <s v="Mid-Career"/>
    <n v="6"/>
    <s v="Medium"/>
    <x v="1"/>
    <n v="4"/>
  </r>
  <r>
    <s v="Eve"/>
    <x v="2"/>
    <n v="70000"/>
    <x v="0"/>
    <x v="3"/>
    <s v="Assistant"/>
    <d v="2019-12-01T00:00:00"/>
    <x v="4"/>
    <s v="name@company.org"/>
    <s v="Missing"/>
    <s v="Mid-Career"/>
    <n v="6"/>
    <s v="High"/>
    <x v="2"/>
    <n v="4"/>
  </r>
  <r>
    <s v="Grace"/>
    <x v="2"/>
    <s v=""/>
    <x v="1"/>
    <x v="2"/>
    <s v="Manager"/>
    <d v="2020-01-15T00:00:00"/>
    <x v="3"/>
    <s v="Missing"/>
    <s v="Missing"/>
    <s v="Mid-Career"/>
    <n v="6"/>
    <s v="High"/>
    <x v="1"/>
    <n v="5"/>
  </r>
  <r>
    <s v="Ivy"/>
    <x v="5"/>
    <n v="65000"/>
    <x v="2"/>
    <x v="1"/>
    <s v="Manager"/>
    <d v="2019-12-01T00:00:00"/>
    <x v="0"/>
    <s v="user@domain.com"/>
    <s v="098-765-4321"/>
    <s v="Senior"/>
    <n v="6"/>
    <s v="Medium"/>
    <x v="2"/>
    <n v="2"/>
  </r>
  <r>
    <s v="Eve"/>
    <x v="1"/>
    <n v="55000"/>
    <x v="1"/>
    <x v="1"/>
    <s v="Clerk"/>
    <d v="2020-02-20T00:00:00"/>
    <x v="3"/>
    <s v="name@company.org"/>
    <s v="123-456-7890"/>
    <s v="Mid-Career"/>
    <n v="6"/>
    <s v="Medium"/>
    <x v="1"/>
    <n v="5"/>
  </r>
  <r>
    <s v="Alice"/>
    <x v="3"/>
    <n v="70000"/>
    <x v="2"/>
    <x v="2"/>
    <s v="Director"/>
    <d v="2020-01-15T00:00:00"/>
    <x v="1"/>
    <s v="name@company.org"/>
    <s v="Missing"/>
    <s v="Mid-Career"/>
    <n v="6"/>
    <s v="High"/>
    <x v="1"/>
    <n v="1"/>
  </r>
  <r>
    <s v="Jack"/>
    <x v="5"/>
    <n v="65000"/>
    <x v="0"/>
    <x v="1"/>
    <s v="Clerk"/>
    <d v="2020-02-20T00:00:00"/>
    <x v="2"/>
    <s v="name@company.org"/>
    <s v="Missing"/>
    <s v="Senior"/>
    <n v="6"/>
    <s v="Medium"/>
    <x v="1"/>
    <n v="3"/>
  </r>
  <r>
    <s v="Jack"/>
    <x v="0"/>
    <s v=""/>
    <x v="2"/>
    <x v="4"/>
    <s v="Manager"/>
    <d v="2020-01-15T00:00:00"/>
    <x v="1"/>
    <s v="email@example.com"/>
    <s v="Missing"/>
    <s v="Young"/>
    <n v="6"/>
    <s v="High"/>
    <x v="1"/>
    <n v="1"/>
  </r>
  <r>
    <s v="Alice"/>
    <x v="3"/>
    <n v="70000"/>
    <x v="0"/>
    <x v="3"/>
    <s v="Assistant"/>
    <d v="2019-03-25T00:00:00"/>
    <x v="2"/>
    <s v="Missing"/>
    <s v="098-765-4321"/>
    <s v="Mid-Career"/>
    <n v="6"/>
    <s v="High"/>
    <x v="2"/>
    <n v="3"/>
  </r>
  <r>
    <s v="Bob"/>
    <x v="5"/>
    <n v="60000"/>
    <x v="0"/>
    <x v="0"/>
    <s v="Clerk"/>
    <d v="2018-04-05T00:00:00"/>
    <x v="4"/>
    <s v="name@company.org"/>
    <s v="Missing"/>
    <s v="Senior"/>
    <n v="7"/>
    <s v="Medium"/>
    <x v="0"/>
    <n v="4"/>
  </r>
  <r>
    <s v="Frank"/>
    <x v="3"/>
    <s v=""/>
    <x v="1"/>
    <x v="2"/>
    <s v="Director"/>
    <d v="2020-02-20T00:00:00"/>
    <x v="0"/>
    <s v="Missing"/>
    <s v="098-765-4321"/>
    <s v="Mid-Career"/>
    <n v="6"/>
    <s v="High"/>
    <x v="1"/>
    <n v="2"/>
  </r>
  <r>
    <s v="Ivy"/>
    <x v="1"/>
    <n v="55000"/>
    <x v="1"/>
    <x v="4"/>
    <s v="Clerk"/>
    <d v="2019-12-01T00:00:00"/>
    <x v="3"/>
    <s v="user@domain.com"/>
    <s v="123-456-7890"/>
    <s v="Mid-Career"/>
    <n v="6"/>
    <s v="Medium"/>
    <x v="2"/>
    <n v="5"/>
  </r>
  <r>
    <s v="Hannah"/>
    <x v="0"/>
    <n v="65000"/>
    <x v="1"/>
    <x v="0"/>
    <s v="Analyst"/>
    <d v="2019-03-25T00:00:00"/>
    <x v="0"/>
    <s v="Missing"/>
    <s v="098-765-4321"/>
    <s v="Young"/>
    <n v="6"/>
    <s v="Medium"/>
    <x v="2"/>
    <n v="2"/>
  </r>
  <r>
    <s v="Eve"/>
    <x v="1"/>
    <n v="60000"/>
    <x v="1"/>
    <x v="0"/>
    <s v="Clerk"/>
    <d v="2020-01-15T00:00:00"/>
    <x v="3"/>
    <s v="email@example.com"/>
    <s v="098-765-4321"/>
    <s v="Mid-Career"/>
    <n v="6"/>
    <s v="Medium"/>
    <x v="1"/>
    <n v="5"/>
  </r>
  <r>
    <s v="Alice"/>
    <x v="0"/>
    <n v="60000"/>
    <x v="2"/>
    <x v="2"/>
    <s v="Manager"/>
    <d v="2020-02-20T00:00:00"/>
    <x v="1"/>
    <s v="email@example.com"/>
    <s v="Missing"/>
    <s v="Young"/>
    <n v="6"/>
    <s v="Medium"/>
    <x v="1"/>
    <n v="1"/>
  </r>
  <r>
    <s v="Grace"/>
    <x v="4"/>
    <n v="70000"/>
    <x v="2"/>
    <x v="4"/>
    <s v="Assistant"/>
    <d v="2020-01-15T00:00:00"/>
    <x v="1"/>
    <s v="Missing"/>
    <s v="Missing"/>
    <s v="Mid-Career"/>
    <n v="6"/>
    <s v="High"/>
    <x v="1"/>
    <n v="1"/>
  </r>
  <r>
    <s v="Eve"/>
    <x v="5"/>
    <n v="60000"/>
    <x v="2"/>
    <x v="0"/>
    <s v="Assistant"/>
    <d v="2020-01-15T00:00:00"/>
    <x v="3"/>
    <s v="Missing"/>
    <s v="Missing"/>
    <s v="Senior"/>
    <n v="6"/>
    <s v="Medium"/>
    <x v="1"/>
    <n v="5"/>
  </r>
  <r>
    <s v="Frank"/>
    <x v="0"/>
    <n v="55000"/>
    <x v="0"/>
    <x v="0"/>
    <s v="Manager"/>
    <d v="2020-01-15T00:00:00"/>
    <x v="0"/>
    <s v="email@example.com"/>
    <s v="555-555-5555"/>
    <s v="Young"/>
    <n v="6"/>
    <s v="Medium"/>
    <x v="1"/>
    <n v="2"/>
  </r>
  <r>
    <s v="Grace"/>
    <x v="1"/>
    <n v="55000"/>
    <x v="2"/>
    <x v="4"/>
    <s v="Analyst"/>
    <d v="2018-04-05T00:00:00"/>
    <x v="3"/>
    <s v="email@example.com"/>
    <s v="098-765-4321"/>
    <s v="Mid-Career"/>
    <n v="7"/>
    <s v="Medium"/>
    <x v="0"/>
    <n v="5"/>
  </r>
  <r>
    <s v="Charlie"/>
    <x v="3"/>
    <n v="50000"/>
    <x v="2"/>
    <x v="1"/>
    <s v="Manager"/>
    <d v="2018-04-05T00:00:00"/>
    <x v="4"/>
    <s v="Missing"/>
    <s v="555-555-5555"/>
    <s v="Mid-Career"/>
    <n v="7"/>
    <s v="Low"/>
    <x v="0"/>
    <n v="4"/>
  </r>
  <r>
    <s v="Jack"/>
    <x v="0"/>
    <n v="55000"/>
    <x v="2"/>
    <x v="0"/>
    <s v="Clerk"/>
    <d v="2019-12-01T00:00:00"/>
    <x v="1"/>
    <s v="email@example.com"/>
    <s v="Missing"/>
    <s v="Young"/>
    <n v="6"/>
    <s v="Medium"/>
    <x v="2"/>
    <n v="1"/>
  </r>
  <r>
    <s v="Charlie"/>
    <x v="5"/>
    <s v=""/>
    <x v="1"/>
    <x v="3"/>
    <s v="Manager"/>
    <d v="2020-02-20T00:00:00"/>
    <x v="4"/>
    <s v="Missing"/>
    <s v="Missing"/>
    <s v="Senior"/>
    <n v="6"/>
    <s v="High"/>
    <x v="1"/>
    <n v="4"/>
  </r>
  <r>
    <s v="Eve"/>
    <x v="0"/>
    <n v="60000"/>
    <x v="2"/>
    <x v="4"/>
    <s v="Manager"/>
    <d v="2019-03-25T00:00:00"/>
    <x v="1"/>
    <s v="Missing"/>
    <s v="Missing"/>
    <s v="Young"/>
    <n v="6"/>
    <s v="Medium"/>
    <x v="2"/>
    <n v="1"/>
  </r>
  <r>
    <s v="Frank"/>
    <x v="2"/>
    <n v="55000"/>
    <x v="0"/>
    <x v="0"/>
    <s v="Analyst"/>
    <d v="2019-03-25T00:00:00"/>
    <x v="1"/>
    <s v="Missing"/>
    <s v="Missing"/>
    <s v="Mid-Career"/>
    <n v="6"/>
    <s v="Medium"/>
    <x v="2"/>
    <n v="1"/>
  </r>
  <r>
    <s v="Ivy"/>
    <x v="3"/>
    <n v="70000"/>
    <x v="1"/>
    <x v="2"/>
    <s v="Clerk"/>
    <d v="2019-03-25T00:00:00"/>
    <x v="2"/>
    <s v="user@domain.com"/>
    <s v="Missing"/>
    <s v="Mid-Career"/>
    <n v="6"/>
    <s v="High"/>
    <x v="2"/>
    <n v="3"/>
  </r>
  <r>
    <s v="Eve"/>
    <x v="5"/>
    <n v="50000"/>
    <x v="0"/>
    <x v="3"/>
    <s v="Director"/>
    <d v="2020-01-15T00:00:00"/>
    <x v="4"/>
    <s v="Missing"/>
    <s v="123-456-7890"/>
    <s v="Senior"/>
    <n v="6"/>
    <s v="Low"/>
    <x v="1"/>
    <n v="4"/>
  </r>
  <r>
    <s v="Alice"/>
    <x v="5"/>
    <n v="60000"/>
    <x v="2"/>
    <x v="0"/>
    <s v="Director"/>
    <d v="2018-04-05T00:00:00"/>
    <x v="4"/>
    <s v="Missing"/>
    <s v="098-765-4321"/>
    <s v="Senior"/>
    <n v="7"/>
    <s v="Medium"/>
    <x v="0"/>
    <n v="4"/>
  </r>
  <r>
    <s v="David"/>
    <x v="4"/>
    <n v="50000"/>
    <x v="1"/>
    <x v="3"/>
    <s v="Assistant"/>
    <d v="2020-02-20T00:00:00"/>
    <x v="2"/>
    <s v="user@domain.com"/>
    <s v="Missing"/>
    <s v="Mid-Career"/>
    <n v="6"/>
    <s v="Low"/>
    <x v="1"/>
    <n v="3"/>
  </r>
  <r>
    <s v="Eve"/>
    <x v="1"/>
    <n v="60000"/>
    <x v="0"/>
    <x v="3"/>
    <s v="Manager"/>
    <d v="2020-01-15T00:00:00"/>
    <x v="0"/>
    <s v="name@company.org"/>
    <s v="Missing"/>
    <s v="Mid-Career"/>
    <n v="6"/>
    <s v="Medium"/>
    <x v="1"/>
    <n v="2"/>
  </r>
  <r>
    <s v="Jack"/>
    <x v="4"/>
    <n v="70000"/>
    <x v="2"/>
    <x v="1"/>
    <s v="Assistant"/>
    <d v="2018-04-05T00:00:00"/>
    <x v="4"/>
    <s v="email@example.com"/>
    <s v="Missing"/>
    <s v="Mid-Career"/>
    <n v="7"/>
    <s v="High"/>
    <x v="0"/>
    <n v="4"/>
  </r>
  <r>
    <s v="Jack"/>
    <x v="5"/>
    <n v="50000"/>
    <x v="0"/>
    <x v="3"/>
    <s v="Analyst"/>
    <d v="2018-04-05T00:00:00"/>
    <x v="3"/>
    <s v="Missing"/>
    <s v="Missing"/>
    <s v="Senior"/>
    <n v="7"/>
    <s v="Low"/>
    <x v="0"/>
    <n v="5"/>
  </r>
  <r>
    <s v="Eve"/>
    <x v="3"/>
    <n v="65000"/>
    <x v="0"/>
    <x v="1"/>
    <s v="Director"/>
    <d v="2020-02-20T00:00:00"/>
    <x v="2"/>
    <s v="email@example.com"/>
    <s v="Missing"/>
    <s v="Mid-Career"/>
    <n v="6"/>
    <s v="Medium"/>
    <x v="1"/>
    <n v="3"/>
  </r>
  <r>
    <s v="Grace"/>
    <x v="0"/>
    <s v=""/>
    <x v="0"/>
    <x v="4"/>
    <s v="Manager"/>
    <d v="2020-02-20T00:00:00"/>
    <x v="4"/>
    <s v="Missing"/>
    <s v="555-555-5555"/>
    <s v="Young"/>
    <n v="6"/>
    <s v="High"/>
    <x v="1"/>
    <n v="4"/>
  </r>
  <r>
    <s v="David"/>
    <x v="0"/>
    <s v=""/>
    <x v="2"/>
    <x v="1"/>
    <s v="Analyst"/>
    <d v="2020-02-20T00:00:00"/>
    <x v="0"/>
    <s v="email@example.com"/>
    <s v="098-765-4321"/>
    <s v="Young"/>
    <n v="6"/>
    <s v="High"/>
    <x v="1"/>
    <n v="2"/>
  </r>
  <r>
    <s v="Alice"/>
    <x v="3"/>
    <n v="60000"/>
    <x v="2"/>
    <x v="2"/>
    <s v="Analyst"/>
    <d v="2020-01-15T00:00:00"/>
    <x v="4"/>
    <s v="user@domain.com"/>
    <s v="098-765-4321"/>
    <s v="Mid-Career"/>
    <n v="6"/>
    <s v="Medium"/>
    <x v="1"/>
    <n v="4"/>
  </r>
  <r>
    <s v="Eve"/>
    <x v="5"/>
    <n v="65000"/>
    <x v="0"/>
    <x v="0"/>
    <s v="Manager"/>
    <d v="2019-12-01T00:00:00"/>
    <x v="1"/>
    <s v="email@example.com"/>
    <s v="123-456-7890"/>
    <s v="Senior"/>
    <n v="6"/>
    <s v="Medium"/>
    <x v="2"/>
    <n v="1"/>
  </r>
  <r>
    <s v="Grace"/>
    <x v="0"/>
    <n v="50000"/>
    <x v="1"/>
    <x v="4"/>
    <s v="Analyst"/>
    <d v="2020-02-20T00:00:00"/>
    <x v="3"/>
    <s v="email@example.com"/>
    <s v="123-456-7890"/>
    <s v="Young"/>
    <n v="6"/>
    <s v="Low"/>
    <x v="1"/>
    <n v="5"/>
  </r>
  <r>
    <s v="Jack"/>
    <x v="0"/>
    <n v="65000"/>
    <x v="1"/>
    <x v="4"/>
    <s v="Manager"/>
    <d v="2019-12-01T00:00:00"/>
    <x v="2"/>
    <s v="email@example.com"/>
    <s v="123-456-7890"/>
    <s v="Young"/>
    <n v="6"/>
    <s v="Medium"/>
    <x v="2"/>
    <n v="3"/>
  </r>
  <r>
    <s v="Jack"/>
    <x v="0"/>
    <n v="65000"/>
    <x v="2"/>
    <x v="2"/>
    <s v="Manager"/>
    <d v="2020-01-15T00:00:00"/>
    <x v="1"/>
    <s v="name@company.org"/>
    <s v="098-765-4321"/>
    <s v="Young"/>
    <n v="6"/>
    <s v="Medium"/>
    <x v="1"/>
    <n v="1"/>
  </r>
  <r>
    <s v="Frank"/>
    <x v="1"/>
    <n v="50000"/>
    <x v="2"/>
    <x v="1"/>
    <s v="Clerk"/>
    <d v="2019-12-01T00:00:00"/>
    <x v="0"/>
    <s v="name@company.org"/>
    <s v="555-555-5555"/>
    <s v="Mid-Career"/>
    <n v="6"/>
    <s v="Low"/>
    <x v="2"/>
    <n v="2"/>
  </r>
  <r>
    <s v="Eve"/>
    <x v="1"/>
    <n v="70000"/>
    <x v="2"/>
    <x v="0"/>
    <s v="Assistant"/>
    <d v="2019-03-25T00:00:00"/>
    <x v="1"/>
    <s v="Missing"/>
    <s v="098-765-4321"/>
    <s v="Mid-Career"/>
    <n v="6"/>
    <s v="High"/>
    <x v="2"/>
    <n v="1"/>
  </r>
  <r>
    <s v="David"/>
    <x v="2"/>
    <n v="65000"/>
    <x v="2"/>
    <x v="1"/>
    <s v="Analyst"/>
    <d v="2019-12-01T00:00:00"/>
    <x v="1"/>
    <s v="user@domain.com"/>
    <s v="098-765-4321"/>
    <s v="Mid-Career"/>
    <n v="6"/>
    <s v="Medium"/>
    <x v="2"/>
    <n v="1"/>
  </r>
  <r>
    <s v="Bob"/>
    <x v="4"/>
    <n v="65000"/>
    <x v="2"/>
    <x v="3"/>
    <s v="Analyst"/>
    <d v="2020-02-20T00:00:00"/>
    <x v="0"/>
    <s v="email@example.com"/>
    <s v="098-765-4321"/>
    <s v="Mid-Career"/>
    <n v="6"/>
    <s v="Medium"/>
    <x v="1"/>
    <n v="2"/>
  </r>
  <r>
    <s v="David"/>
    <x v="3"/>
    <n v="70000"/>
    <x v="1"/>
    <x v="1"/>
    <s v="Clerk"/>
    <d v="2020-01-15T00:00:00"/>
    <x v="1"/>
    <s v="email@example.com"/>
    <s v="098-765-4321"/>
    <s v="Mid-Career"/>
    <n v="6"/>
    <s v="High"/>
    <x v="1"/>
    <n v="1"/>
  </r>
  <r>
    <s v="Jack"/>
    <x v="3"/>
    <n v="65000"/>
    <x v="2"/>
    <x v="4"/>
    <s v="Clerk"/>
    <d v="2020-02-20T00:00:00"/>
    <x v="2"/>
    <s v="email@example.com"/>
    <s v="555-555-5555"/>
    <s v="Mid-Career"/>
    <n v="6"/>
    <s v="Medium"/>
    <x v="1"/>
    <n v="3"/>
  </r>
  <r>
    <s v="Jack"/>
    <x v="3"/>
    <n v="65000"/>
    <x v="0"/>
    <x v="0"/>
    <s v="Clerk"/>
    <d v="2019-03-25T00:00:00"/>
    <x v="4"/>
    <s v="email@example.com"/>
    <s v="123-456-7890"/>
    <s v="Mid-Career"/>
    <n v="6"/>
    <s v="Medium"/>
    <x v="2"/>
    <n v="4"/>
  </r>
  <r>
    <s v="Charlie"/>
    <x v="2"/>
    <n v="65000"/>
    <x v="0"/>
    <x v="1"/>
    <s v="Director"/>
    <d v="2020-02-20T00:00:00"/>
    <x v="1"/>
    <s v="name@company.org"/>
    <s v="Missing"/>
    <s v="Mid-Career"/>
    <n v="6"/>
    <s v="Medium"/>
    <x v="1"/>
    <n v="1"/>
  </r>
  <r>
    <s v="Jack"/>
    <x v="1"/>
    <s v=""/>
    <x v="1"/>
    <x v="0"/>
    <s v="Director"/>
    <d v="2020-02-20T00:00:00"/>
    <x v="2"/>
    <s v="Missing"/>
    <s v="123-456-7890"/>
    <s v="Mid-Career"/>
    <n v="6"/>
    <s v="High"/>
    <x v="1"/>
    <n v="3"/>
  </r>
  <r>
    <s v="Alice"/>
    <x v="5"/>
    <n v="55000"/>
    <x v="0"/>
    <x v="0"/>
    <s v="Director"/>
    <d v="2020-02-20T00:00:00"/>
    <x v="4"/>
    <s v="Missing"/>
    <s v="123-456-7890"/>
    <s v="Senior"/>
    <n v="6"/>
    <s v="Medium"/>
    <x v="1"/>
    <n v="4"/>
  </r>
  <r>
    <s v="Hannah"/>
    <x v="5"/>
    <n v="70000"/>
    <x v="1"/>
    <x v="3"/>
    <s v="Manager"/>
    <d v="2018-04-05T00:00:00"/>
    <x v="4"/>
    <s v="user@domain.com"/>
    <s v="Missing"/>
    <s v="Senior"/>
    <n v="7"/>
    <s v="High"/>
    <x v="0"/>
    <n v="4"/>
  </r>
  <r>
    <s v="Eve"/>
    <x v="2"/>
    <n v="65000"/>
    <x v="1"/>
    <x v="3"/>
    <s v="Analyst"/>
    <d v="2019-03-25T00:00:00"/>
    <x v="1"/>
    <s v="email@example.com"/>
    <s v="098-765-4321"/>
    <s v="Mid-Career"/>
    <n v="6"/>
    <s v="Medium"/>
    <x v="2"/>
    <n v="1"/>
  </r>
  <r>
    <s v="David"/>
    <x v="5"/>
    <s v=""/>
    <x v="0"/>
    <x v="4"/>
    <s v="Assistant"/>
    <d v="2020-02-20T00:00:00"/>
    <x v="2"/>
    <s v="Missing"/>
    <s v="555-555-5555"/>
    <s v="Senior"/>
    <n v="6"/>
    <s v="High"/>
    <x v="1"/>
    <n v="3"/>
  </r>
  <r>
    <s v="Hannah"/>
    <x v="3"/>
    <n v="70000"/>
    <x v="2"/>
    <x v="2"/>
    <s v="Manager"/>
    <d v="2020-02-20T00:00:00"/>
    <x v="1"/>
    <s v="Missing"/>
    <s v="555-555-5555"/>
    <s v="Mid-Career"/>
    <n v="6"/>
    <s v="High"/>
    <x v="1"/>
    <n v="1"/>
  </r>
  <r>
    <s v="Grace"/>
    <x v="4"/>
    <n v="60000"/>
    <x v="0"/>
    <x v="0"/>
    <s v="Analyst"/>
    <d v="2020-02-20T00:00:00"/>
    <x v="0"/>
    <s v="Missing"/>
    <s v="123-456-7890"/>
    <s v="Mid-Career"/>
    <n v="6"/>
    <s v="Medium"/>
    <x v="1"/>
    <n v="2"/>
  </r>
  <r>
    <s v="Bob"/>
    <x v="0"/>
    <n v="60000"/>
    <x v="0"/>
    <x v="2"/>
    <s v="Analyst"/>
    <d v="2020-01-15T00:00:00"/>
    <x v="4"/>
    <s v="name@company.org"/>
    <s v="Missing"/>
    <s v="Young"/>
    <n v="6"/>
    <s v="Medium"/>
    <x v="1"/>
    <n v="4"/>
  </r>
  <r>
    <s v="Alice"/>
    <x v="1"/>
    <n v="65000"/>
    <x v="1"/>
    <x v="4"/>
    <s v="Clerk"/>
    <d v="2018-04-05T00:00:00"/>
    <x v="1"/>
    <s v="Missing"/>
    <s v="Missing"/>
    <s v="Mid-Career"/>
    <n v="7"/>
    <s v="Medium"/>
    <x v="0"/>
    <n v="1"/>
  </r>
  <r>
    <s v="David"/>
    <x v="1"/>
    <s v=""/>
    <x v="0"/>
    <x v="0"/>
    <s v="Clerk"/>
    <d v="2020-01-15T00:00:00"/>
    <x v="4"/>
    <s v="Missing"/>
    <s v="098-765-4321"/>
    <s v="Mid-Career"/>
    <n v="6"/>
    <s v="High"/>
    <x v="1"/>
    <n v="4"/>
  </r>
  <r>
    <s v="Hannah"/>
    <x v="2"/>
    <s v=""/>
    <x v="1"/>
    <x v="0"/>
    <s v="Manager"/>
    <d v="2018-04-05T00:00:00"/>
    <x v="2"/>
    <s v="name@company.org"/>
    <s v="123-456-7890"/>
    <s v="Mid-Career"/>
    <n v="7"/>
    <s v="High"/>
    <x v="0"/>
    <n v="3"/>
  </r>
  <r>
    <s v="Bob"/>
    <x v="1"/>
    <n v="70000"/>
    <x v="2"/>
    <x v="2"/>
    <s v="Clerk"/>
    <d v="2020-02-20T00:00:00"/>
    <x v="3"/>
    <s v="Missing"/>
    <s v="555-555-5555"/>
    <s v="Mid-Career"/>
    <n v="6"/>
    <s v="High"/>
    <x v="1"/>
    <n v="5"/>
  </r>
  <r>
    <s v="Charlie"/>
    <x v="3"/>
    <n v="70000"/>
    <x v="2"/>
    <x v="1"/>
    <s v="Analyst"/>
    <d v="2019-03-25T00:00:00"/>
    <x v="1"/>
    <s v="Missing"/>
    <s v="Missing"/>
    <s v="Mid-Career"/>
    <n v="6"/>
    <s v="High"/>
    <x v="2"/>
    <n v="1"/>
  </r>
  <r>
    <s v="Alice"/>
    <x v="5"/>
    <s v=""/>
    <x v="2"/>
    <x v="3"/>
    <s v="Clerk"/>
    <d v="2019-12-01T00:00:00"/>
    <x v="1"/>
    <s v="Missing"/>
    <s v="Missing"/>
    <s v="Senior"/>
    <n v="6"/>
    <s v="High"/>
    <x v="2"/>
    <n v="1"/>
  </r>
  <r>
    <s v="Alice"/>
    <x v="3"/>
    <n v="70000"/>
    <x v="0"/>
    <x v="1"/>
    <s v="Director"/>
    <d v="2019-12-01T00:00:00"/>
    <x v="4"/>
    <s v="name@company.org"/>
    <s v="123-456-7890"/>
    <s v="Mid-Career"/>
    <n v="6"/>
    <s v="High"/>
    <x v="2"/>
    <n v="4"/>
  </r>
  <r>
    <s v="Charlie"/>
    <x v="2"/>
    <s v=""/>
    <x v="1"/>
    <x v="2"/>
    <s v="Clerk"/>
    <d v="2020-02-20T00:00:00"/>
    <x v="2"/>
    <s v="email@example.com"/>
    <s v="Missing"/>
    <s v="Mid-Career"/>
    <n v="6"/>
    <s v="High"/>
    <x v="1"/>
    <n v="3"/>
  </r>
  <r>
    <s v="Eve"/>
    <x v="3"/>
    <n v="55000"/>
    <x v="2"/>
    <x v="3"/>
    <s v="Analyst"/>
    <d v="2020-01-15T00:00:00"/>
    <x v="0"/>
    <s v="user@domain.com"/>
    <s v="555-555-5555"/>
    <s v="Mid-Career"/>
    <n v="6"/>
    <s v="Medium"/>
    <x v="1"/>
    <n v="2"/>
  </r>
  <r>
    <s v="Charlie"/>
    <x v="5"/>
    <s v=""/>
    <x v="1"/>
    <x v="1"/>
    <s v="Manager"/>
    <d v="2019-03-25T00:00:00"/>
    <x v="2"/>
    <s v="Missing"/>
    <s v="123-456-7890"/>
    <s v="Senior"/>
    <n v="6"/>
    <s v="High"/>
    <x v="2"/>
    <n v="3"/>
  </r>
  <r>
    <s v="Alice"/>
    <x v="4"/>
    <n v="60000"/>
    <x v="1"/>
    <x v="3"/>
    <s v="Assistant"/>
    <d v="2018-04-05T00:00:00"/>
    <x v="1"/>
    <s v="name@company.org"/>
    <s v="Missing"/>
    <s v="Mid-Career"/>
    <n v="7"/>
    <s v="Medium"/>
    <x v="0"/>
    <n v="1"/>
  </r>
  <r>
    <s v="Alice"/>
    <x v="2"/>
    <n v="70000"/>
    <x v="2"/>
    <x v="0"/>
    <s v="Clerk"/>
    <d v="2020-02-20T00:00:00"/>
    <x v="0"/>
    <s v="Missing"/>
    <s v="Missing"/>
    <s v="Mid-Career"/>
    <n v="6"/>
    <s v="High"/>
    <x v="1"/>
    <n v="2"/>
  </r>
  <r>
    <s v="Hannah"/>
    <x v="4"/>
    <s v=""/>
    <x v="2"/>
    <x v="1"/>
    <s v="Analyst"/>
    <d v="2019-03-25T00:00:00"/>
    <x v="2"/>
    <s v="name@company.org"/>
    <s v="098-765-4321"/>
    <s v="Mid-Career"/>
    <n v="6"/>
    <s v="High"/>
    <x v="2"/>
    <n v="3"/>
  </r>
  <r>
    <s v="Jack"/>
    <x v="0"/>
    <s v=""/>
    <x v="1"/>
    <x v="3"/>
    <s v="Assistant"/>
    <d v="2019-03-25T00:00:00"/>
    <x v="3"/>
    <s v="user@domain.com"/>
    <s v="555-555-5555"/>
    <s v="Young"/>
    <n v="6"/>
    <s v="High"/>
    <x v="2"/>
    <n v="5"/>
  </r>
  <r>
    <s v="Bob"/>
    <x v="4"/>
    <n v="70000"/>
    <x v="2"/>
    <x v="3"/>
    <s v="Assistant"/>
    <d v="2018-04-05T00:00:00"/>
    <x v="4"/>
    <s v="user@domain.com"/>
    <s v="555-555-5555"/>
    <s v="Mid-Career"/>
    <n v="7"/>
    <s v="High"/>
    <x v="0"/>
    <n v="4"/>
  </r>
  <r>
    <s v="Charlie"/>
    <x v="0"/>
    <n v="55000"/>
    <x v="1"/>
    <x v="3"/>
    <s v="Director"/>
    <d v="2019-03-25T00:00:00"/>
    <x v="2"/>
    <s v="email@example.com"/>
    <s v="Missing"/>
    <s v="Young"/>
    <n v="6"/>
    <s v="Medium"/>
    <x v="2"/>
    <n v="3"/>
  </r>
  <r>
    <s v="Bob"/>
    <x v="0"/>
    <n v="55000"/>
    <x v="1"/>
    <x v="1"/>
    <s v="Assistant"/>
    <d v="2020-01-15T00:00:00"/>
    <x v="2"/>
    <s v="email@example.com"/>
    <s v="123-456-7890"/>
    <s v="Young"/>
    <n v="6"/>
    <s v="Medium"/>
    <x v="1"/>
    <n v="3"/>
  </r>
  <r>
    <s v="Charlie"/>
    <x v="4"/>
    <n v="70000"/>
    <x v="2"/>
    <x v="4"/>
    <s v="Analyst"/>
    <d v="2020-01-15T00:00:00"/>
    <x v="3"/>
    <s v="user@domain.com"/>
    <s v="Missing"/>
    <s v="Mid-Career"/>
    <n v="6"/>
    <s v="High"/>
    <x v="1"/>
    <n v="5"/>
  </r>
  <r>
    <s v="Grace"/>
    <x v="2"/>
    <n v="50000"/>
    <x v="0"/>
    <x v="1"/>
    <s v="Analyst"/>
    <d v="2020-01-15T00:00:00"/>
    <x v="1"/>
    <s v="Missing"/>
    <s v="Missing"/>
    <s v="Mid-Career"/>
    <n v="6"/>
    <s v="Low"/>
    <x v="1"/>
    <n v="1"/>
  </r>
  <r>
    <s v="Alice"/>
    <x v="5"/>
    <n v="70000"/>
    <x v="2"/>
    <x v="2"/>
    <s v="Clerk"/>
    <d v="2019-03-25T00:00:00"/>
    <x v="4"/>
    <s v="Missing"/>
    <s v="098-765-4321"/>
    <s v="Senior"/>
    <n v="6"/>
    <s v="High"/>
    <x v="2"/>
    <n v="4"/>
  </r>
  <r>
    <s v="Jack"/>
    <x v="3"/>
    <n v="70000"/>
    <x v="0"/>
    <x v="1"/>
    <s v="Clerk"/>
    <d v="2020-01-15T00:00:00"/>
    <x v="2"/>
    <s v="Missing"/>
    <s v="098-765-4321"/>
    <s v="Mid-Career"/>
    <n v="6"/>
    <s v="High"/>
    <x v="1"/>
    <n v="3"/>
  </r>
  <r>
    <s v="Hannah"/>
    <x v="3"/>
    <n v="55000"/>
    <x v="1"/>
    <x v="3"/>
    <s v="Clerk"/>
    <d v="2018-04-05T00:00:00"/>
    <x v="0"/>
    <s v="email@example.com"/>
    <s v="098-765-4321"/>
    <s v="Mid-Career"/>
    <n v="7"/>
    <s v="Medium"/>
    <x v="0"/>
    <n v="2"/>
  </r>
  <r>
    <s v="Jack"/>
    <x v="5"/>
    <n v="55000"/>
    <x v="1"/>
    <x v="0"/>
    <s v="Assistant"/>
    <d v="2019-03-25T00:00:00"/>
    <x v="2"/>
    <s v="Missing"/>
    <s v="Missing"/>
    <s v="Senior"/>
    <n v="6"/>
    <s v="Medium"/>
    <x v="2"/>
    <n v="3"/>
  </r>
  <r>
    <s v="Jack"/>
    <x v="0"/>
    <n v="70000"/>
    <x v="0"/>
    <x v="1"/>
    <s v="Assistant"/>
    <d v="2019-12-01T00:00:00"/>
    <x v="4"/>
    <s v="email@example.com"/>
    <s v="Missing"/>
    <s v="Young"/>
    <n v="6"/>
    <s v="High"/>
    <x v="2"/>
    <n v="4"/>
  </r>
  <r>
    <s v="Jack"/>
    <x v="0"/>
    <n v="70000"/>
    <x v="1"/>
    <x v="1"/>
    <s v="Director"/>
    <d v="2019-03-25T00:00:00"/>
    <x v="2"/>
    <s v="user@domain.com"/>
    <s v="555-555-5555"/>
    <s v="Young"/>
    <n v="6"/>
    <s v="High"/>
    <x v="2"/>
    <n v="3"/>
  </r>
  <r>
    <s v="Bob"/>
    <x v="2"/>
    <n v="70000"/>
    <x v="0"/>
    <x v="3"/>
    <s v="Clerk"/>
    <d v="2018-04-05T00:00:00"/>
    <x v="3"/>
    <s v="Missing"/>
    <s v="123-456-7890"/>
    <s v="Mid-Career"/>
    <n v="7"/>
    <s v="High"/>
    <x v="0"/>
    <n v="5"/>
  </r>
  <r>
    <s v="Charlie"/>
    <x v="1"/>
    <n v="55000"/>
    <x v="0"/>
    <x v="0"/>
    <s v="Manager"/>
    <d v="2019-12-01T00:00:00"/>
    <x v="2"/>
    <s v="Missing"/>
    <s v="555-555-5555"/>
    <s v="Mid-Career"/>
    <n v="6"/>
    <s v="Medium"/>
    <x v="2"/>
    <n v="3"/>
  </r>
  <r>
    <s v="Ivy"/>
    <x v="4"/>
    <n v="70000"/>
    <x v="1"/>
    <x v="0"/>
    <s v="Director"/>
    <d v="2019-03-25T00:00:00"/>
    <x v="2"/>
    <s v="user@domain.com"/>
    <s v="Missing"/>
    <s v="Mid-Career"/>
    <n v="6"/>
    <s v="High"/>
    <x v="2"/>
    <n v="3"/>
  </r>
  <r>
    <s v="Grace"/>
    <x v="0"/>
    <n v="70000"/>
    <x v="0"/>
    <x v="2"/>
    <s v="Manager"/>
    <d v="2020-01-15T00:00:00"/>
    <x v="0"/>
    <s v="Missing"/>
    <s v="555-555-5555"/>
    <s v="Young"/>
    <n v="6"/>
    <s v="High"/>
    <x v="1"/>
    <n v="2"/>
  </r>
  <r>
    <s v="David"/>
    <x v="3"/>
    <n v="65000"/>
    <x v="2"/>
    <x v="1"/>
    <s v="Assistant"/>
    <d v="2020-02-20T00:00:00"/>
    <x v="3"/>
    <s v="Missing"/>
    <s v="Missing"/>
    <s v="Mid-Career"/>
    <n v="6"/>
    <s v="Medium"/>
    <x v="1"/>
    <n v="5"/>
  </r>
  <r>
    <s v="Jack"/>
    <x v="2"/>
    <n v="50000"/>
    <x v="2"/>
    <x v="0"/>
    <s v="Director"/>
    <d v="2020-02-20T00:00:00"/>
    <x v="3"/>
    <s v="name@company.org"/>
    <s v="098-765-4321"/>
    <s v="Mid-Career"/>
    <n v="6"/>
    <s v="Low"/>
    <x v="1"/>
    <n v="5"/>
  </r>
  <r>
    <s v="Eve"/>
    <x v="4"/>
    <n v="60000"/>
    <x v="1"/>
    <x v="0"/>
    <s v="Director"/>
    <d v="2020-01-15T00:00:00"/>
    <x v="2"/>
    <s v="email@example.com"/>
    <s v="Missing"/>
    <s v="Mid-Career"/>
    <n v="6"/>
    <s v="Medium"/>
    <x v="1"/>
    <n v="3"/>
  </r>
  <r>
    <s v="Bob"/>
    <x v="2"/>
    <n v="50000"/>
    <x v="1"/>
    <x v="4"/>
    <s v="Analyst"/>
    <d v="2020-02-20T00:00:00"/>
    <x v="0"/>
    <s v="Missing"/>
    <s v="Missing"/>
    <s v="Mid-Career"/>
    <n v="6"/>
    <s v="Low"/>
    <x v="1"/>
    <n v="2"/>
  </r>
  <r>
    <s v="Hannah"/>
    <x v="4"/>
    <n v="65000"/>
    <x v="0"/>
    <x v="4"/>
    <s v="Assistant"/>
    <d v="2020-02-20T00:00:00"/>
    <x v="2"/>
    <s v="user@domain.com"/>
    <s v="555-555-5555"/>
    <s v="Mid-Career"/>
    <n v="6"/>
    <s v="Medium"/>
    <x v="1"/>
    <n v="3"/>
  </r>
  <r>
    <s v="David"/>
    <x v="4"/>
    <n v="60000"/>
    <x v="0"/>
    <x v="0"/>
    <s v="Assistant"/>
    <d v="2020-01-15T00:00:00"/>
    <x v="2"/>
    <s v="Missing"/>
    <s v="Missing"/>
    <s v="Mid-Career"/>
    <n v="6"/>
    <s v="Medium"/>
    <x v="1"/>
    <n v="3"/>
  </r>
  <r>
    <s v="Ivy"/>
    <x v="5"/>
    <n v="70000"/>
    <x v="0"/>
    <x v="2"/>
    <s v="Director"/>
    <d v="2020-01-15T00:00:00"/>
    <x v="4"/>
    <s v="Missing"/>
    <s v="555-555-5555"/>
    <s v="Senior"/>
    <n v="6"/>
    <s v="High"/>
    <x v="1"/>
    <n v="4"/>
  </r>
  <r>
    <s v="Eve"/>
    <x v="0"/>
    <n v="65000"/>
    <x v="0"/>
    <x v="0"/>
    <s v="Assistant"/>
    <d v="2019-03-25T00:00:00"/>
    <x v="4"/>
    <s v="email@example.com"/>
    <s v="555-555-5555"/>
    <s v="Young"/>
    <n v="6"/>
    <s v="Medium"/>
    <x v="2"/>
    <n v="4"/>
  </r>
  <r>
    <s v="Ivy"/>
    <x v="2"/>
    <n v="70000"/>
    <x v="2"/>
    <x v="3"/>
    <s v="Director"/>
    <d v="2019-03-25T00:00:00"/>
    <x v="0"/>
    <s v="name@company.org"/>
    <s v="Missing"/>
    <s v="Mid-Career"/>
    <n v="6"/>
    <s v="High"/>
    <x v="2"/>
    <n v="2"/>
  </r>
  <r>
    <s v="David"/>
    <x v="2"/>
    <n v="55000"/>
    <x v="2"/>
    <x v="1"/>
    <s v="Analyst"/>
    <d v="2020-01-15T00:00:00"/>
    <x v="1"/>
    <s v="email@example.com"/>
    <s v="555-555-5555"/>
    <s v="Mid-Career"/>
    <n v="6"/>
    <s v="Medium"/>
    <x v="1"/>
    <n v="1"/>
  </r>
  <r>
    <s v="Jack"/>
    <x v="5"/>
    <s v=""/>
    <x v="1"/>
    <x v="2"/>
    <s v="Director"/>
    <d v="2018-04-05T00:00:00"/>
    <x v="4"/>
    <s v="Missing"/>
    <s v="098-765-4321"/>
    <s v="Senior"/>
    <n v="7"/>
    <s v="High"/>
    <x v="0"/>
    <n v="4"/>
  </r>
  <r>
    <s v="Eve"/>
    <x v="3"/>
    <n v="65000"/>
    <x v="0"/>
    <x v="3"/>
    <s v="Assistant"/>
    <d v="2020-02-20T00:00:00"/>
    <x v="1"/>
    <s v="Missing"/>
    <s v="555-555-5555"/>
    <s v="Mid-Career"/>
    <n v="6"/>
    <s v="Medium"/>
    <x v="1"/>
    <n v="1"/>
  </r>
  <r>
    <s v="Ivy"/>
    <x v="3"/>
    <n v="55000"/>
    <x v="0"/>
    <x v="2"/>
    <s v="Assistant"/>
    <d v="2019-03-25T00:00:00"/>
    <x v="3"/>
    <s v="Missing"/>
    <s v="098-765-4321"/>
    <s v="Mid-Career"/>
    <n v="6"/>
    <s v="Medium"/>
    <x v="2"/>
    <n v="5"/>
  </r>
  <r>
    <s v="Hannah"/>
    <x v="0"/>
    <n v="65000"/>
    <x v="1"/>
    <x v="3"/>
    <s v="Director"/>
    <d v="2020-02-20T00:00:00"/>
    <x v="4"/>
    <s v="Missing"/>
    <s v="Missing"/>
    <s v="Young"/>
    <n v="6"/>
    <s v="Medium"/>
    <x v="1"/>
    <n v="4"/>
  </r>
  <r>
    <s v="Charlie"/>
    <x v="0"/>
    <n v="65000"/>
    <x v="0"/>
    <x v="1"/>
    <s v="Director"/>
    <d v="2019-12-01T00:00:00"/>
    <x v="4"/>
    <s v="user@domain.com"/>
    <s v="Missing"/>
    <s v="Young"/>
    <n v="6"/>
    <s v="Medium"/>
    <x v="2"/>
    <n v="4"/>
  </r>
  <r>
    <s v="Alice"/>
    <x v="1"/>
    <n v="55000"/>
    <x v="0"/>
    <x v="1"/>
    <s v="Director"/>
    <d v="2020-01-15T00:00:00"/>
    <x v="0"/>
    <s v="name@company.org"/>
    <s v="098-765-4321"/>
    <s v="Mid-Career"/>
    <n v="6"/>
    <s v="Medium"/>
    <x v="1"/>
    <n v="2"/>
  </r>
  <r>
    <s v="Charlie"/>
    <x v="5"/>
    <n v="60000"/>
    <x v="0"/>
    <x v="4"/>
    <s v="Clerk"/>
    <d v="2018-04-05T00:00:00"/>
    <x v="1"/>
    <s v="Missing"/>
    <s v="Missing"/>
    <s v="Senior"/>
    <n v="7"/>
    <s v="Medium"/>
    <x v="0"/>
    <n v="1"/>
  </r>
  <r>
    <s v="David"/>
    <x v="3"/>
    <n v="50000"/>
    <x v="0"/>
    <x v="3"/>
    <s v="Assistant"/>
    <d v="2019-12-01T00:00:00"/>
    <x v="4"/>
    <s v="Missing"/>
    <s v="Missing"/>
    <s v="Mid-Career"/>
    <n v="6"/>
    <s v="Low"/>
    <x v="2"/>
    <n v="4"/>
  </r>
  <r>
    <s v="Bob"/>
    <x v="4"/>
    <n v="70000"/>
    <x v="0"/>
    <x v="4"/>
    <s v="Assistant"/>
    <d v="2019-12-01T00:00:00"/>
    <x v="4"/>
    <s v="Missing"/>
    <s v="098-765-4321"/>
    <s v="Mid-Career"/>
    <n v="6"/>
    <s v="High"/>
    <x v="2"/>
    <n v="4"/>
  </r>
  <r>
    <s v="Alice"/>
    <x v="2"/>
    <n v="65000"/>
    <x v="1"/>
    <x v="3"/>
    <s v="Clerk"/>
    <d v="2019-12-01T00:00:00"/>
    <x v="0"/>
    <s v="name@company.org"/>
    <s v="Missing"/>
    <s v="Mid-Career"/>
    <n v="6"/>
    <s v="Medium"/>
    <x v="2"/>
    <n v="2"/>
  </r>
  <r>
    <s v="Grace"/>
    <x v="0"/>
    <n v="70000"/>
    <x v="0"/>
    <x v="4"/>
    <s v="Director"/>
    <d v="2020-01-15T00:00:00"/>
    <x v="0"/>
    <s v="email@example.com"/>
    <s v="123-456-7890"/>
    <s v="Young"/>
    <n v="6"/>
    <s v="High"/>
    <x v="1"/>
    <n v="2"/>
  </r>
  <r>
    <s v="Hannah"/>
    <x v="2"/>
    <s v=""/>
    <x v="1"/>
    <x v="1"/>
    <s v="Analyst"/>
    <d v="2019-03-25T00:00:00"/>
    <x v="1"/>
    <s v="name@company.org"/>
    <s v="Missing"/>
    <s v="Mid-Career"/>
    <n v="6"/>
    <s v="High"/>
    <x v="2"/>
    <n v="1"/>
  </r>
  <r>
    <s v="Grace"/>
    <x v="2"/>
    <n v="55000"/>
    <x v="0"/>
    <x v="2"/>
    <s v="Director"/>
    <d v="2020-01-15T00:00:00"/>
    <x v="3"/>
    <s v="name@company.org"/>
    <s v="Missing"/>
    <s v="Mid-Career"/>
    <n v="6"/>
    <s v="Medium"/>
    <x v="1"/>
    <n v="5"/>
  </r>
  <r>
    <s v="Eve"/>
    <x v="1"/>
    <n v="70000"/>
    <x v="2"/>
    <x v="4"/>
    <s v="Director"/>
    <d v="2019-03-25T00:00:00"/>
    <x v="3"/>
    <s v="name@company.org"/>
    <s v="Missing"/>
    <s v="Mid-Career"/>
    <n v="6"/>
    <s v="High"/>
    <x v="2"/>
    <n v="5"/>
  </r>
  <r>
    <s v="Alice"/>
    <x v="3"/>
    <n v="55000"/>
    <x v="2"/>
    <x v="3"/>
    <s v="Clerk"/>
    <d v="2019-12-01T00:00:00"/>
    <x v="2"/>
    <s v="Missing"/>
    <s v="Missing"/>
    <s v="Mid-Career"/>
    <n v="6"/>
    <s v="Medium"/>
    <x v="2"/>
    <n v="3"/>
  </r>
  <r>
    <s v="Grace"/>
    <x v="0"/>
    <n v="70000"/>
    <x v="2"/>
    <x v="3"/>
    <s v="Assistant"/>
    <d v="2019-12-01T00:00:00"/>
    <x v="4"/>
    <s v="Missing"/>
    <s v="555-555-5555"/>
    <s v="Young"/>
    <n v="6"/>
    <s v="High"/>
    <x v="2"/>
    <n v="4"/>
  </r>
  <r>
    <s v="Grace"/>
    <x v="2"/>
    <n v="50000"/>
    <x v="2"/>
    <x v="1"/>
    <s v="Director"/>
    <d v="2018-04-05T00:00:00"/>
    <x v="1"/>
    <s v="user@domain.com"/>
    <s v="Missing"/>
    <s v="Mid-Career"/>
    <n v="7"/>
    <s v="Low"/>
    <x v="0"/>
    <n v="1"/>
  </r>
  <r>
    <s v="Ivy"/>
    <x v="0"/>
    <n v="50000"/>
    <x v="1"/>
    <x v="3"/>
    <s v="Assistant"/>
    <d v="2019-03-25T00:00:00"/>
    <x v="4"/>
    <s v="email@example.com"/>
    <s v="Missing"/>
    <s v="Young"/>
    <n v="6"/>
    <s v="Low"/>
    <x v="2"/>
    <n v="4"/>
  </r>
  <r>
    <s v="Charlie"/>
    <x v="4"/>
    <n v="50000"/>
    <x v="1"/>
    <x v="0"/>
    <s v="Manager"/>
    <d v="2019-12-01T00:00:00"/>
    <x v="1"/>
    <s v="Missing"/>
    <s v="098-765-4321"/>
    <s v="Mid-Career"/>
    <n v="6"/>
    <s v="Low"/>
    <x v="2"/>
    <n v="1"/>
  </r>
  <r>
    <s v="Ivy"/>
    <x v="1"/>
    <n v="50000"/>
    <x v="0"/>
    <x v="2"/>
    <s v="Assistant"/>
    <d v="2020-02-20T00:00:00"/>
    <x v="1"/>
    <s v="name@company.org"/>
    <s v="123-456-7890"/>
    <s v="Mid-Career"/>
    <n v="6"/>
    <s v="Low"/>
    <x v="1"/>
    <n v="1"/>
  </r>
  <r>
    <s v="Alice"/>
    <x v="4"/>
    <n v="50000"/>
    <x v="2"/>
    <x v="4"/>
    <s v="Analyst"/>
    <d v="2018-04-05T00:00:00"/>
    <x v="1"/>
    <s v="email@example.com"/>
    <s v="555-555-5555"/>
    <s v="Mid-Career"/>
    <n v="7"/>
    <s v="Low"/>
    <x v="0"/>
    <n v="1"/>
  </r>
  <r>
    <s v="Alice"/>
    <x v="0"/>
    <n v="50000"/>
    <x v="1"/>
    <x v="2"/>
    <s v="Analyst"/>
    <d v="2020-01-15T00:00:00"/>
    <x v="4"/>
    <s v="email@example.com"/>
    <s v="098-765-4321"/>
    <s v="Young"/>
    <n v="6"/>
    <s v="Low"/>
    <x v="1"/>
    <n v="4"/>
  </r>
  <r>
    <s v="David"/>
    <x v="0"/>
    <n v="55000"/>
    <x v="0"/>
    <x v="1"/>
    <s v="Director"/>
    <d v="2018-04-05T00:00:00"/>
    <x v="0"/>
    <s v="user@domain.com"/>
    <s v="123-456-7890"/>
    <s v="Young"/>
    <n v="7"/>
    <s v="Medium"/>
    <x v="0"/>
    <n v="2"/>
  </r>
  <r>
    <s v="Ivy"/>
    <x v="3"/>
    <n v="65000"/>
    <x v="0"/>
    <x v="4"/>
    <s v="Assistant"/>
    <d v="2020-02-20T00:00:00"/>
    <x v="4"/>
    <s v="Missing"/>
    <s v="123-456-7890"/>
    <s v="Mid-Career"/>
    <n v="6"/>
    <s v="Medium"/>
    <x v="1"/>
    <n v="4"/>
  </r>
  <r>
    <s v="Frank"/>
    <x v="2"/>
    <n v="70000"/>
    <x v="1"/>
    <x v="4"/>
    <s v="Director"/>
    <d v="2019-03-25T00:00:00"/>
    <x v="1"/>
    <s v="name@company.org"/>
    <s v="123-456-7890"/>
    <s v="Mid-Career"/>
    <n v="6"/>
    <s v="High"/>
    <x v="2"/>
    <n v="1"/>
  </r>
  <r>
    <s v="Charlie"/>
    <x v="2"/>
    <n v="50000"/>
    <x v="2"/>
    <x v="0"/>
    <s v="Clerk"/>
    <d v="2020-01-15T00:00:00"/>
    <x v="2"/>
    <s v="Missing"/>
    <s v="098-765-4321"/>
    <s v="Mid-Career"/>
    <n v="6"/>
    <s v="Low"/>
    <x v="1"/>
    <n v="3"/>
  </r>
  <r>
    <s v="Alice"/>
    <x v="4"/>
    <n v="55000"/>
    <x v="0"/>
    <x v="1"/>
    <s v="Analyst"/>
    <d v="2020-01-15T00:00:00"/>
    <x v="3"/>
    <s v="user@domain.com"/>
    <s v="555-555-5555"/>
    <s v="Mid-Career"/>
    <n v="6"/>
    <s v="Medium"/>
    <x v="1"/>
    <n v="5"/>
  </r>
  <r>
    <s v="David"/>
    <x v="1"/>
    <n v="55000"/>
    <x v="2"/>
    <x v="3"/>
    <s v="Director"/>
    <d v="2019-03-25T00:00:00"/>
    <x v="1"/>
    <s v="Missing"/>
    <s v="555-555-5555"/>
    <s v="Mid-Career"/>
    <n v="6"/>
    <s v="Medium"/>
    <x v="2"/>
    <n v="1"/>
  </r>
  <r>
    <s v="Ivy"/>
    <x v="5"/>
    <n v="55000"/>
    <x v="2"/>
    <x v="0"/>
    <s v="Clerk"/>
    <d v="2018-04-05T00:00:00"/>
    <x v="2"/>
    <s v="email@example.com"/>
    <s v="123-456-7890"/>
    <s v="Senior"/>
    <n v="7"/>
    <s v="Medium"/>
    <x v="0"/>
    <n v="3"/>
  </r>
  <r>
    <s v="Charlie"/>
    <x v="2"/>
    <n v="65000"/>
    <x v="2"/>
    <x v="0"/>
    <s v="Director"/>
    <d v="2019-12-01T00:00:00"/>
    <x v="0"/>
    <s v="name@company.org"/>
    <s v="098-765-4321"/>
    <s v="Mid-Career"/>
    <n v="6"/>
    <s v="Medium"/>
    <x v="2"/>
    <n v="2"/>
  </r>
  <r>
    <s v="Ivy"/>
    <x v="3"/>
    <n v="70000"/>
    <x v="0"/>
    <x v="2"/>
    <s v="Assistant"/>
    <d v="2018-04-05T00:00:00"/>
    <x v="1"/>
    <s v="Missing"/>
    <s v="123-456-7890"/>
    <s v="Mid-Career"/>
    <n v="7"/>
    <s v="High"/>
    <x v="0"/>
    <n v="1"/>
  </r>
  <r>
    <s v="Grace"/>
    <x v="4"/>
    <n v="65000"/>
    <x v="2"/>
    <x v="2"/>
    <s v="Assistant"/>
    <d v="2020-02-20T00:00:00"/>
    <x v="2"/>
    <s v="user@domain.com"/>
    <s v="Missing"/>
    <s v="Mid-Career"/>
    <n v="6"/>
    <s v="Medium"/>
    <x v="1"/>
    <n v="3"/>
  </r>
  <r>
    <s v="David"/>
    <x v="4"/>
    <n v="60000"/>
    <x v="0"/>
    <x v="2"/>
    <s v="Assistant"/>
    <d v="2019-12-01T00:00:00"/>
    <x v="1"/>
    <s v="Missing"/>
    <s v="555-555-5555"/>
    <s v="Mid-Career"/>
    <n v="6"/>
    <s v="Medium"/>
    <x v="2"/>
    <n v="1"/>
  </r>
  <r>
    <s v="Charlie"/>
    <x v="5"/>
    <n v="55000"/>
    <x v="2"/>
    <x v="0"/>
    <s v="Assistant"/>
    <d v="2018-04-05T00:00:00"/>
    <x v="4"/>
    <s v="email@example.com"/>
    <s v="Missing"/>
    <s v="Senior"/>
    <n v="7"/>
    <s v="Medium"/>
    <x v="0"/>
    <n v="4"/>
  </r>
  <r>
    <s v="Jack"/>
    <x v="3"/>
    <n v="60000"/>
    <x v="0"/>
    <x v="3"/>
    <s v="Manager"/>
    <d v="2019-03-25T00:00:00"/>
    <x v="2"/>
    <s v="name@company.org"/>
    <s v="123-456-7890"/>
    <s v="Mid-Career"/>
    <n v="6"/>
    <s v="Medium"/>
    <x v="2"/>
    <n v="3"/>
  </r>
  <r>
    <s v="Eve"/>
    <x v="1"/>
    <s v=""/>
    <x v="2"/>
    <x v="4"/>
    <s v="Clerk"/>
    <d v="2020-02-20T00:00:00"/>
    <x v="4"/>
    <s v="Missing"/>
    <s v="Missing"/>
    <s v="Mid-Career"/>
    <n v="6"/>
    <s v="High"/>
    <x v="1"/>
    <n v="4"/>
  </r>
  <r>
    <s v="Eve"/>
    <x v="3"/>
    <n v="50000"/>
    <x v="1"/>
    <x v="2"/>
    <s v="Clerk"/>
    <d v="2020-02-20T00:00:00"/>
    <x v="4"/>
    <s v="Missing"/>
    <s v="555-555-5555"/>
    <s v="Mid-Career"/>
    <n v="6"/>
    <s v="Low"/>
    <x v="1"/>
    <n v="4"/>
  </r>
  <r>
    <s v="Charlie"/>
    <x v="1"/>
    <n v="50000"/>
    <x v="2"/>
    <x v="3"/>
    <s v="Assistant"/>
    <d v="2020-02-20T00:00:00"/>
    <x v="2"/>
    <s v="email@example.com"/>
    <s v="098-765-4321"/>
    <s v="Mid-Career"/>
    <n v="6"/>
    <s v="Low"/>
    <x v="1"/>
    <n v="3"/>
  </r>
  <r>
    <s v="Ivy"/>
    <x v="3"/>
    <n v="65000"/>
    <x v="2"/>
    <x v="1"/>
    <s v="Manager"/>
    <d v="2019-12-01T00:00:00"/>
    <x v="3"/>
    <s v="Missing"/>
    <s v="555-555-5555"/>
    <s v="Mid-Career"/>
    <n v="6"/>
    <s v="Medium"/>
    <x v="2"/>
    <n v="5"/>
  </r>
  <r>
    <s v="David"/>
    <x v="3"/>
    <n v="70000"/>
    <x v="0"/>
    <x v="2"/>
    <s v="Assistant"/>
    <d v="2020-01-15T00:00:00"/>
    <x v="2"/>
    <s v="user@domain.com"/>
    <s v="098-765-4321"/>
    <s v="Mid-Career"/>
    <n v="6"/>
    <s v="High"/>
    <x v="1"/>
    <n v="3"/>
  </r>
  <r>
    <s v="Eve"/>
    <x v="0"/>
    <n v="60000"/>
    <x v="0"/>
    <x v="4"/>
    <s v="Manager"/>
    <d v="2019-12-01T00:00:00"/>
    <x v="3"/>
    <s v="Missing"/>
    <s v="098-765-4321"/>
    <s v="Young"/>
    <n v="6"/>
    <s v="Medium"/>
    <x v="2"/>
    <n v="5"/>
  </r>
  <r>
    <s v="David"/>
    <x v="4"/>
    <n v="70000"/>
    <x v="2"/>
    <x v="1"/>
    <s v="Assistant"/>
    <d v="2018-04-05T00:00:00"/>
    <x v="1"/>
    <s v="Missing"/>
    <s v="123-456-7890"/>
    <s v="Mid-Career"/>
    <n v="7"/>
    <s v="High"/>
    <x v="0"/>
    <n v="1"/>
  </r>
  <r>
    <s v="Eve"/>
    <x v="3"/>
    <n v="65000"/>
    <x v="1"/>
    <x v="1"/>
    <s v="Analyst"/>
    <d v="2020-01-15T00:00:00"/>
    <x v="1"/>
    <s v="Missing"/>
    <s v="123-456-7890"/>
    <s v="Mid-Career"/>
    <n v="6"/>
    <s v="Medium"/>
    <x v="1"/>
    <n v="1"/>
  </r>
  <r>
    <s v="Grace"/>
    <x v="5"/>
    <n v="50000"/>
    <x v="1"/>
    <x v="4"/>
    <s v="Analyst"/>
    <d v="2018-04-05T00:00:00"/>
    <x v="2"/>
    <s v="email@example.com"/>
    <s v="555-555-5555"/>
    <s v="Senior"/>
    <n v="7"/>
    <s v="Low"/>
    <x v="0"/>
    <n v="3"/>
  </r>
  <r>
    <s v="Ivy"/>
    <x v="3"/>
    <n v="70000"/>
    <x v="0"/>
    <x v="2"/>
    <s v="Director"/>
    <d v="2020-01-15T00:00:00"/>
    <x v="1"/>
    <s v="email@example.com"/>
    <s v="Missing"/>
    <s v="Mid-Career"/>
    <n v="6"/>
    <s v="High"/>
    <x v="1"/>
    <n v="1"/>
  </r>
  <r>
    <s v="Grace"/>
    <x v="2"/>
    <n v="70000"/>
    <x v="1"/>
    <x v="0"/>
    <s v="Assistant"/>
    <d v="2019-12-01T00:00:00"/>
    <x v="0"/>
    <s v="user@domain.com"/>
    <s v="555-555-5555"/>
    <s v="Mid-Career"/>
    <n v="6"/>
    <s v="High"/>
    <x v="2"/>
    <n v="2"/>
  </r>
  <r>
    <s v="Eve"/>
    <x v="4"/>
    <n v="50000"/>
    <x v="2"/>
    <x v="4"/>
    <s v="Clerk"/>
    <d v="2020-02-20T00:00:00"/>
    <x v="4"/>
    <s v="Missing"/>
    <s v="Missing"/>
    <s v="Mid-Career"/>
    <n v="6"/>
    <s v="Low"/>
    <x v="1"/>
    <n v="4"/>
  </r>
  <r>
    <s v="Jack"/>
    <x v="2"/>
    <n v="60000"/>
    <x v="0"/>
    <x v="4"/>
    <s v="Director"/>
    <d v="2019-03-25T00:00:00"/>
    <x v="4"/>
    <s v="email@example.com"/>
    <s v="098-765-4321"/>
    <s v="Mid-Career"/>
    <n v="6"/>
    <s v="Medium"/>
    <x v="2"/>
    <n v="4"/>
  </r>
  <r>
    <s v="Jack"/>
    <x v="4"/>
    <n v="50000"/>
    <x v="2"/>
    <x v="4"/>
    <s v="Analyst"/>
    <d v="2020-02-20T00:00:00"/>
    <x v="3"/>
    <s v="user@domain.com"/>
    <s v="098-765-4321"/>
    <s v="Mid-Career"/>
    <n v="6"/>
    <s v="Low"/>
    <x v="1"/>
    <n v="5"/>
  </r>
  <r>
    <s v="Grace"/>
    <x v="2"/>
    <n v="70000"/>
    <x v="0"/>
    <x v="1"/>
    <s v="Assistant"/>
    <d v="2019-12-01T00:00:00"/>
    <x v="1"/>
    <s v="user@domain.com"/>
    <s v="123-456-7890"/>
    <s v="Mid-Career"/>
    <n v="6"/>
    <s v="High"/>
    <x v="2"/>
    <n v="1"/>
  </r>
  <r>
    <s v="Jack"/>
    <x v="3"/>
    <n v="60000"/>
    <x v="0"/>
    <x v="3"/>
    <s v="Director"/>
    <d v="2020-01-15T00:00:00"/>
    <x v="3"/>
    <s v="Missing"/>
    <s v="Missing"/>
    <s v="Mid-Career"/>
    <n v="6"/>
    <s v="Medium"/>
    <x v="1"/>
    <n v="5"/>
  </r>
  <r>
    <s v="Eve"/>
    <x v="3"/>
    <n v="60000"/>
    <x v="0"/>
    <x v="0"/>
    <s v="Assistant"/>
    <d v="2020-02-20T00:00:00"/>
    <x v="4"/>
    <s v="name@company.org"/>
    <s v="123-456-7890"/>
    <s v="Mid-Career"/>
    <n v="6"/>
    <s v="Medium"/>
    <x v="1"/>
    <n v="4"/>
  </r>
  <r>
    <s v="Charlie"/>
    <x v="0"/>
    <n v="50000"/>
    <x v="0"/>
    <x v="2"/>
    <s v="Analyst"/>
    <d v="2019-12-01T00:00:00"/>
    <x v="4"/>
    <s v="Missing"/>
    <s v="Missing"/>
    <s v="Young"/>
    <n v="6"/>
    <s v="Low"/>
    <x v="2"/>
    <n v="4"/>
  </r>
  <r>
    <s v="Grace"/>
    <x v="5"/>
    <n v="70000"/>
    <x v="1"/>
    <x v="2"/>
    <s v="Director"/>
    <d v="2018-04-05T00:00:00"/>
    <x v="1"/>
    <s v="name@company.org"/>
    <s v="555-555-5555"/>
    <s v="Senior"/>
    <n v="7"/>
    <s v="High"/>
    <x v="0"/>
    <n v="1"/>
  </r>
  <r>
    <s v="Bob"/>
    <x v="2"/>
    <n v="65000"/>
    <x v="2"/>
    <x v="3"/>
    <s v="Analyst"/>
    <d v="2019-03-25T00:00:00"/>
    <x v="0"/>
    <s v="user@domain.com"/>
    <s v="555-555-5555"/>
    <s v="Mid-Career"/>
    <n v="6"/>
    <s v="Medium"/>
    <x v="2"/>
    <n v="2"/>
  </r>
  <r>
    <s v="Ivy"/>
    <x v="1"/>
    <n v="70000"/>
    <x v="2"/>
    <x v="4"/>
    <s v="Manager"/>
    <d v="2020-02-20T00:00:00"/>
    <x v="0"/>
    <s v="email@example.com"/>
    <s v="Missing"/>
    <s v="Mid-Career"/>
    <n v="6"/>
    <s v="High"/>
    <x v="1"/>
    <n v="2"/>
  </r>
  <r>
    <s v="Jack"/>
    <x v="0"/>
    <n v="55000"/>
    <x v="2"/>
    <x v="0"/>
    <s v="Analyst"/>
    <d v="2020-01-15T00:00:00"/>
    <x v="1"/>
    <s v="Missing"/>
    <s v="123-456-7890"/>
    <s v="Young"/>
    <n v="6"/>
    <s v="Medium"/>
    <x v="1"/>
    <n v="1"/>
  </r>
  <r>
    <s v="Jack"/>
    <x v="2"/>
    <s v=""/>
    <x v="0"/>
    <x v="2"/>
    <s v="Assistant"/>
    <d v="2018-04-05T00:00:00"/>
    <x v="1"/>
    <s v="user@domain.com"/>
    <s v="123-456-7890"/>
    <s v="Mid-Career"/>
    <n v="7"/>
    <s v="High"/>
    <x v="0"/>
    <n v="1"/>
  </r>
  <r>
    <s v="Alice"/>
    <x v="2"/>
    <n v="65000"/>
    <x v="1"/>
    <x v="2"/>
    <s v="Clerk"/>
    <d v="2019-12-01T00:00:00"/>
    <x v="3"/>
    <s v="email@example.com"/>
    <s v="Missing"/>
    <s v="Mid-Career"/>
    <n v="6"/>
    <s v="Medium"/>
    <x v="2"/>
    <n v="5"/>
  </r>
  <r>
    <s v="Frank"/>
    <x v="0"/>
    <n v="60000"/>
    <x v="2"/>
    <x v="4"/>
    <s v="Analyst"/>
    <d v="2019-03-25T00:00:00"/>
    <x v="1"/>
    <s v="user@domain.com"/>
    <s v="555-555-5555"/>
    <s v="Young"/>
    <n v="6"/>
    <s v="Medium"/>
    <x v="2"/>
    <n v="1"/>
  </r>
  <r>
    <s v="Grace"/>
    <x v="3"/>
    <n v="65000"/>
    <x v="1"/>
    <x v="3"/>
    <s v="Clerk"/>
    <d v="2020-01-15T00:00:00"/>
    <x v="0"/>
    <s v="Missing"/>
    <s v="123-456-7890"/>
    <s v="Mid-Career"/>
    <n v="6"/>
    <s v="Medium"/>
    <x v="1"/>
    <n v="2"/>
  </r>
  <r>
    <s v="Hannah"/>
    <x v="2"/>
    <n v="60000"/>
    <x v="0"/>
    <x v="0"/>
    <s v="Manager"/>
    <d v="2019-12-01T00:00:00"/>
    <x v="1"/>
    <s v="name@company.org"/>
    <s v="Missing"/>
    <s v="Mid-Career"/>
    <n v="6"/>
    <s v="Medium"/>
    <x v="2"/>
    <n v="1"/>
  </r>
  <r>
    <s v="Jack"/>
    <x v="3"/>
    <n v="60000"/>
    <x v="2"/>
    <x v="3"/>
    <s v="Director"/>
    <d v="2019-12-01T00:00:00"/>
    <x v="3"/>
    <s v="user@domain.com"/>
    <s v="555-555-5555"/>
    <s v="Mid-Career"/>
    <n v="6"/>
    <s v="Medium"/>
    <x v="2"/>
    <n v="5"/>
  </r>
  <r>
    <s v="Ivy"/>
    <x v="0"/>
    <n v="65000"/>
    <x v="1"/>
    <x v="3"/>
    <s v="Director"/>
    <d v="2020-02-20T00:00:00"/>
    <x v="3"/>
    <s v="email@example.com"/>
    <s v="Missing"/>
    <s v="Young"/>
    <n v="6"/>
    <s v="Medium"/>
    <x v="1"/>
    <n v="5"/>
  </r>
  <r>
    <s v="Bob"/>
    <x v="3"/>
    <n v="60000"/>
    <x v="0"/>
    <x v="0"/>
    <s v="Clerk"/>
    <d v="2020-02-20T00:00:00"/>
    <x v="3"/>
    <s v="Missing"/>
    <s v="Missing"/>
    <s v="Mid-Career"/>
    <n v="6"/>
    <s v="Medium"/>
    <x v="1"/>
    <n v="5"/>
  </r>
  <r>
    <s v="Jack"/>
    <x v="4"/>
    <n v="60000"/>
    <x v="1"/>
    <x v="0"/>
    <s v="Director"/>
    <d v="2020-01-15T00:00:00"/>
    <x v="3"/>
    <s v="Missing"/>
    <s v="098-765-4321"/>
    <s v="Mid-Career"/>
    <n v="6"/>
    <s v="Medium"/>
    <x v="1"/>
    <n v="5"/>
  </r>
  <r>
    <s v="Bob"/>
    <x v="1"/>
    <n v="55000"/>
    <x v="2"/>
    <x v="2"/>
    <s v="Analyst"/>
    <d v="2019-12-01T00:00:00"/>
    <x v="2"/>
    <s v="Missing"/>
    <s v="Missing"/>
    <s v="Mid-Career"/>
    <n v="6"/>
    <s v="Medium"/>
    <x v="2"/>
    <n v="3"/>
  </r>
  <r>
    <s v="Eve"/>
    <x v="2"/>
    <n v="70000"/>
    <x v="2"/>
    <x v="2"/>
    <s v="Clerk"/>
    <d v="2020-02-20T00:00:00"/>
    <x v="1"/>
    <s v="name@company.org"/>
    <s v="Missing"/>
    <s v="Mid-Career"/>
    <n v="6"/>
    <s v="High"/>
    <x v="1"/>
    <n v="1"/>
  </r>
  <r>
    <s v="Eve"/>
    <x v="5"/>
    <n v="70000"/>
    <x v="0"/>
    <x v="0"/>
    <s v="Assistant"/>
    <d v="2019-03-25T00:00:00"/>
    <x v="4"/>
    <s v="Missing"/>
    <s v="123-456-7890"/>
    <s v="Senior"/>
    <n v="6"/>
    <s v="High"/>
    <x v="2"/>
    <n v="4"/>
  </r>
  <r>
    <s v="Frank"/>
    <x v="1"/>
    <s v=""/>
    <x v="0"/>
    <x v="1"/>
    <s v="Analyst"/>
    <d v="2019-03-25T00:00:00"/>
    <x v="1"/>
    <s v="Missing"/>
    <s v="098-765-4321"/>
    <s v="Mid-Career"/>
    <n v="6"/>
    <s v="High"/>
    <x v="2"/>
    <n v="1"/>
  </r>
  <r>
    <s v="Charlie"/>
    <x v="3"/>
    <s v=""/>
    <x v="0"/>
    <x v="2"/>
    <s v="Analyst"/>
    <d v="2019-12-01T00:00:00"/>
    <x v="2"/>
    <s v="email@example.com"/>
    <s v="Missing"/>
    <s v="Mid-Career"/>
    <n v="6"/>
    <s v="High"/>
    <x v="2"/>
    <n v="3"/>
  </r>
  <r>
    <s v="Hannah"/>
    <x v="2"/>
    <n v="55000"/>
    <x v="1"/>
    <x v="1"/>
    <s v="Analyst"/>
    <d v="2020-02-20T00:00:00"/>
    <x v="3"/>
    <s v="user@domain.com"/>
    <s v="123-456-7890"/>
    <s v="Mid-Career"/>
    <n v="6"/>
    <s v="Medium"/>
    <x v="1"/>
    <n v="5"/>
  </r>
  <r>
    <s v="Alice"/>
    <x v="3"/>
    <s v=""/>
    <x v="1"/>
    <x v="0"/>
    <s v="Assistant"/>
    <d v="2020-01-15T00:00:00"/>
    <x v="2"/>
    <s v="name@company.org"/>
    <s v="098-765-4321"/>
    <s v="Mid-Career"/>
    <n v="6"/>
    <s v="High"/>
    <x v="1"/>
    <n v="3"/>
  </r>
  <r>
    <s v="Frank"/>
    <x v="4"/>
    <n v="65000"/>
    <x v="1"/>
    <x v="2"/>
    <s v="Manager"/>
    <d v="2020-01-15T00:00:00"/>
    <x v="0"/>
    <s v="Missing"/>
    <s v="555-555-5555"/>
    <s v="Mid-Career"/>
    <n v="6"/>
    <s v="Medium"/>
    <x v="1"/>
    <n v="2"/>
  </r>
  <r>
    <s v="David"/>
    <x v="0"/>
    <n v="50000"/>
    <x v="0"/>
    <x v="3"/>
    <s v="Director"/>
    <d v="2020-01-15T00:00:00"/>
    <x v="0"/>
    <s v="name@company.org"/>
    <s v="123-456-7890"/>
    <s v="Young"/>
    <n v="6"/>
    <s v="Low"/>
    <x v="1"/>
    <n v="2"/>
  </r>
  <r>
    <s v="Alice"/>
    <x v="2"/>
    <n v="50000"/>
    <x v="2"/>
    <x v="0"/>
    <s v="Clerk"/>
    <d v="2019-03-25T00:00:00"/>
    <x v="1"/>
    <s v="Missing"/>
    <s v="Missing"/>
    <s v="Mid-Career"/>
    <n v="6"/>
    <s v="Low"/>
    <x v="2"/>
    <n v="1"/>
  </r>
  <r>
    <s v="Grace"/>
    <x v="4"/>
    <n v="50000"/>
    <x v="2"/>
    <x v="4"/>
    <s v="Manager"/>
    <d v="2020-02-20T00:00:00"/>
    <x v="1"/>
    <s v="name@company.org"/>
    <s v="Missing"/>
    <s v="Mid-Career"/>
    <n v="6"/>
    <s v="Low"/>
    <x v="1"/>
    <n v="1"/>
  </r>
  <r>
    <s v="Ivy"/>
    <x v="4"/>
    <n v="55000"/>
    <x v="1"/>
    <x v="1"/>
    <s v="Clerk"/>
    <d v="2020-02-20T00:00:00"/>
    <x v="4"/>
    <s v="Missing"/>
    <s v="098-765-4321"/>
    <s v="Mid-Career"/>
    <n v="6"/>
    <s v="Medium"/>
    <x v="1"/>
    <n v="4"/>
  </r>
  <r>
    <s v="David"/>
    <x v="2"/>
    <n v="55000"/>
    <x v="1"/>
    <x v="0"/>
    <s v="Director"/>
    <d v="2019-03-25T00:00:00"/>
    <x v="4"/>
    <s v="user@domain.com"/>
    <s v="123-456-7890"/>
    <s v="Mid-Career"/>
    <n v="6"/>
    <s v="Medium"/>
    <x v="2"/>
    <n v="4"/>
  </r>
  <r>
    <s v="David"/>
    <x v="3"/>
    <n v="60000"/>
    <x v="2"/>
    <x v="0"/>
    <s v="Assistant"/>
    <d v="2020-01-15T00:00:00"/>
    <x v="0"/>
    <s v="user@domain.com"/>
    <s v="555-555-5555"/>
    <s v="Mid-Career"/>
    <n v="6"/>
    <s v="Medium"/>
    <x v="1"/>
    <n v="2"/>
  </r>
  <r>
    <s v="Frank"/>
    <x v="5"/>
    <n v="50000"/>
    <x v="2"/>
    <x v="2"/>
    <s v="Analyst"/>
    <d v="2020-01-15T00:00:00"/>
    <x v="3"/>
    <s v="name@company.org"/>
    <s v="Missing"/>
    <s v="Senior"/>
    <n v="6"/>
    <s v="Low"/>
    <x v="1"/>
    <n v="5"/>
  </r>
  <r>
    <s v="Charlie"/>
    <x v="4"/>
    <n v="65000"/>
    <x v="1"/>
    <x v="2"/>
    <s v="Analyst"/>
    <d v="2019-12-01T00:00:00"/>
    <x v="2"/>
    <s v="email@example.com"/>
    <s v="Missing"/>
    <s v="Mid-Career"/>
    <n v="6"/>
    <s v="Medium"/>
    <x v="2"/>
    <n v="3"/>
  </r>
  <r>
    <s v="Frank"/>
    <x v="1"/>
    <s v=""/>
    <x v="1"/>
    <x v="2"/>
    <s v="Assistant"/>
    <d v="2018-04-05T00:00:00"/>
    <x v="4"/>
    <s v="name@company.org"/>
    <s v="123-456-7890"/>
    <s v="Mid-Career"/>
    <n v="7"/>
    <s v="High"/>
    <x v="0"/>
    <n v="4"/>
  </r>
  <r>
    <s v="Grace"/>
    <x v="4"/>
    <n v="65000"/>
    <x v="2"/>
    <x v="4"/>
    <s v="Manager"/>
    <d v="2020-02-20T00:00:00"/>
    <x v="4"/>
    <s v="Missing"/>
    <s v="555-555-5555"/>
    <s v="Mid-Career"/>
    <n v="6"/>
    <s v="Medium"/>
    <x v="1"/>
    <n v="4"/>
  </r>
  <r>
    <s v="Jack"/>
    <x v="5"/>
    <s v=""/>
    <x v="0"/>
    <x v="2"/>
    <s v="Manager"/>
    <d v="2020-02-20T00:00:00"/>
    <x v="3"/>
    <s v="user@domain.com"/>
    <s v="098-765-4321"/>
    <s v="Senior"/>
    <n v="6"/>
    <s v="High"/>
    <x v="1"/>
    <n v="5"/>
  </r>
  <r>
    <s v="Jack"/>
    <x v="3"/>
    <n v="50000"/>
    <x v="1"/>
    <x v="0"/>
    <s v="Clerk"/>
    <d v="2020-02-20T00:00:00"/>
    <x v="3"/>
    <s v="user@domain.com"/>
    <s v="123-456-7890"/>
    <s v="Mid-Career"/>
    <n v="6"/>
    <s v="Low"/>
    <x v="1"/>
    <n v="5"/>
  </r>
  <r>
    <s v="Charlie"/>
    <x v="3"/>
    <n v="50000"/>
    <x v="2"/>
    <x v="2"/>
    <s v="Assistant"/>
    <d v="2018-04-05T00:00:00"/>
    <x v="1"/>
    <s v="user@domain.com"/>
    <s v="098-765-4321"/>
    <s v="Mid-Career"/>
    <n v="7"/>
    <s v="Low"/>
    <x v="0"/>
    <n v="1"/>
  </r>
  <r>
    <s v="Grace"/>
    <x v="1"/>
    <n v="50000"/>
    <x v="2"/>
    <x v="3"/>
    <s v="Manager"/>
    <d v="2019-12-01T00:00:00"/>
    <x v="2"/>
    <s v="email@example.com"/>
    <s v="Missing"/>
    <s v="Mid-Career"/>
    <n v="6"/>
    <s v="Low"/>
    <x v="2"/>
    <n v="3"/>
  </r>
  <r>
    <s v="Charlie"/>
    <x v="4"/>
    <n v="55000"/>
    <x v="2"/>
    <x v="2"/>
    <s v="Assistant"/>
    <d v="2018-04-05T00:00:00"/>
    <x v="3"/>
    <s v="email@example.com"/>
    <s v="098-765-4321"/>
    <s v="Mid-Career"/>
    <n v="7"/>
    <s v="Medium"/>
    <x v="0"/>
    <n v="5"/>
  </r>
  <r>
    <s v="Bob"/>
    <x v="3"/>
    <s v=""/>
    <x v="2"/>
    <x v="4"/>
    <s v="Director"/>
    <d v="2020-01-15T00:00:00"/>
    <x v="4"/>
    <s v="Missing"/>
    <s v="555-555-5555"/>
    <s v="Mid-Career"/>
    <n v="6"/>
    <s v="High"/>
    <x v="1"/>
    <n v="4"/>
  </r>
  <r>
    <s v="Jack"/>
    <x v="5"/>
    <n v="55000"/>
    <x v="0"/>
    <x v="3"/>
    <s v="Analyst"/>
    <d v="2020-01-15T00:00:00"/>
    <x v="4"/>
    <s v="name@company.org"/>
    <s v="Missing"/>
    <s v="Senior"/>
    <n v="6"/>
    <s v="Medium"/>
    <x v="1"/>
    <n v="4"/>
  </r>
  <r>
    <s v="David"/>
    <x v="2"/>
    <n v="55000"/>
    <x v="2"/>
    <x v="0"/>
    <s v="Analyst"/>
    <d v="2020-02-20T00:00:00"/>
    <x v="0"/>
    <s v="name@company.org"/>
    <s v="555-555-5555"/>
    <s v="Mid-Career"/>
    <n v="6"/>
    <s v="Medium"/>
    <x v="1"/>
    <n v="2"/>
  </r>
  <r>
    <s v="Hannah"/>
    <x v="0"/>
    <n v="70000"/>
    <x v="1"/>
    <x v="0"/>
    <s v="Analyst"/>
    <d v="2019-03-25T00:00:00"/>
    <x v="3"/>
    <s v="Missing"/>
    <s v="098-765-4321"/>
    <s v="Young"/>
    <n v="6"/>
    <s v="High"/>
    <x v="2"/>
    <n v="5"/>
  </r>
  <r>
    <s v="Ivy"/>
    <x v="0"/>
    <n v="65000"/>
    <x v="0"/>
    <x v="1"/>
    <s v="Assistant"/>
    <d v="2020-02-20T00:00:00"/>
    <x v="1"/>
    <s v="user@domain.com"/>
    <s v="123-456-7890"/>
    <s v="Young"/>
    <n v="6"/>
    <s v="Medium"/>
    <x v="1"/>
    <n v="1"/>
  </r>
  <r>
    <s v="Grace"/>
    <x v="0"/>
    <n v="65000"/>
    <x v="2"/>
    <x v="3"/>
    <s v="Assistant"/>
    <d v="2019-03-25T00:00:00"/>
    <x v="2"/>
    <s v="email@example.com"/>
    <s v="Missing"/>
    <s v="Young"/>
    <n v="6"/>
    <s v="Medium"/>
    <x v="2"/>
    <n v="3"/>
  </r>
  <r>
    <s v="Alice"/>
    <x v="4"/>
    <n v="60000"/>
    <x v="0"/>
    <x v="1"/>
    <s v="Clerk"/>
    <d v="2018-04-05T00:00:00"/>
    <x v="1"/>
    <s v="Missing"/>
    <s v="Missing"/>
    <s v="Mid-Career"/>
    <n v="7"/>
    <s v="Medium"/>
    <x v="0"/>
    <n v="1"/>
  </r>
  <r>
    <s v="Charlie"/>
    <x v="1"/>
    <n v="55000"/>
    <x v="1"/>
    <x v="3"/>
    <s v="Analyst"/>
    <d v="2020-01-15T00:00:00"/>
    <x v="4"/>
    <s v="Missing"/>
    <s v="123-456-7890"/>
    <s v="Mid-Career"/>
    <n v="6"/>
    <s v="Medium"/>
    <x v="1"/>
    <n v="4"/>
  </r>
  <r>
    <s v="Ivy"/>
    <x v="3"/>
    <s v=""/>
    <x v="2"/>
    <x v="3"/>
    <s v="Clerk"/>
    <d v="2019-03-25T00:00:00"/>
    <x v="1"/>
    <s v="email@example.com"/>
    <s v="123-456-7890"/>
    <s v="Mid-Career"/>
    <n v="6"/>
    <s v="High"/>
    <x v="2"/>
    <n v="1"/>
  </r>
  <r>
    <s v="Alice"/>
    <x v="2"/>
    <n v="70000"/>
    <x v="1"/>
    <x v="4"/>
    <s v="Analyst"/>
    <d v="2018-04-05T00:00:00"/>
    <x v="4"/>
    <s v="name@company.org"/>
    <s v="555-555-5555"/>
    <s v="Mid-Career"/>
    <n v="7"/>
    <s v="High"/>
    <x v="0"/>
    <n v="4"/>
  </r>
  <r>
    <s v="Ivy"/>
    <x v="5"/>
    <n v="70000"/>
    <x v="2"/>
    <x v="1"/>
    <s v="Clerk"/>
    <d v="2020-01-15T00:00:00"/>
    <x v="4"/>
    <s v="user@domain.com"/>
    <s v="098-765-4321"/>
    <s v="Senior"/>
    <n v="6"/>
    <s v="High"/>
    <x v="1"/>
    <n v="4"/>
  </r>
  <r>
    <s v="Hannah"/>
    <x v="2"/>
    <n v="65000"/>
    <x v="2"/>
    <x v="4"/>
    <s v="Clerk"/>
    <d v="2019-03-25T00:00:00"/>
    <x v="4"/>
    <s v="name@company.org"/>
    <s v="555-555-5555"/>
    <s v="Mid-Career"/>
    <n v="6"/>
    <s v="Medium"/>
    <x v="2"/>
    <n v="4"/>
  </r>
  <r>
    <s v="Alice"/>
    <x v="5"/>
    <n v="55000"/>
    <x v="2"/>
    <x v="3"/>
    <s v="Director"/>
    <d v="2020-02-20T00:00:00"/>
    <x v="4"/>
    <s v="Missing"/>
    <s v="098-765-4321"/>
    <s v="Senior"/>
    <n v="6"/>
    <s v="Medium"/>
    <x v="1"/>
    <n v="4"/>
  </r>
  <r>
    <s v="Frank"/>
    <x v="4"/>
    <n v="60000"/>
    <x v="2"/>
    <x v="0"/>
    <s v="Clerk"/>
    <d v="2020-02-20T00:00:00"/>
    <x v="4"/>
    <s v="user@domain.com"/>
    <s v="555-555-5555"/>
    <s v="Mid-Career"/>
    <n v="6"/>
    <s v="Medium"/>
    <x v="1"/>
    <n v="4"/>
  </r>
  <r>
    <s v="Eve"/>
    <x v="0"/>
    <n v="55000"/>
    <x v="2"/>
    <x v="3"/>
    <s v="Assistant"/>
    <d v="2020-02-20T00:00:00"/>
    <x v="0"/>
    <s v="Missing"/>
    <s v="123-456-7890"/>
    <s v="Young"/>
    <n v="6"/>
    <s v="Medium"/>
    <x v="1"/>
    <n v="2"/>
  </r>
  <r>
    <s v="Frank"/>
    <x v="4"/>
    <n v="50000"/>
    <x v="0"/>
    <x v="4"/>
    <s v="Clerk"/>
    <d v="2018-04-05T00:00:00"/>
    <x v="1"/>
    <s v="Missing"/>
    <s v="Missing"/>
    <s v="Mid-Career"/>
    <n v="7"/>
    <s v="Low"/>
    <x v="0"/>
    <n v="1"/>
  </r>
  <r>
    <s v="Jack"/>
    <x v="1"/>
    <n v="55000"/>
    <x v="2"/>
    <x v="1"/>
    <s v="Analyst"/>
    <d v="2020-02-20T00:00:00"/>
    <x v="0"/>
    <s v="name@company.org"/>
    <s v="098-765-4321"/>
    <s v="Mid-Career"/>
    <n v="6"/>
    <s v="Medium"/>
    <x v="1"/>
    <n v="2"/>
  </r>
  <r>
    <s v="Eve"/>
    <x v="1"/>
    <n v="50000"/>
    <x v="2"/>
    <x v="1"/>
    <s v="Clerk"/>
    <d v="2019-12-01T00:00:00"/>
    <x v="0"/>
    <s v="name@company.org"/>
    <s v="Missing"/>
    <s v="Mid-Career"/>
    <n v="6"/>
    <s v="Low"/>
    <x v="2"/>
    <n v="2"/>
  </r>
  <r>
    <s v="Frank"/>
    <x v="5"/>
    <n v="50000"/>
    <x v="0"/>
    <x v="4"/>
    <s v="Manager"/>
    <d v="2020-01-15T00:00:00"/>
    <x v="3"/>
    <s v="name@company.org"/>
    <s v="Missing"/>
    <s v="Senior"/>
    <n v="6"/>
    <s v="Low"/>
    <x v="1"/>
    <n v="5"/>
  </r>
  <r>
    <s v="Eve"/>
    <x v="3"/>
    <n v="60000"/>
    <x v="0"/>
    <x v="1"/>
    <s v="Analyst"/>
    <d v="2018-04-05T00:00:00"/>
    <x v="3"/>
    <s v="email@example.com"/>
    <s v="123-456-7890"/>
    <s v="Mid-Career"/>
    <n v="7"/>
    <s v="Medium"/>
    <x v="0"/>
    <n v="5"/>
  </r>
  <r>
    <s v="Eve"/>
    <x v="3"/>
    <s v=""/>
    <x v="0"/>
    <x v="2"/>
    <s v="Manager"/>
    <d v="2020-02-20T00:00:00"/>
    <x v="3"/>
    <s v="Missing"/>
    <s v="555-555-5555"/>
    <s v="Mid-Career"/>
    <n v="6"/>
    <s v="High"/>
    <x v="1"/>
    <n v="5"/>
  </r>
  <r>
    <s v="David"/>
    <x v="5"/>
    <n v="65000"/>
    <x v="0"/>
    <x v="0"/>
    <s v="Analyst"/>
    <d v="2020-01-15T00:00:00"/>
    <x v="2"/>
    <s v="user@domain.com"/>
    <s v="555-555-5555"/>
    <s v="Senior"/>
    <n v="6"/>
    <s v="Medium"/>
    <x v="1"/>
    <n v="3"/>
  </r>
  <r>
    <s v="Charlie"/>
    <x v="1"/>
    <n v="55000"/>
    <x v="0"/>
    <x v="0"/>
    <s v="Assistant"/>
    <d v="2019-03-25T00:00:00"/>
    <x v="3"/>
    <s v="name@company.org"/>
    <s v="123-456-7890"/>
    <s v="Mid-Career"/>
    <n v="6"/>
    <s v="Medium"/>
    <x v="2"/>
    <n v="5"/>
  </r>
  <r>
    <s v="Charlie"/>
    <x v="1"/>
    <n v="50000"/>
    <x v="0"/>
    <x v="0"/>
    <s v="Assistant"/>
    <d v="2020-02-20T00:00:00"/>
    <x v="1"/>
    <s v="name@company.org"/>
    <s v="Missing"/>
    <s v="Mid-Career"/>
    <n v="6"/>
    <s v="Low"/>
    <x v="1"/>
    <n v="1"/>
  </r>
  <r>
    <s v="David"/>
    <x v="1"/>
    <n v="55000"/>
    <x v="2"/>
    <x v="1"/>
    <s v="Assistant"/>
    <d v="2020-01-15T00:00:00"/>
    <x v="0"/>
    <s v="email@example.com"/>
    <s v="Missing"/>
    <s v="Mid-Career"/>
    <n v="6"/>
    <s v="Medium"/>
    <x v="1"/>
    <n v="2"/>
  </r>
  <r>
    <s v="Ivy"/>
    <x v="4"/>
    <s v=""/>
    <x v="2"/>
    <x v="1"/>
    <s v="Manager"/>
    <d v="2019-12-01T00:00:00"/>
    <x v="1"/>
    <s v="user@domain.com"/>
    <s v="555-555-5555"/>
    <s v="Mid-Career"/>
    <n v="6"/>
    <s v="High"/>
    <x v="2"/>
    <n v="1"/>
  </r>
  <r>
    <s v="Bob"/>
    <x v="1"/>
    <n v="65000"/>
    <x v="1"/>
    <x v="3"/>
    <s v="Director"/>
    <d v="2019-03-25T00:00:00"/>
    <x v="3"/>
    <s v="Missing"/>
    <s v="098-765-4321"/>
    <s v="Mid-Career"/>
    <n v="6"/>
    <s v="Medium"/>
    <x v="2"/>
    <n v="5"/>
  </r>
  <r>
    <s v="Ivy"/>
    <x v="2"/>
    <s v=""/>
    <x v="2"/>
    <x v="3"/>
    <s v="Analyst"/>
    <d v="2019-12-01T00:00:00"/>
    <x v="2"/>
    <s v="Missing"/>
    <s v="Missing"/>
    <s v="Mid-Career"/>
    <n v="6"/>
    <s v="High"/>
    <x v="2"/>
    <n v="3"/>
  </r>
  <r>
    <s v="Alice"/>
    <x v="0"/>
    <n v="65000"/>
    <x v="2"/>
    <x v="0"/>
    <s v="Assistant"/>
    <d v="2020-01-15T00:00:00"/>
    <x v="2"/>
    <s v="email@example.com"/>
    <s v="098-765-4321"/>
    <s v="Young"/>
    <n v="6"/>
    <s v="Medium"/>
    <x v="1"/>
    <n v="3"/>
  </r>
  <r>
    <s v="Alice"/>
    <x v="1"/>
    <n v="70000"/>
    <x v="0"/>
    <x v="2"/>
    <s v="Analyst"/>
    <d v="2019-12-01T00:00:00"/>
    <x v="0"/>
    <s v="Missing"/>
    <s v="Missing"/>
    <s v="Mid-Career"/>
    <n v="6"/>
    <s v="High"/>
    <x v="2"/>
    <n v="2"/>
  </r>
  <r>
    <s v="Eve"/>
    <x v="5"/>
    <n v="65000"/>
    <x v="0"/>
    <x v="3"/>
    <s v="Manager"/>
    <d v="2020-01-15T00:00:00"/>
    <x v="1"/>
    <s v="Missing"/>
    <s v="098-765-4321"/>
    <s v="Senior"/>
    <n v="6"/>
    <s v="Medium"/>
    <x v="1"/>
    <n v="1"/>
  </r>
  <r>
    <s v="Frank"/>
    <x v="0"/>
    <n v="60000"/>
    <x v="2"/>
    <x v="3"/>
    <s v="Director"/>
    <d v="2020-01-15T00:00:00"/>
    <x v="4"/>
    <s v="name@company.org"/>
    <s v="Missing"/>
    <s v="Young"/>
    <n v="6"/>
    <s v="Medium"/>
    <x v="1"/>
    <n v="4"/>
  </r>
  <r>
    <s v="Frank"/>
    <x v="4"/>
    <s v=""/>
    <x v="1"/>
    <x v="1"/>
    <s v="Manager"/>
    <d v="2019-12-01T00:00:00"/>
    <x v="1"/>
    <s v="name@company.org"/>
    <s v="098-765-4321"/>
    <s v="Mid-Career"/>
    <n v="6"/>
    <s v="High"/>
    <x v="2"/>
    <n v="1"/>
  </r>
  <r>
    <s v="Charlie"/>
    <x v="5"/>
    <n v="50000"/>
    <x v="0"/>
    <x v="2"/>
    <s v="Analyst"/>
    <d v="2020-01-15T00:00:00"/>
    <x v="3"/>
    <s v="user@domain.com"/>
    <s v="098-765-4321"/>
    <s v="Senior"/>
    <n v="6"/>
    <s v="Low"/>
    <x v="1"/>
    <n v="5"/>
  </r>
  <r>
    <s v="Grace"/>
    <x v="0"/>
    <n v="70000"/>
    <x v="2"/>
    <x v="0"/>
    <s v="Director"/>
    <d v="2020-02-20T00:00:00"/>
    <x v="4"/>
    <s v="Missing"/>
    <s v="098-765-4321"/>
    <s v="Young"/>
    <n v="6"/>
    <s v="High"/>
    <x v="1"/>
    <n v="4"/>
  </r>
  <r>
    <s v="Ivy"/>
    <x v="5"/>
    <n v="60000"/>
    <x v="2"/>
    <x v="3"/>
    <s v="Director"/>
    <d v="2020-01-15T00:00:00"/>
    <x v="2"/>
    <s v="name@company.org"/>
    <s v="098-765-4321"/>
    <s v="Senior"/>
    <n v="6"/>
    <s v="Medium"/>
    <x v="1"/>
    <n v="3"/>
  </r>
  <r>
    <s v="Jack"/>
    <x v="4"/>
    <n v="55000"/>
    <x v="1"/>
    <x v="2"/>
    <s v="Manager"/>
    <d v="2018-04-05T00:00:00"/>
    <x v="0"/>
    <s v="name@company.org"/>
    <s v="123-456-7890"/>
    <s v="Mid-Career"/>
    <n v="7"/>
    <s v="Medium"/>
    <x v="0"/>
    <n v="2"/>
  </r>
  <r>
    <s v="Hannah"/>
    <x v="2"/>
    <s v=""/>
    <x v="1"/>
    <x v="2"/>
    <s v="Assistant"/>
    <d v="2020-01-15T00:00:00"/>
    <x v="0"/>
    <s v="user@domain.com"/>
    <s v="Missing"/>
    <s v="Mid-Career"/>
    <n v="6"/>
    <s v="High"/>
    <x v="1"/>
    <n v="2"/>
  </r>
  <r>
    <s v="Frank"/>
    <x v="4"/>
    <n v="50000"/>
    <x v="0"/>
    <x v="0"/>
    <s v="Analyst"/>
    <d v="2018-04-05T00:00:00"/>
    <x v="2"/>
    <s v="Missing"/>
    <s v="Missing"/>
    <s v="Mid-Career"/>
    <n v="7"/>
    <s v="Low"/>
    <x v="0"/>
    <n v="3"/>
  </r>
  <r>
    <s v="Hannah"/>
    <x v="4"/>
    <n v="65000"/>
    <x v="1"/>
    <x v="2"/>
    <s v="Clerk"/>
    <d v="2020-01-15T00:00:00"/>
    <x v="3"/>
    <s v="name@company.org"/>
    <s v="Missing"/>
    <s v="Mid-Career"/>
    <n v="6"/>
    <s v="Medium"/>
    <x v="1"/>
    <n v="5"/>
  </r>
  <r>
    <s v="Eve"/>
    <x v="5"/>
    <n v="50000"/>
    <x v="2"/>
    <x v="2"/>
    <s v="Clerk"/>
    <d v="2020-01-15T00:00:00"/>
    <x v="2"/>
    <s v="email@example.com"/>
    <s v="123-456-7890"/>
    <s v="Senior"/>
    <n v="6"/>
    <s v="Low"/>
    <x v="1"/>
    <n v="3"/>
  </r>
  <r>
    <s v="Hannah"/>
    <x v="3"/>
    <n v="55000"/>
    <x v="2"/>
    <x v="2"/>
    <s v="Manager"/>
    <d v="2019-12-01T00:00:00"/>
    <x v="3"/>
    <s v="email@example.com"/>
    <s v="123-456-7890"/>
    <s v="Mid-Career"/>
    <n v="6"/>
    <s v="Medium"/>
    <x v="2"/>
    <n v="5"/>
  </r>
  <r>
    <s v="Jack"/>
    <x v="1"/>
    <n v="70000"/>
    <x v="1"/>
    <x v="3"/>
    <s v="Analyst"/>
    <d v="2020-02-20T00:00:00"/>
    <x v="4"/>
    <s v="Missing"/>
    <s v="123-456-7890"/>
    <s v="Mid-Career"/>
    <n v="6"/>
    <s v="High"/>
    <x v="1"/>
    <n v="4"/>
  </r>
  <r>
    <s v="David"/>
    <x v="1"/>
    <n v="70000"/>
    <x v="1"/>
    <x v="0"/>
    <s v="Analyst"/>
    <d v="2020-02-20T00:00:00"/>
    <x v="2"/>
    <s v="Missing"/>
    <s v="123-456-7890"/>
    <s v="Mid-Career"/>
    <n v="6"/>
    <s v="High"/>
    <x v="1"/>
    <n v="3"/>
  </r>
  <r>
    <s v="Jack"/>
    <x v="2"/>
    <s v=""/>
    <x v="1"/>
    <x v="2"/>
    <s v="Manager"/>
    <d v="2019-03-25T00:00:00"/>
    <x v="3"/>
    <s v="user@domain.com"/>
    <s v="098-765-4321"/>
    <s v="Mid-Career"/>
    <n v="6"/>
    <s v="High"/>
    <x v="2"/>
    <n v="5"/>
  </r>
  <r>
    <s v="Hannah"/>
    <x v="2"/>
    <n v="70000"/>
    <x v="1"/>
    <x v="2"/>
    <s v="Analyst"/>
    <d v="2019-12-01T00:00:00"/>
    <x v="4"/>
    <s v="email@example.com"/>
    <s v="Missing"/>
    <s v="Mid-Career"/>
    <n v="6"/>
    <s v="High"/>
    <x v="2"/>
    <n v="4"/>
  </r>
  <r>
    <s v="Jack"/>
    <x v="1"/>
    <s v=""/>
    <x v="0"/>
    <x v="3"/>
    <s v="Assistant"/>
    <d v="2019-12-01T00:00:00"/>
    <x v="2"/>
    <s v="email@example.com"/>
    <s v="555-555-5555"/>
    <s v="Mid-Career"/>
    <n v="6"/>
    <s v="High"/>
    <x v="2"/>
    <n v="3"/>
  </r>
  <r>
    <s v="Bob"/>
    <x v="3"/>
    <s v=""/>
    <x v="1"/>
    <x v="0"/>
    <s v="Manager"/>
    <d v="2020-02-20T00:00:00"/>
    <x v="0"/>
    <s v="Missing"/>
    <s v="Missing"/>
    <s v="Mid-Career"/>
    <n v="6"/>
    <s v="High"/>
    <x v="1"/>
    <n v="2"/>
  </r>
  <r>
    <s v="Eve"/>
    <x v="1"/>
    <s v=""/>
    <x v="0"/>
    <x v="1"/>
    <s v="Assistant"/>
    <d v="2019-12-01T00:00:00"/>
    <x v="2"/>
    <s v="Missing"/>
    <s v="123-456-7890"/>
    <s v="Mid-Career"/>
    <n v="6"/>
    <s v="High"/>
    <x v="2"/>
    <n v="3"/>
  </r>
  <r>
    <s v="Ivy"/>
    <x v="3"/>
    <n v="65000"/>
    <x v="2"/>
    <x v="3"/>
    <s v="Analyst"/>
    <d v="2020-02-20T00:00:00"/>
    <x v="1"/>
    <s v="Missing"/>
    <s v="Missing"/>
    <s v="Mid-Career"/>
    <n v="6"/>
    <s v="Medium"/>
    <x v="1"/>
    <n v="1"/>
  </r>
  <r>
    <s v="David"/>
    <x v="2"/>
    <n v="60000"/>
    <x v="1"/>
    <x v="0"/>
    <s v="Manager"/>
    <d v="2019-12-01T00:00:00"/>
    <x v="2"/>
    <s v="Missing"/>
    <s v="123-456-7890"/>
    <s v="Mid-Career"/>
    <n v="6"/>
    <s v="Medium"/>
    <x v="2"/>
    <n v="3"/>
  </r>
  <r>
    <s v="Frank"/>
    <x v="0"/>
    <s v=""/>
    <x v="0"/>
    <x v="2"/>
    <s v="Analyst"/>
    <d v="2020-01-15T00:00:00"/>
    <x v="1"/>
    <s v="email@example.com"/>
    <s v="123-456-7890"/>
    <s v="Young"/>
    <n v="6"/>
    <s v="High"/>
    <x v="1"/>
    <n v="1"/>
  </r>
  <r>
    <s v="Alice"/>
    <x v="5"/>
    <s v=""/>
    <x v="1"/>
    <x v="0"/>
    <s v="Manager"/>
    <d v="2020-02-20T00:00:00"/>
    <x v="4"/>
    <s v="user@domain.com"/>
    <s v="123-456-7890"/>
    <s v="Senior"/>
    <n v="6"/>
    <s v="High"/>
    <x v="1"/>
    <n v="4"/>
  </r>
  <r>
    <s v="Ivy"/>
    <x v="2"/>
    <n v="60000"/>
    <x v="2"/>
    <x v="0"/>
    <s v="Analyst"/>
    <d v="2020-02-20T00:00:00"/>
    <x v="2"/>
    <s v="email@example.com"/>
    <s v="123-456-7890"/>
    <s v="Mid-Career"/>
    <n v="6"/>
    <s v="Medium"/>
    <x v="1"/>
    <n v="3"/>
  </r>
  <r>
    <s v="Alice"/>
    <x v="2"/>
    <n v="50000"/>
    <x v="2"/>
    <x v="0"/>
    <s v="Assistant"/>
    <d v="2018-04-05T00:00:00"/>
    <x v="4"/>
    <s v="Missing"/>
    <s v="123-456-7890"/>
    <s v="Mid-Career"/>
    <n v="7"/>
    <s v="Low"/>
    <x v="0"/>
    <n v="4"/>
  </r>
  <r>
    <s v="Eve"/>
    <x v="4"/>
    <s v=""/>
    <x v="2"/>
    <x v="1"/>
    <s v="Assistant"/>
    <d v="2019-12-01T00:00:00"/>
    <x v="4"/>
    <s v="email@example.com"/>
    <s v="Missing"/>
    <s v="Mid-Career"/>
    <n v="6"/>
    <s v="High"/>
    <x v="2"/>
    <n v="4"/>
  </r>
  <r>
    <s v="David"/>
    <x v="4"/>
    <n v="65000"/>
    <x v="1"/>
    <x v="0"/>
    <s v="Analyst"/>
    <d v="2019-12-01T00:00:00"/>
    <x v="3"/>
    <s v="user@domain.com"/>
    <s v="Missing"/>
    <s v="Mid-Career"/>
    <n v="6"/>
    <s v="Medium"/>
    <x v="2"/>
    <n v="5"/>
  </r>
  <r>
    <s v="Charlie"/>
    <x v="4"/>
    <n v="70000"/>
    <x v="1"/>
    <x v="1"/>
    <s v="Manager"/>
    <d v="2020-02-20T00:00:00"/>
    <x v="4"/>
    <s v="name@company.org"/>
    <s v="123-456-7890"/>
    <s v="Mid-Career"/>
    <n v="6"/>
    <s v="High"/>
    <x v="1"/>
    <n v="4"/>
  </r>
  <r>
    <s v="Frank"/>
    <x v="5"/>
    <n v="70000"/>
    <x v="0"/>
    <x v="2"/>
    <s v="Clerk"/>
    <d v="2020-01-15T00:00:00"/>
    <x v="4"/>
    <s v="email@example.com"/>
    <s v="123-456-7890"/>
    <s v="Senior"/>
    <n v="6"/>
    <s v="High"/>
    <x v="1"/>
    <n v="4"/>
  </r>
  <r>
    <s v="Bob"/>
    <x v="4"/>
    <n v="55000"/>
    <x v="2"/>
    <x v="1"/>
    <s v="Assistant"/>
    <d v="2020-01-15T00:00:00"/>
    <x v="2"/>
    <s v="Missing"/>
    <s v="123-456-7890"/>
    <s v="Mid-Career"/>
    <n v="6"/>
    <s v="Medium"/>
    <x v="1"/>
    <n v="3"/>
  </r>
  <r>
    <s v="Charlie"/>
    <x v="3"/>
    <n v="55000"/>
    <x v="1"/>
    <x v="2"/>
    <s v="Assistant"/>
    <d v="2020-01-15T00:00:00"/>
    <x v="2"/>
    <s v="name@company.org"/>
    <s v="123-456-7890"/>
    <s v="Mid-Career"/>
    <n v="6"/>
    <s v="Medium"/>
    <x v="1"/>
    <n v="3"/>
  </r>
  <r>
    <s v="Eve"/>
    <x v="1"/>
    <n v="70000"/>
    <x v="2"/>
    <x v="2"/>
    <s v="Clerk"/>
    <d v="2019-12-01T00:00:00"/>
    <x v="0"/>
    <s v="Missing"/>
    <s v="098-765-4321"/>
    <s v="Mid-Career"/>
    <n v="6"/>
    <s v="High"/>
    <x v="2"/>
    <n v="2"/>
  </r>
  <r>
    <s v="Ivy"/>
    <x v="0"/>
    <n v="70000"/>
    <x v="2"/>
    <x v="1"/>
    <s v="Analyst"/>
    <d v="2018-04-05T00:00:00"/>
    <x v="3"/>
    <s v="Missing"/>
    <s v="098-765-4321"/>
    <s v="Young"/>
    <n v="7"/>
    <s v="High"/>
    <x v="0"/>
    <n v="5"/>
  </r>
  <r>
    <s v="Bob"/>
    <x v="2"/>
    <n v="65000"/>
    <x v="0"/>
    <x v="3"/>
    <s v="Manager"/>
    <d v="2020-02-20T00:00:00"/>
    <x v="4"/>
    <s v="Missing"/>
    <s v="555-555-5555"/>
    <s v="Mid-Career"/>
    <n v="6"/>
    <s v="Medium"/>
    <x v="1"/>
    <n v="4"/>
  </r>
  <r>
    <s v="Jack"/>
    <x v="3"/>
    <n v="60000"/>
    <x v="0"/>
    <x v="4"/>
    <s v="Analyst"/>
    <d v="2019-03-25T00:00:00"/>
    <x v="3"/>
    <s v="email@example.com"/>
    <s v="123-456-7890"/>
    <s v="Mid-Career"/>
    <n v="6"/>
    <s v="Medium"/>
    <x v="2"/>
    <n v="5"/>
  </r>
  <r>
    <s v="Hannah"/>
    <x v="0"/>
    <n v="55000"/>
    <x v="0"/>
    <x v="0"/>
    <s v="Director"/>
    <d v="2018-04-05T00:00:00"/>
    <x v="1"/>
    <s v="Missing"/>
    <s v="555-555-5555"/>
    <s v="Young"/>
    <n v="7"/>
    <s v="Medium"/>
    <x v="0"/>
    <n v="1"/>
  </r>
  <r>
    <s v="Bob"/>
    <x v="3"/>
    <n v="60000"/>
    <x v="0"/>
    <x v="4"/>
    <s v="Assistant"/>
    <d v="2019-03-25T00:00:00"/>
    <x v="4"/>
    <s v="name@company.org"/>
    <s v="Missing"/>
    <s v="Mid-Career"/>
    <n v="6"/>
    <s v="Medium"/>
    <x v="2"/>
    <n v="4"/>
  </r>
  <r>
    <s v="Eve"/>
    <x v="3"/>
    <n v="65000"/>
    <x v="2"/>
    <x v="0"/>
    <s v="Director"/>
    <d v="2018-04-05T00:00:00"/>
    <x v="3"/>
    <s v="user@domain.com"/>
    <s v="555-555-5555"/>
    <s v="Mid-Career"/>
    <n v="7"/>
    <s v="Medium"/>
    <x v="0"/>
    <n v="5"/>
  </r>
  <r>
    <s v="Grace"/>
    <x v="2"/>
    <n v="70000"/>
    <x v="0"/>
    <x v="0"/>
    <s v="Assistant"/>
    <d v="2020-01-15T00:00:00"/>
    <x v="0"/>
    <s v="Missing"/>
    <s v="Missing"/>
    <s v="Mid-Career"/>
    <n v="6"/>
    <s v="High"/>
    <x v="1"/>
    <n v="2"/>
  </r>
  <r>
    <s v="Hannah"/>
    <x v="1"/>
    <s v=""/>
    <x v="0"/>
    <x v="2"/>
    <s v="Assistant"/>
    <d v="2019-12-01T00:00:00"/>
    <x v="0"/>
    <s v="email@example.com"/>
    <s v="098-765-4321"/>
    <s v="Mid-Career"/>
    <n v="6"/>
    <s v="High"/>
    <x v="2"/>
    <n v="2"/>
  </r>
  <r>
    <s v="Alice"/>
    <x v="4"/>
    <n v="60000"/>
    <x v="0"/>
    <x v="0"/>
    <s v="Director"/>
    <d v="2019-03-25T00:00:00"/>
    <x v="4"/>
    <s v="Missing"/>
    <s v="098-765-4321"/>
    <s v="Mid-Career"/>
    <n v="6"/>
    <s v="Medium"/>
    <x v="2"/>
    <n v="4"/>
  </r>
  <r>
    <s v="Frank"/>
    <x v="5"/>
    <n v="70000"/>
    <x v="0"/>
    <x v="0"/>
    <s v="Director"/>
    <d v="2018-04-05T00:00:00"/>
    <x v="1"/>
    <s v="user@domain.com"/>
    <s v="123-456-7890"/>
    <s v="Senior"/>
    <n v="7"/>
    <s v="High"/>
    <x v="0"/>
    <n v="1"/>
  </r>
  <r>
    <s v="Alice"/>
    <x v="1"/>
    <n v="70000"/>
    <x v="2"/>
    <x v="1"/>
    <s v="Analyst"/>
    <d v="2019-12-01T00:00:00"/>
    <x v="0"/>
    <s v="name@company.org"/>
    <s v="123-456-7890"/>
    <s v="Mid-Career"/>
    <n v="6"/>
    <s v="High"/>
    <x v="2"/>
    <n v="2"/>
  </r>
  <r>
    <s v="Bob"/>
    <x v="5"/>
    <n v="50000"/>
    <x v="0"/>
    <x v="4"/>
    <s v="Director"/>
    <d v="2019-03-25T00:00:00"/>
    <x v="0"/>
    <s v="Missing"/>
    <s v="Missing"/>
    <s v="Senior"/>
    <n v="6"/>
    <s v="Low"/>
    <x v="2"/>
    <n v="2"/>
  </r>
  <r>
    <s v="Alice"/>
    <x v="2"/>
    <n v="60000"/>
    <x v="2"/>
    <x v="1"/>
    <s v="Analyst"/>
    <d v="2020-02-20T00:00:00"/>
    <x v="1"/>
    <s v="Missing"/>
    <s v="Missing"/>
    <s v="Mid-Career"/>
    <n v="6"/>
    <s v="Medium"/>
    <x v="1"/>
    <n v="1"/>
  </r>
  <r>
    <s v="Eve"/>
    <x v="2"/>
    <s v=""/>
    <x v="1"/>
    <x v="0"/>
    <s v="Analyst"/>
    <d v="2018-04-05T00:00:00"/>
    <x v="3"/>
    <s v="user@domain.com"/>
    <s v="Missing"/>
    <s v="Mid-Career"/>
    <n v="7"/>
    <s v="High"/>
    <x v="0"/>
    <n v="5"/>
  </r>
  <r>
    <s v="Jack"/>
    <x v="2"/>
    <n v="60000"/>
    <x v="2"/>
    <x v="2"/>
    <s v="Analyst"/>
    <d v="2020-02-20T00:00:00"/>
    <x v="0"/>
    <s v="email@example.com"/>
    <s v="123-456-7890"/>
    <s v="Mid-Career"/>
    <n v="6"/>
    <s v="Medium"/>
    <x v="1"/>
    <n v="2"/>
  </r>
  <r>
    <s v="Ivy"/>
    <x v="0"/>
    <n v="70000"/>
    <x v="2"/>
    <x v="1"/>
    <s v="Assistant"/>
    <d v="2020-01-15T00:00:00"/>
    <x v="2"/>
    <s v="name@company.org"/>
    <s v="123-456-7890"/>
    <s v="Young"/>
    <n v="6"/>
    <s v="High"/>
    <x v="1"/>
    <n v="3"/>
  </r>
  <r>
    <s v="Frank"/>
    <x v="5"/>
    <s v=""/>
    <x v="0"/>
    <x v="1"/>
    <s v="Assistant"/>
    <d v="2020-02-20T00:00:00"/>
    <x v="0"/>
    <s v="user@domain.com"/>
    <s v="Missing"/>
    <s v="Senior"/>
    <n v="6"/>
    <s v="High"/>
    <x v="1"/>
    <n v="2"/>
  </r>
  <r>
    <s v="Alice"/>
    <x v="1"/>
    <n v="65000"/>
    <x v="1"/>
    <x v="3"/>
    <s v="Director"/>
    <d v="2020-02-20T00:00:00"/>
    <x v="3"/>
    <s v="Missing"/>
    <s v="Missing"/>
    <s v="Mid-Career"/>
    <n v="6"/>
    <s v="Medium"/>
    <x v="1"/>
    <n v="5"/>
  </r>
  <r>
    <s v="Alice"/>
    <x v="1"/>
    <n v="50000"/>
    <x v="1"/>
    <x v="0"/>
    <s v="Assistant"/>
    <d v="2018-04-05T00:00:00"/>
    <x v="3"/>
    <s v="name@company.org"/>
    <s v="Missing"/>
    <s v="Mid-Career"/>
    <n v="7"/>
    <s v="Low"/>
    <x v="0"/>
    <n v="5"/>
  </r>
  <r>
    <s v="Bob"/>
    <x v="3"/>
    <n v="70000"/>
    <x v="1"/>
    <x v="2"/>
    <s v="Director"/>
    <d v="2020-01-15T00:00:00"/>
    <x v="4"/>
    <s v="Missing"/>
    <s v="098-765-4321"/>
    <s v="Mid-Career"/>
    <n v="6"/>
    <s v="High"/>
    <x v="1"/>
    <n v="4"/>
  </r>
  <r>
    <s v="Ivy"/>
    <x v="3"/>
    <n v="55000"/>
    <x v="1"/>
    <x v="1"/>
    <s v="Assistant"/>
    <d v="2020-02-20T00:00:00"/>
    <x v="2"/>
    <s v="user@domain.com"/>
    <s v="555-555-5555"/>
    <s v="Mid-Career"/>
    <n v="6"/>
    <s v="Medium"/>
    <x v="1"/>
    <n v="3"/>
  </r>
  <r>
    <s v="Charlie"/>
    <x v="3"/>
    <n v="55000"/>
    <x v="2"/>
    <x v="1"/>
    <s v="Manager"/>
    <d v="2019-12-01T00:00:00"/>
    <x v="3"/>
    <s v="Missing"/>
    <s v="555-555-5555"/>
    <s v="Mid-Career"/>
    <n v="6"/>
    <s v="Medium"/>
    <x v="2"/>
    <n v="5"/>
  </r>
  <r>
    <s v="Alice"/>
    <x v="2"/>
    <n v="50000"/>
    <x v="1"/>
    <x v="2"/>
    <s v="Manager"/>
    <d v="2019-03-25T00:00:00"/>
    <x v="1"/>
    <s v="Missing"/>
    <s v="123-456-7890"/>
    <s v="Mid-Career"/>
    <n v="6"/>
    <s v="Low"/>
    <x v="2"/>
    <n v="1"/>
  </r>
  <r>
    <s v="Eve"/>
    <x v="1"/>
    <n v="65000"/>
    <x v="2"/>
    <x v="0"/>
    <s v="Director"/>
    <d v="2020-02-20T00:00:00"/>
    <x v="2"/>
    <s v="Missing"/>
    <s v="098-765-4321"/>
    <s v="Mid-Career"/>
    <n v="6"/>
    <s v="Medium"/>
    <x v="1"/>
    <n v="3"/>
  </r>
  <r>
    <s v="Grace"/>
    <x v="5"/>
    <n v="70000"/>
    <x v="2"/>
    <x v="3"/>
    <s v="Assistant"/>
    <d v="2020-01-15T00:00:00"/>
    <x v="2"/>
    <s v="email@example.com"/>
    <s v="Missing"/>
    <s v="Senior"/>
    <n v="6"/>
    <s v="High"/>
    <x v="1"/>
    <n v="3"/>
  </r>
  <r>
    <s v="Frank"/>
    <x v="2"/>
    <n v="60000"/>
    <x v="2"/>
    <x v="1"/>
    <s v="Assistant"/>
    <d v="2020-02-20T00:00:00"/>
    <x v="1"/>
    <s v="Missing"/>
    <s v="123-456-7890"/>
    <s v="Mid-Career"/>
    <n v="6"/>
    <s v="Medium"/>
    <x v="1"/>
    <n v="1"/>
  </r>
  <r>
    <s v="Alice"/>
    <x v="0"/>
    <n v="50000"/>
    <x v="1"/>
    <x v="3"/>
    <s v="Analyst"/>
    <d v="2019-03-25T00:00:00"/>
    <x v="0"/>
    <s v="Missing"/>
    <s v="098-765-4321"/>
    <s v="Young"/>
    <n v="6"/>
    <s v="Low"/>
    <x v="2"/>
    <n v="2"/>
  </r>
  <r>
    <s v="Eve"/>
    <x v="3"/>
    <n v="65000"/>
    <x v="0"/>
    <x v="4"/>
    <s v="Clerk"/>
    <d v="2020-01-15T00:00:00"/>
    <x v="1"/>
    <s v="Missing"/>
    <s v="Missing"/>
    <s v="Mid-Career"/>
    <n v="6"/>
    <s v="Medium"/>
    <x v="1"/>
    <n v="1"/>
  </r>
  <r>
    <s v="Eve"/>
    <x v="2"/>
    <n v="60000"/>
    <x v="0"/>
    <x v="0"/>
    <s v="Director"/>
    <d v="2018-04-05T00:00:00"/>
    <x v="1"/>
    <s v="name@company.org"/>
    <s v="098-765-4321"/>
    <s v="Mid-Career"/>
    <n v="7"/>
    <s v="Medium"/>
    <x v="0"/>
    <n v="1"/>
  </r>
  <r>
    <s v="Frank"/>
    <x v="2"/>
    <n v="55000"/>
    <x v="1"/>
    <x v="4"/>
    <s v="Clerk"/>
    <d v="2020-01-15T00:00:00"/>
    <x v="0"/>
    <s v="Missing"/>
    <s v="123-456-7890"/>
    <s v="Mid-Career"/>
    <n v="6"/>
    <s v="Medium"/>
    <x v="1"/>
    <n v="2"/>
  </r>
  <r>
    <s v="Charlie"/>
    <x v="0"/>
    <n v="55000"/>
    <x v="0"/>
    <x v="4"/>
    <s v="Clerk"/>
    <d v="2018-04-05T00:00:00"/>
    <x v="0"/>
    <s v="Missing"/>
    <s v="555-555-5555"/>
    <s v="Young"/>
    <n v="7"/>
    <s v="Medium"/>
    <x v="0"/>
    <n v="2"/>
  </r>
  <r>
    <s v="Eve"/>
    <x v="4"/>
    <n v="60000"/>
    <x v="0"/>
    <x v="4"/>
    <s v="Director"/>
    <d v="2020-01-15T00:00:00"/>
    <x v="0"/>
    <s v="user@domain.com"/>
    <s v="Missing"/>
    <s v="Mid-Career"/>
    <n v="6"/>
    <s v="Medium"/>
    <x v="1"/>
    <n v="2"/>
  </r>
  <r>
    <s v="Grace"/>
    <x v="1"/>
    <n v="50000"/>
    <x v="2"/>
    <x v="0"/>
    <s v="Assistant"/>
    <d v="2019-03-25T00:00:00"/>
    <x v="0"/>
    <s v="email@example.com"/>
    <s v="Missing"/>
    <s v="Mid-Career"/>
    <n v="6"/>
    <s v="Low"/>
    <x v="2"/>
    <n v="2"/>
  </r>
  <r>
    <s v="Eve"/>
    <x v="5"/>
    <n v="55000"/>
    <x v="2"/>
    <x v="0"/>
    <s v="Director"/>
    <d v="2019-03-25T00:00:00"/>
    <x v="0"/>
    <s v="name@company.org"/>
    <s v="098-765-4321"/>
    <s v="Senior"/>
    <n v="6"/>
    <s v="Medium"/>
    <x v="2"/>
    <n v="2"/>
  </r>
  <r>
    <s v="Eve"/>
    <x v="4"/>
    <n v="70000"/>
    <x v="1"/>
    <x v="2"/>
    <s v="Clerk"/>
    <d v="2020-01-15T00:00:00"/>
    <x v="1"/>
    <s v="Missing"/>
    <s v="123-456-7890"/>
    <s v="Mid-Career"/>
    <n v="6"/>
    <s v="High"/>
    <x v="1"/>
    <n v="1"/>
  </r>
  <r>
    <s v="Eve"/>
    <x v="3"/>
    <s v=""/>
    <x v="1"/>
    <x v="3"/>
    <s v="Assistant"/>
    <d v="2020-02-20T00:00:00"/>
    <x v="4"/>
    <s v="user@domain.com"/>
    <s v="123-456-7890"/>
    <s v="Mid-Career"/>
    <n v="6"/>
    <s v="High"/>
    <x v="1"/>
    <n v="4"/>
  </r>
  <r>
    <s v="Jack"/>
    <x v="2"/>
    <n v="60000"/>
    <x v="0"/>
    <x v="3"/>
    <s v="Manager"/>
    <d v="2019-03-25T00:00:00"/>
    <x v="4"/>
    <s v="email@example.com"/>
    <s v="Missing"/>
    <s v="Mid-Career"/>
    <n v="6"/>
    <s v="Medium"/>
    <x v="2"/>
    <n v="4"/>
  </r>
  <r>
    <s v="Jack"/>
    <x v="0"/>
    <n v="60000"/>
    <x v="2"/>
    <x v="2"/>
    <s v="Director"/>
    <d v="2018-04-05T00:00:00"/>
    <x v="3"/>
    <s v="name@company.org"/>
    <s v="123-456-7890"/>
    <s v="Young"/>
    <n v="7"/>
    <s v="Medium"/>
    <x v="0"/>
    <n v="5"/>
  </r>
  <r>
    <s v="Charlie"/>
    <x v="0"/>
    <n v="55000"/>
    <x v="1"/>
    <x v="2"/>
    <s v="Director"/>
    <d v="2018-04-05T00:00:00"/>
    <x v="4"/>
    <s v="name@company.org"/>
    <s v="123-456-7890"/>
    <s v="Young"/>
    <n v="7"/>
    <s v="Medium"/>
    <x v="0"/>
    <n v="4"/>
  </r>
  <r>
    <s v="Alice"/>
    <x v="1"/>
    <n v="50000"/>
    <x v="1"/>
    <x v="4"/>
    <s v="Assistant"/>
    <d v="2019-12-01T00:00:00"/>
    <x v="4"/>
    <s v="Missing"/>
    <s v="Missing"/>
    <s v="Mid-Career"/>
    <n v="6"/>
    <s v="Low"/>
    <x v="2"/>
    <n v="4"/>
  </r>
  <r>
    <s v="Eve"/>
    <x v="4"/>
    <n v="70000"/>
    <x v="1"/>
    <x v="2"/>
    <s v="Manager"/>
    <d v="2018-04-05T00:00:00"/>
    <x v="1"/>
    <s v="name@company.org"/>
    <s v="Missing"/>
    <s v="Mid-Career"/>
    <n v="7"/>
    <s v="High"/>
    <x v="0"/>
    <n v="1"/>
  </r>
  <r>
    <s v="Ivy"/>
    <x v="1"/>
    <n v="50000"/>
    <x v="1"/>
    <x v="1"/>
    <s v="Manager"/>
    <d v="2019-12-01T00:00:00"/>
    <x v="0"/>
    <s v="user@domain.com"/>
    <s v="555-555-5555"/>
    <s v="Mid-Career"/>
    <n v="6"/>
    <s v="Low"/>
    <x v="2"/>
    <n v="2"/>
  </r>
  <r>
    <s v="Alice"/>
    <x v="2"/>
    <n v="65000"/>
    <x v="1"/>
    <x v="3"/>
    <s v="Assistant"/>
    <d v="2020-01-15T00:00:00"/>
    <x v="0"/>
    <s v="name@company.org"/>
    <s v="555-555-5555"/>
    <s v="Mid-Career"/>
    <n v="6"/>
    <s v="Medium"/>
    <x v="1"/>
    <n v="2"/>
  </r>
  <r>
    <s v="Charlie"/>
    <x v="1"/>
    <n v="65000"/>
    <x v="1"/>
    <x v="2"/>
    <s v="Analyst"/>
    <d v="2020-01-15T00:00:00"/>
    <x v="1"/>
    <s v="Missing"/>
    <s v="098-765-4321"/>
    <s v="Mid-Career"/>
    <n v="6"/>
    <s v="Medium"/>
    <x v="1"/>
    <n v="1"/>
  </r>
  <r>
    <s v="David"/>
    <x v="5"/>
    <s v=""/>
    <x v="0"/>
    <x v="1"/>
    <s v="Director"/>
    <d v="2020-01-15T00:00:00"/>
    <x v="4"/>
    <s v="user@domain.com"/>
    <s v="Missing"/>
    <s v="Senior"/>
    <n v="6"/>
    <s v="High"/>
    <x v="1"/>
    <n v="4"/>
  </r>
  <r>
    <s v="Alice"/>
    <x v="0"/>
    <n v="55000"/>
    <x v="2"/>
    <x v="1"/>
    <s v="Director"/>
    <d v="2020-02-20T00:00:00"/>
    <x v="1"/>
    <s v="email@example.com"/>
    <s v="098-765-4321"/>
    <s v="Young"/>
    <n v="6"/>
    <s v="Medium"/>
    <x v="1"/>
    <n v="1"/>
  </r>
  <r>
    <s v="Alice"/>
    <x v="0"/>
    <n v="55000"/>
    <x v="2"/>
    <x v="1"/>
    <s v="Clerk"/>
    <d v="2020-02-20T00:00:00"/>
    <x v="3"/>
    <s v="email@example.com"/>
    <s v="555-555-5555"/>
    <s v="Young"/>
    <n v="6"/>
    <s v="Medium"/>
    <x v="1"/>
    <n v="5"/>
  </r>
  <r>
    <s v="Hannah"/>
    <x v="3"/>
    <n v="55000"/>
    <x v="1"/>
    <x v="1"/>
    <s v="Assistant"/>
    <d v="2019-12-01T00:00:00"/>
    <x v="0"/>
    <s v="Missing"/>
    <s v="Missing"/>
    <s v="Mid-Career"/>
    <n v="6"/>
    <s v="Medium"/>
    <x v="2"/>
    <n v="2"/>
  </r>
  <r>
    <s v="Bob"/>
    <x v="3"/>
    <s v=""/>
    <x v="2"/>
    <x v="4"/>
    <s v="Clerk"/>
    <d v="2018-04-05T00:00:00"/>
    <x v="2"/>
    <s v="Missing"/>
    <s v="123-456-7890"/>
    <s v="Mid-Career"/>
    <n v="7"/>
    <s v="High"/>
    <x v="0"/>
    <n v="3"/>
  </r>
  <r>
    <s v="Hannah"/>
    <x v="2"/>
    <n v="65000"/>
    <x v="2"/>
    <x v="1"/>
    <s v="Clerk"/>
    <d v="2018-04-05T00:00:00"/>
    <x v="3"/>
    <s v="Missing"/>
    <s v="555-555-5555"/>
    <s v="Mid-Career"/>
    <n v="7"/>
    <s v="Medium"/>
    <x v="0"/>
    <n v="5"/>
  </r>
  <r>
    <s v="Grace"/>
    <x v="5"/>
    <n v="50000"/>
    <x v="2"/>
    <x v="4"/>
    <s v="Manager"/>
    <d v="2020-01-15T00:00:00"/>
    <x v="3"/>
    <s v="email@example.com"/>
    <s v="Missing"/>
    <s v="Senior"/>
    <n v="6"/>
    <s v="Low"/>
    <x v="1"/>
    <n v="5"/>
  </r>
  <r>
    <s v="Jack"/>
    <x v="4"/>
    <s v=""/>
    <x v="1"/>
    <x v="4"/>
    <s v="Director"/>
    <d v="2019-03-25T00:00:00"/>
    <x v="1"/>
    <s v="email@example.com"/>
    <s v="555-555-5555"/>
    <s v="Mid-Career"/>
    <n v="6"/>
    <s v="High"/>
    <x v="2"/>
    <n v="1"/>
  </r>
  <r>
    <s v="Jack"/>
    <x v="1"/>
    <s v=""/>
    <x v="1"/>
    <x v="1"/>
    <s v="Clerk"/>
    <d v="2020-02-20T00:00:00"/>
    <x v="4"/>
    <s v="email@example.com"/>
    <s v="Missing"/>
    <s v="Mid-Career"/>
    <n v="6"/>
    <s v="High"/>
    <x v="1"/>
    <n v="4"/>
  </r>
  <r>
    <s v="Bob"/>
    <x v="2"/>
    <n v="50000"/>
    <x v="2"/>
    <x v="3"/>
    <s v="Manager"/>
    <d v="2020-02-20T00:00:00"/>
    <x v="0"/>
    <s v="email@example.com"/>
    <s v="Missing"/>
    <s v="Mid-Career"/>
    <n v="6"/>
    <s v="Low"/>
    <x v="1"/>
    <n v="2"/>
  </r>
  <r>
    <s v="Frank"/>
    <x v="3"/>
    <n v="55000"/>
    <x v="2"/>
    <x v="1"/>
    <s v="Assistant"/>
    <d v="2020-01-15T00:00:00"/>
    <x v="2"/>
    <s v="name@company.org"/>
    <s v="Missing"/>
    <s v="Mid-Career"/>
    <n v="6"/>
    <s v="Medium"/>
    <x v="1"/>
    <n v="3"/>
  </r>
  <r>
    <s v="Frank"/>
    <x v="1"/>
    <n v="70000"/>
    <x v="1"/>
    <x v="1"/>
    <s v="Clerk"/>
    <d v="2020-02-20T00:00:00"/>
    <x v="3"/>
    <s v="user@domain.com"/>
    <s v="098-765-4321"/>
    <s v="Mid-Career"/>
    <n v="6"/>
    <s v="High"/>
    <x v="1"/>
    <n v="5"/>
  </r>
  <r>
    <s v="Charlie"/>
    <x v="3"/>
    <n v="50000"/>
    <x v="0"/>
    <x v="1"/>
    <s v="Director"/>
    <d v="2020-01-15T00:00:00"/>
    <x v="2"/>
    <s v="user@domain.com"/>
    <s v="Missing"/>
    <s v="Mid-Career"/>
    <n v="6"/>
    <s v="Low"/>
    <x v="1"/>
    <n v="3"/>
  </r>
  <r>
    <s v="Bob"/>
    <x v="1"/>
    <n v="65000"/>
    <x v="2"/>
    <x v="3"/>
    <s v="Clerk"/>
    <d v="2019-12-01T00:00:00"/>
    <x v="4"/>
    <s v="Missing"/>
    <s v="555-555-5555"/>
    <s v="Mid-Career"/>
    <n v="6"/>
    <s v="Medium"/>
    <x v="2"/>
    <n v="4"/>
  </r>
  <r>
    <s v="Alice"/>
    <x v="4"/>
    <n v="60000"/>
    <x v="0"/>
    <x v="0"/>
    <s v="Assistant"/>
    <d v="2018-04-05T00:00:00"/>
    <x v="4"/>
    <s v="name@company.org"/>
    <s v="Missing"/>
    <s v="Mid-Career"/>
    <n v="7"/>
    <s v="Medium"/>
    <x v="0"/>
    <n v="4"/>
  </r>
  <r>
    <s v="Frank"/>
    <x v="2"/>
    <n v="60000"/>
    <x v="2"/>
    <x v="0"/>
    <s v="Clerk"/>
    <d v="2019-03-25T00:00:00"/>
    <x v="2"/>
    <s v="email@example.com"/>
    <s v="123-456-7890"/>
    <s v="Mid-Career"/>
    <n v="6"/>
    <s v="Medium"/>
    <x v="2"/>
    <n v="3"/>
  </r>
  <r>
    <s v="Eve"/>
    <x v="1"/>
    <s v=""/>
    <x v="0"/>
    <x v="4"/>
    <s v="Director"/>
    <d v="2018-04-05T00:00:00"/>
    <x v="0"/>
    <s v="email@example.com"/>
    <s v="555-555-5555"/>
    <s v="Mid-Career"/>
    <n v="7"/>
    <s v="High"/>
    <x v="0"/>
    <n v="2"/>
  </r>
  <r>
    <s v="Ivy"/>
    <x v="5"/>
    <n v="60000"/>
    <x v="0"/>
    <x v="4"/>
    <s v="Manager"/>
    <d v="2018-04-05T00:00:00"/>
    <x v="4"/>
    <s v="Missing"/>
    <s v="Missing"/>
    <s v="Senior"/>
    <n v="7"/>
    <s v="Medium"/>
    <x v="0"/>
    <n v="4"/>
  </r>
  <r>
    <s v="Alice"/>
    <x v="0"/>
    <n v="70000"/>
    <x v="0"/>
    <x v="3"/>
    <s v="Director"/>
    <d v="2019-12-01T00:00:00"/>
    <x v="2"/>
    <s v="Missing"/>
    <s v="Missing"/>
    <s v="Young"/>
    <n v="6"/>
    <s v="High"/>
    <x v="2"/>
    <n v="3"/>
  </r>
  <r>
    <s v="Grace"/>
    <x v="5"/>
    <n v="55000"/>
    <x v="1"/>
    <x v="2"/>
    <s v="Manager"/>
    <d v="2020-02-20T00:00:00"/>
    <x v="3"/>
    <s v="Missing"/>
    <s v="123-456-7890"/>
    <s v="Senior"/>
    <n v="6"/>
    <s v="Medium"/>
    <x v="1"/>
    <n v="5"/>
  </r>
  <r>
    <s v="Eve"/>
    <x v="5"/>
    <n v="65000"/>
    <x v="0"/>
    <x v="0"/>
    <s v="Analyst"/>
    <d v="2019-03-25T00:00:00"/>
    <x v="2"/>
    <s v="email@example.com"/>
    <s v="Missing"/>
    <s v="Senior"/>
    <n v="6"/>
    <s v="Medium"/>
    <x v="2"/>
    <n v="3"/>
  </r>
  <r>
    <s v="Eve"/>
    <x v="0"/>
    <n v="70000"/>
    <x v="0"/>
    <x v="4"/>
    <s v="Director"/>
    <d v="2020-02-20T00:00:00"/>
    <x v="2"/>
    <s v="Missing"/>
    <s v="555-555-5555"/>
    <s v="Young"/>
    <n v="6"/>
    <s v="High"/>
    <x v="1"/>
    <n v="3"/>
  </r>
  <r>
    <s v="Bob"/>
    <x v="5"/>
    <n v="65000"/>
    <x v="0"/>
    <x v="0"/>
    <s v="Director"/>
    <d v="2018-04-05T00:00:00"/>
    <x v="1"/>
    <s v="name@company.org"/>
    <s v="555-555-5555"/>
    <s v="Senior"/>
    <n v="7"/>
    <s v="Medium"/>
    <x v="0"/>
    <n v="1"/>
  </r>
  <r>
    <s v="Charlie"/>
    <x v="1"/>
    <n v="65000"/>
    <x v="2"/>
    <x v="3"/>
    <s v="Assistant"/>
    <d v="2020-01-15T00:00:00"/>
    <x v="4"/>
    <s v="user@domain.com"/>
    <s v="123-456-7890"/>
    <s v="Mid-Career"/>
    <n v="6"/>
    <s v="Medium"/>
    <x v="1"/>
    <n v="4"/>
  </r>
  <r>
    <s v="Grace"/>
    <x v="1"/>
    <n v="55000"/>
    <x v="0"/>
    <x v="3"/>
    <s v="Clerk"/>
    <d v="2018-04-05T00:00:00"/>
    <x v="0"/>
    <s v="email@example.com"/>
    <s v="Missing"/>
    <s v="Mid-Career"/>
    <n v="7"/>
    <s v="Medium"/>
    <x v="0"/>
    <n v="2"/>
  </r>
  <r>
    <s v="Frank"/>
    <x v="1"/>
    <s v=""/>
    <x v="2"/>
    <x v="2"/>
    <s v="Manager"/>
    <d v="2020-02-20T00:00:00"/>
    <x v="0"/>
    <s v="name@company.org"/>
    <s v="555-555-5555"/>
    <s v="Mid-Career"/>
    <n v="6"/>
    <s v="High"/>
    <x v="1"/>
    <n v="2"/>
  </r>
  <r>
    <s v="Bob"/>
    <x v="0"/>
    <n v="60000"/>
    <x v="0"/>
    <x v="2"/>
    <s v="Manager"/>
    <d v="2018-04-05T00:00:00"/>
    <x v="1"/>
    <s v="email@example.com"/>
    <s v="555-555-5555"/>
    <s v="Young"/>
    <n v="7"/>
    <s v="Medium"/>
    <x v="0"/>
    <n v="1"/>
  </r>
  <r>
    <s v="Frank"/>
    <x v="5"/>
    <n v="55000"/>
    <x v="0"/>
    <x v="3"/>
    <s v="Assistant"/>
    <d v="2020-01-15T00:00:00"/>
    <x v="0"/>
    <s v="Missing"/>
    <s v="555-555-5555"/>
    <s v="Senior"/>
    <n v="6"/>
    <s v="Medium"/>
    <x v="1"/>
    <n v="2"/>
  </r>
  <r>
    <s v="Bob"/>
    <x v="0"/>
    <n v="70000"/>
    <x v="1"/>
    <x v="4"/>
    <s v="Assistant"/>
    <d v="2019-12-01T00:00:00"/>
    <x v="2"/>
    <s v="Missing"/>
    <s v="Missing"/>
    <s v="Young"/>
    <n v="6"/>
    <s v="High"/>
    <x v="2"/>
    <n v="3"/>
  </r>
  <r>
    <s v="Bob"/>
    <x v="1"/>
    <s v=""/>
    <x v="2"/>
    <x v="0"/>
    <s v="Clerk"/>
    <d v="2020-02-20T00:00:00"/>
    <x v="1"/>
    <s v="Missing"/>
    <s v="123-456-7890"/>
    <s v="Mid-Career"/>
    <n v="6"/>
    <s v="High"/>
    <x v="1"/>
    <n v="1"/>
  </r>
  <r>
    <s v="Bob"/>
    <x v="5"/>
    <n v="70000"/>
    <x v="0"/>
    <x v="1"/>
    <s v="Clerk"/>
    <d v="2018-04-05T00:00:00"/>
    <x v="3"/>
    <s v="user@domain.com"/>
    <s v="555-555-5555"/>
    <s v="Senior"/>
    <n v="7"/>
    <s v="High"/>
    <x v="0"/>
    <n v="5"/>
  </r>
  <r>
    <s v="Charlie"/>
    <x v="5"/>
    <s v=""/>
    <x v="2"/>
    <x v="2"/>
    <s v="Director"/>
    <d v="2020-02-20T00:00:00"/>
    <x v="4"/>
    <s v="Missing"/>
    <s v="Missing"/>
    <s v="Senior"/>
    <n v="6"/>
    <s v="High"/>
    <x v="1"/>
    <n v="4"/>
  </r>
  <r>
    <s v="Bob"/>
    <x v="3"/>
    <n v="70000"/>
    <x v="2"/>
    <x v="1"/>
    <s v="Analyst"/>
    <d v="2019-12-01T00:00:00"/>
    <x v="4"/>
    <s v="email@example.com"/>
    <s v="Missing"/>
    <s v="Mid-Career"/>
    <n v="6"/>
    <s v="High"/>
    <x v="2"/>
    <n v="4"/>
  </r>
  <r>
    <s v="David"/>
    <x v="3"/>
    <n v="55000"/>
    <x v="1"/>
    <x v="4"/>
    <s v="Clerk"/>
    <d v="2018-04-05T00:00:00"/>
    <x v="4"/>
    <s v="Missing"/>
    <s v="098-765-4321"/>
    <s v="Mid-Career"/>
    <n v="7"/>
    <s v="Medium"/>
    <x v="0"/>
    <n v="4"/>
  </r>
  <r>
    <s v="Ivy"/>
    <x v="4"/>
    <s v=""/>
    <x v="1"/>
    <x v="2"/>
    <s v="Assistant"/>
    <d v="2018-04-05T00:00:00"/>
    <x v="2"/>
    <s v="email@example.com"/>
    <s v="123-456-7890"/>
    <s v="Mid-Career"/>
    <n v="7"/>
    <s v="High"/>
    <x v="0"/>
    <n v="3"/>
  </r>
  <r>
    <s v="Frank"/>
    <x v="2"/>
    <s v=""/>
    <x v="1"/>
    <x v="1"/>
    <s v="Clerk"/>
    <d v="2020-02-20T00:00:00"/>
    <x v="3"/>
    <s v="user@domain.com"/>
    <s v="Missing"/>
    <s v="Mid-Career"/>
    <n v="6"/>
    <s v="High"/>
    <x v="1"/>
    <n v="5"/>
  </r>
  <r>
    <s v="Alice"/>
    <x v="3"/>
    <n v="65000"/>
    <x v="1"/>
    <x v="4"/>
    <s v="Manager"/>
    <d v="2020-02-20T00:00:00"/>
    <x v="1"/>
    <s v="Missing"/>
    <s v="555-555-5555"/>
    <s v="Mid-Career"/>
    <n v="6"/>
    <s v="Medium"/>
    <x v="1"/>
    <n v="1"/>
  </r>
  <r>
    <s v="Hannah"/>
    <x v="0"/>
    <n v="65000"/>
    <x v="1"/>
    <x v="0"/>
    <s v="Analyst"/>
    <d v="2020-01-15T00:00:00"/>
    <x v="1"/>
    <s v="Missing"/>
    <s v="098-765-4321"/>
    <s v="Young"/>
    <n v="6"/>
    <s v="Medium"/>
    <x v="1"/>
    <n v="1"/>
  </r>
  <r>
    <s v="Grace"/>
    <x v="3"/>
    <n v="50000"/>
    <x v="1"/>
    <x v="4"/>
    <s v="Director"/>
    <d v="2019-12-01T00:00:00"/>
    <x v="4"/>
    <s v="Missing"/>
    <s v="123-456-7890"/>
    <s v="Mid-Career"/>
    <n v="6"/>
    <s v="Low"/>
    <x v="2"/>
    <n v="4"/>
  </r>
  <r>
    <s v="Jack"/>
    <x v="4"/>
    <n v="70000"/>
    <x v="1"/>
    <x v="2"/>
    <s v="Manager"/>
    <d v="2020-01-15T00:00:00"/>
    <x v="3"/>
    <s v="Missing"/>
    <s v="Missing"/>
    <s v="Mid-Career"/>
    <n v="6"/>
    <s v="High"/>
    <x v="1"/>
    <n v="5"/>
  </r>
  <r>
    <s v="Charlie"/>
    <x v="5"/>
    <n v="65000"/>
    <x v="1"/>
    <x v="3"/>
    <s v="Manager"/>
    <d v="2018-04-05T00:00:00"/>
    <x v="3"/>
    <s v="Missing"/>
    <s v="098-765-4321"/>
    <s v="Senior"/>
    <n v="7"/>
    <s v="Medium"/>
    <x v="0"/>
    <n v="5"/>
  </r>
  <r>
    <s v="Alice"/>
    <x v="4"/>
    <n v="50000"/>
    <x v="0"/>
    <x v="0"/>
    <s v="Analyst"/>
    <d v="2020-02-20T00:00:00"/>
    <x v="3"/>
    <s v="Missing"/>
    <s v="098-765-4321"/>
    <s v="Mid-Career"/>
    <n v="6"/>
    <s v="Low"/>
    <x v="1"/>
    <n v="5"/>
  </r>
  <r>
    <s v="Eve"/>
    <x v="5"/>
    <n v="65000"/>
    <x v="2"/>
    <x v="1"/>
    <s v="Director"/>
    <d v="2018-04-05T00:00:00"/>
    <x v="0"/>
    <s v="Missing"/>
    <s v="Missing"/>
    <s v="Senior"/>
    <n v="7"/>
    <s v="Medium"/>
    <x v="0"/>
    <n v="2"/>
  </r>
  <r>
    <s v="David"/>
    <x v="5"/>
    <n v="70000"/>
    <x v="1"/>
    <x v="2"/>
    <s v="Assistant"/>
    <d v="2018-04-05T00:00:00"/>
    <x v="0"/>
    <s v="email@example.com"/>
    <s v="123-456-7890"/>
    <s v="Senior"/>
    <n v="7"/>
    <s v="High"/>
    <x v="0"/>
    <n v="2"/>
  </r>
  <r>
    <s v="Jack"/>
    <x v="2"/>
    <s v=""/>
    <x v="1"/>
    <x v="3"/>
    <s v="Director"/>
    <d v="2019-03-25T00:00:00"/>
    <x v="4"/>
    <s v="user@domain.com"/>
    <s v="Missing"/>
    <s v="Mid-Career"/>
    <n v="6"/>
    <s v="High"/>
    <x v="2"/>
    <n v="4"/>
  </r>
  <r>
    <s v="Hannah"/>
    <x v="3"/>
    <n v="60000"/>
    <x v="2"/>
    <x v="4"/>
    <s v="Clerk"/>
    <d v="2019-03-25T00:00:00"/>
    <x v="3"/>
    <s v="Missing"/>
    <s v="Missing"/>
    <s v="Mid-Career"/>
    <n v="6"/>
    <s v="Medium"/>
    <x v="2"/>
    <n v="5"/>
  </r>
  <r>
    <s v="Alice"/>
    <x v="0"/>
    <n v="70000"/>
    <x v="0"/>
    <x v="3"/>
    <s v="Manager"/>
    <d v="2018-04-05T00:00:00"/>
    <x v="3"/>
    <s v="email@example.com"/>
    <s v="555-555-5555"/>
    <s v="Young"/>
    <n v="7"/>
    <s v="High"/>
    <x v="0"/>
    <n v="5"/>
  </r>
  <r>
    <s v="Jack"/>
    <x v="0"/>
    <n v="55000"/>
    <x v="2"/>
    <x v="2"/>
    <s v="Clerk"/>
    <d v="2020-02-20T00:00:00"/>
    <x v="1"/>
    <s v="Missing"/>
    <s v="Missing"/>
    <s v="Young"/>
    <n v="6"/>
    <s v="Medium"/>
    <x v="1"/>
    <n v="1"/>
  </r>
  <r>
    <s v="Alice"/>
    <x v="1"/>
    <n v="65000"/>
    <x v="2"/>
    <x v="2"/>
    <s v="Assistant"/>
    <d v="2018-04-05T00:00:00"/>
    <x v="1"/>
    <s v="email@example.com"/>
    <s v="098-765-4321"/>
    <s v="Mid-Career"/>
    <n v="7"/>
    <s v="Medium"/>
    <x v="0"/>
    <n v="1"/>
  </r>
  <r>
    <s v="David"/>
    <x v="5"/>
    <n v="65000"/>
    <x v="1"/>
    <x v="3"/>
    <s v="Clerk"/>
    <d v="2019-03-25T00:00:00"/>
    <x v="4"/>
    <s v="Missing"/>
    <s v="123-456-7890"/>
    <s v="Senior"/>
    <n v="6"/>
    <s v="Medium"/>
    <x v="2"/>
    <n v="4"/>
  </r>
  <r>
    <s v="Hannah"/>
    <x v="0"/>
    <s v=""/>
    <x v="2"/>
    <x v="4"/>
    <s v="Director"/>
    <d v="2020-02-20T00:00:00"/>
    <x v="3"/>
    <s v="Missing"/>
    <s v="Missing"/>
    <s v="Young"/>
    <n v="6"/>
    <s v="High"/>
    <x v="1"/>
    <n v="5"/>
  </r>
  <r>
    <s v="Eve"/>
    <x v="2"/>
    <n v="55000"/>
    <x v="2"/>
    <x v="3"/>
    <s v="Clerk"/>
    <d v="2018-04-05T00:00:00"/>
    <x v="4"/>
    <s v="Missing"/>
    <s v="Missing"/>
    <s v="Mid-Career"/>
    <n v="7"/>
    <s v="Medium"/>
    <x v="0"/>
    <n v="4"/>
  </r>
  <r>
    <s v="Bob"/>
    <x v="5"/>
    <s v=""/>
    <x v="1"/>
    <x v="2"/>
    <s v="Assistant"/>
    <d v="2019-12-01T00:00:00"/>
    <x v="1"/>
    <s v="Missing"/>
    <s v="123-456-7890"/>
    <s v="Senior"/>
    <n v="6"/>
    <s v="High"/>
    <x v="2"/>
    <n v="1"/>
  </r>
  <r>
    <s v="Frank"/>
    <x v="2"/>
    <n v="55000"/>
    <x v="1"/>
    <x v="2"/>
    <s v="Assistant"/>
    <d v="2019-12-01T00:00:00"/>
    <x v="1"/>
    <s v="name@company.org"/>
    <s v="Missing"/>
    <s v="Mid-Career"/>
    <n v="6"/>
    <s v="Medium"/>
    <x v="2"/>
    <n v="1"/>
  </r>
  <r>
    <s v="Eve"/>
    <x v="0"/>
    <n v="60000"/>
    <x v="1"/>
    <x v="1"/>
    <s v="Assistant"/>
    <d v="2018-04-05T00:00:00"/>
    <x v="0"/>
    <s v="email@example.com"/>
    <s v="555-555-5555"/>
    <s v="Young"/>
    <n v="7"/>
    <s v="Medium"/>
    <x v="0"/>
    <n v="2"/>
  </r>
  <r>
    <s v="Bob"/>
    <x v="0"/>
    <n v="65000"/>
    <x v="1"/>
    <x v="1"/>
    <s v="Director"/>
    <d v="2020-02-20T00:00:00"/>
    <x v="4"/>
    <s v="name@company.org"/>
    <s v="Missing"/>
    <s v="Young"/>
    <n v="6"/>
    <s v="Medium"/>
    <x v="1"/>
    <n v="4"/>
  </r>
  <r>
    <s v="Charlie"/>
    <x v="1"/>
    <n v="65000"/>
    <x v="2"/>
    <x v="0"/>
    <s v="Assistant"/>
    <d v="2018-04-05T00:00:00"/>
    <x v="4"/>
    <s v="email@example.com"/>
    <s v="555-555-5555"/>
    <s v="Mid-Career"/>
    <n v="7"/>
    <s v="Medium"/>
    <x v="0"/>
    <n v="4"/>
  </r>
  <r>
    <s v="Ivy"/>
    <x v="0"/>
    <n v="60000"/>
    <x v="2"/>
    <x v="2"/>
    <s v="Manager"/>
    <d v="2018-04-05T00:00:00"/>
    <x v="3"/>
    <s v="user@domain.com"/>
    <s v="098-765-4321"/>
    <s v="Young"/>
    <n v="7"/>
    <s v="Medium"/>
    <x v="0"/>
    <n v="5"/>
  </r>
  <r>
    <s v="Grace"/>
    <x v="5"/>
    <n v="50000"/>
    <x v="0"/>
    <x v="1"/>
    <s v="Assistant"/>
    <d v="2019-03-25T00:00:00"/>
    <x v="3"/>
    <s v="Missing"/>
    <s v="098-765-4321"/>
    <s v="Senior"/>
    <n v="6"/>
    <s v="Low"/>
    <x v="2"/>
    <n v="5"/>
  </r>
  <r>
    <s v="Grace"/>
    <x v="5"/>
    <s v=""/>
    <x v="0"/>
    <x v="3"/>
    <s v="Clerk"/>
    <d v="2019-12-01T00:00:00"/>
    <x v="0"/>
    <s v="user@domain.com"/>
    <s v="Missing"/>
    <s v="Senior"/>
    <n v="6"/>
    <s v="High"/>
    <x v="2"/>
    <n v="2"/>
  </r>
  <r>
    <s v="Frank"/>
    <x v="5"/>
    <n v="60000"/>
    <x v="2"/>
    <x v="4"/>
    <s v="Clerk"/>
    <d v="2019-03-25T00:00:00"/>
    <x v="2"/>
    <s v="user@domain.com"/>
    <s v="555-555-5555"/>
    <s v="Senior"/>
    <n v="6"/>
    <s v="Medium"/>
    <x v="2"/>
    <n v="3"/>
  </r>
  <r>
    <s v="Hannah"/>
    <x v="1"/>
    <s v=""/>
    <x v="0"/>
    <x v="3"/>
    <s v="Clerk"/>
    <d v="2019-03-25T00:00:00"/>
    <x v="2"/>
    <s v="email@example.com"/>
    <s v="098-765-4321"/>
    <s v="Mid-Career"/>
    <n v="6"/>
    <s v="High"/>
    <x v="2"/>
    <n v="3"/>
  </r>
  <r>
    <s v="David"/>
    <x v="1"/>
    <n v="70000"/>
    <x v="2"/>
    <x v="4"/>
    <s v="Director"/>
    <d v="2018-04-05T00:00:00"/>
    <x v="2"/>
    <s v="name@company.org"/>
    <s v="Missing"/>
    <s v="Mid-Career"/>
    <n v="7"/>
    <s v="High"/>
    <x v="0"/>
    <n v="3"/>
  </r>
  <r>
    <s v="Hannah"/>
    <x v="0"/>
    <n v="65000"/>
    <x v="0"/>
    <x v="1"/>
    <s v="Clerk"/>
    <d v="2019-03-25T00:00:00"/>
    <x v="4"/>
    <s v="Missing"/>
    <s v="123-456-7890"/>
    <s v="Young"/>
    <n v="6"/>
    <s v="Medium"/>
    <x v="2"/>
    <n v="4"/>
  </r>
  <r>
    <s v="David"/>
    <x v="4"/>
    <s v=""/>
    <x v="1"/>
    <x v="0"/>
    <s v="Director"/>
    <d v="2019-12-01T00:00:00"/>
    <x v="4"/>
    <s v="email@example.com"/>
    <s v="123-456-7890"/>
    <s v="Mid-Career"/>
    <n v="6"/>
    <s v="High"/>
    <x v="2"/>
    <n v="4"/>
  </r>
  <r>
    <s v="Hannah"/>
    <x v="4"/>
    <n v="55000"/>
    <x v="0"/>
    <x v="3"/>
    <s v="Director"/>
    <d v="2019-03-25T00:00:00"/>
    <x v="1"/>
    <s v="Missing"/>
    <s v="555-555-5555"/>
    <s v="Mid-Career"/>
    <n v="6"/>
    <s v="Medium"/>
    <x v="2"/>
    <n v="1"/>
  </r>
  <r>
    <s v="Ivy"/>
    <x v="1"/>
    <s v=""/>
    <x v="1"/>
    <x v="3"/>
    <s v="Assistant"/>
    <d v="2019-12-01T00:00:00"/>
    <x v="4"/>
    <s v="user@domain.com"/>
    <s v="Missing"/>
    <s v="Mid-Career"/>
    <n v="6"/>
    <s v="High"/>
    <x v="2"/>
    <n v="4"/>
  </r>
  <r>
    <s v="Charlie"/>
    <x v="0"/>
    <n v="70000"/>
    <x v="1"/>
    <x v="3"/>
    <s v="Manager"/>
    <d v="2019-03-25T00:00:00"/>
    <x v="4"/>
    <s v="Missing"/>
    <s v="Missing"/>
    <s v="Young"/>
    <n v="6"/>
    <s v="High"/>
    <x v="2"/>
    <n v="4"/>
  </r>
  <r>
    <s v="Charlie"/>
    <x v="4"/>
    <n v="65000"/>
    <x v="1"/>
    <x v="4"/>
    <s v="Assistant"/>
    <d v="2019-12-01T00:00:00"/>
    <x v="4"/>
    <s v="name@company.org"/>
    <s v="555-555-5555"/>
    <s v="Mid-Career"/>
    <n v="6"/>
    <s v="Medium"/>
    <x v="2"/>
    <n v="4"/>
  </r>
  <r>
    <s v="Bob"/>
    <x v="0"/>
    <n v="60000"/>
    <x v="1"/>
    <x v="1"/>
    <s v="Assistant"/>
    <d v="2019-03-25T00:00:00"/>
    <x v="0"/>
    <s v="email@example.com"/>
    <s v="123-456-7890"/>
    <s v="Young"/>
    <n v="6"/>
    <s v="Medium"/>
    <x v="2"/>
    <n v="2"/>
  </r>
  <r>
    <s v="Jack"/>
    <x v="0"/>
    <n v="70000"/>
    <x v="0"/>
    <x v="3"/>
    <s v="Director"/>
    <d v="2019-03-25T00:00:00"/>
    <x v="4"/>
    <s v="name@company.org"/>
    <s v="555-555-5555"/>
    <s v="Young"/>
    <n v="6"/>
    <s v="High"/>
    <x v="2"/>
    <n v="4"/>
  </r>
  <r>
    <s v="Charlie"/>
    <x v="0"/>
    <n v="65000"/>
    <x v="2"/>
    <x v="3"/>
    <s v="Director"/>
    <d v="2020-02-20T00:00:00"/>
    <x v="3"/>
    <s v="name@company.org"/>
    <s v="Missing"/>
    <s v="Young"/>
    <n v="6"/>
    <s v="Medium"/>
    <x v="1"/>
    <n v="5"/>
  </r>
  <r>
    <s v="Charlie"/>
    <x v="3"/>
    <s v=""/>
    <x v="1"/>
    <x v="0"/>
    <s v="Clerk"/>
    <d v="2019-12-01T00:00:00"/>
    <x v="3"/>
    <s v="email@example.com"/>
    <s v="098-765-4321"/>
    <s v="Mid-Career"/>
    <n v="6"/>
    <s v="High"/>
    <x v="2"/>
    <n v="5"/>
  </r>
  <r>
    <s v="Eve"/>
    <x v="5"/>
    <n v="50000"/>
    <x v="0"/>
    <x v="0"/>
    <s v="Clerk"/>
    <d v="2019-12-01T00:00:00"/>
    <x v="1"/>
    <s v="name@company.org"/>
    <s v="Missing"/>
    <s v="Senior"/>
    <n v="6"/>
    <s v="Low"/>
    <x v="2"/>
    <n v="1"/>
  </r>
  <r>
    <s v="Eve"/>
    <x v="0"/>
    <n v="50000"/>
    <x v="1"/>
    <x v="1"/>
    <s v="Assistant"/>
    <d v="2019-12-01T00:00:00"/>
    <x v="0"/>
    <s v="Missing"/>
    <s v="098-765-4321"/>
    <s v="Young"/>
    <n v="6"/>
    <s v="Low"/>
    <x v="2"/>
    <n v="2"/>
  </r>
  <r>
    <s v="Bob"/>
    <x v="3"/>
    <n v="55000"/>
    <x v="0"/>
    <x v="1"/>
    <s v="Analyst"/>
    <d v="2020-01-15T00:00:00"/>
    <x v="3"/>
    <s v="Missing"/>
    <s v="098-765-4321"/>
    <s v="Mid-Career"/>
    <n v="6"/>
    <s v="Medium"/>
    <x v="1"/>
    <n v="5"/>
  </r>
  <r>
    <s v="Jack"/>
    <x v="1"/>
    <n v="65000"/>
    <x v="0"/>
    <x v="2"/>
    <s v="Analyst"/>
    <d v="2019-03-25T00:00:00"/>
    <x v="0"/>
    <s v="Missing"/>
    <s v="098-765-4321"/>
    <s v="Mid-Career"/>
    <n v="6"/>
    <s v="Medium"/>
    <x v="2"/>
    <n v="2"/>
  </r>
  <r>
    <s v="Frank"/>
    <x v="4"/>
    <n v="50000"/>
    <x v="0"/>
    <x v="0"/>
    <s v="Clerk"/>
    <d v="2019-12-01T00:00:00"/>
    <x v="0"/>
    <s v="Missing"/>
    <s v="555-555-5555"/>
    <s v="Mid-Career"/>
    <n v="6"/>
    <s v="Low"/>
    <x v="2"/>
    <n v="2"/>
  </r>
  <r>
    <s v="Eve"/>
    <x v="5"/>
    <n v="60000"/>
    <x v="2"/>
    <x v="2"/>
    <s v="Analyst"/>
    <d v="2020-01-15T00:00:00"/>
    <x v="1"/>
    <s v="name@company.org"/>
    <s v="123-456-7890"/>
    <s v="Senior"/>
    <n v="6"/>
    <s v="Medium"/>
    <x v="1"/>
    <n v="1"/>
  </r>
  <r>
    <s v="Frank"/>
    <x v="4"/>
    <n v="65000"/>
    <x v="0"/>
    <x v="4"/>
    <s v="Clerk"/>
    <d v="2020-02-20T00:00:00"/>
    <x v="0"/>
    <s v="email@example.com"/>
    <s v="555-555-5555"/>
    <s v="Mid-Career"/>
    <n v="6"/>
    <s v="Medium"/>
    <x v="1"/>
    <n v="2"/>
  </r>
  <r>
    <s v="Alice"/>
    <x v="5"/>
    <n v="60000"/>
    <x v="0"/>
    <x v="2"/>
    <s v="Director"/>
    <d v="2019-12-01T00:00:00"/>
    <x v="4"/>
    <s v="email@example.com"/>
    <s v="123-456-7890"/>
    <s v="Senior"/>
    <n v="6"/>
    <s v="Medium"/>
    <x v="2"/>
    <n v="4"/>
  </r>
  <r>
    <s v="Eve"/>
    <x v="4"/>
    <n v="60000"/>
    <x v="2"/>
    <x v="3"/>
    <s v="Assistant"/>
    <d v="2019-12-01T00:00:00"/>
    <x v="0"/>
    <s v="Missing"/>
    <s v="Missing"/>
    <s v="Mid-Career"/>
    <n v="6"/>
    <s v="Medium"/>
    <x v="2"/>
    <n v="2"/>
  </r>
  <r>
    <s v="Ivy"/>
    <x v="5"/>
    <n v="50000"/>
    <x v="2"/>
    <x v="2"/>
    <s v="Manager"/>
    <d v="2020-01-15T00:00:00"/>
    <x v="1"/>
    <s v="email@example.com"/>
    <s v="Missing"/>
    <s v="Senior"/>
    <n v="6"/>
    <s v="Low"/>
    <x v="1"/>
    <n v="1"/>
  </r>
  <r>
    <s v="Jack"/>
    <x v="4"/>
    <n v="65000"/>
    <x v="0"/>
    <x v="1"/>
    <s v="Assistant"/>
    <d v="2019-03-25T00:00:00"/>
    <x v="1"/>
    <s v="Missing"/>
    <s v="Missing"/>
    <s v="Mid-Career"/>
    <n v="6"/>
    <s v="Medium"/>
    <x v="2"/>
    <n v="1"/>
  </r>
  <r>
    <s v="Bob"/>
    <x v="4"/>
    <s v=""/>
    <x v="2"/>
    <x v="4"/>
    <s v="Clerk"/>
    <d v="2020-02-20T00:00:00"/>
    <x v="1"/>
    <s v="name@company.org"/>
    <s v="555-555-5555"/>
    <s v="Mid-Career"/>
    <n v="6"/>
    <s v="High"/>
    <x v="1"/>
    <n v="1"/>
  </r>
  <r>
    <s v="Alice"/>
    <x v="4"/>
    <n v="70000"/>
    <x v="1"/>
    <x v="3"/>
    <s v="Clerk"/>
    <d v="2019-12-01T00:00:00"/>
    <x v="3"/>
    <s v="email@example.com"/>
    <s v="555-555-5555"/>
    <s v="Mid-Career"/>
    <n v="6"/>
    <s v="High"/>
    <x v="2"/>
    <n v="5"/>
  </r>
  <r>
    <s v="Jack"/>
    <x v="4"/>
    <n v="50000"/>
    <x v="1"/>
    <x v="2"/>
    <s v="Assistant"/>
    <d v="2019-03-25T00:00:00"/>
    <x v="4"/>
    <s v="email@example.com"/>
    <s v="123-456-7890"/>
    <s v="Mid-Career"/>
    <n v="6"/>
    <s v="Low"/>
    <x v="2"/>
    <n v="4"/>
  </r>
  <r>
    <s v="Ivy"/>
    <x v="1"/>
    <n v="50000"/>
    <x v="2"/>
    <x v="4"/>
    <s v="Clerk"/>
    <d v="2020-02-20T00:00:00"/>
    <x v="3"/>
    <s v="user@domain.com"/>
    <s v="555-555-5555"/>
    <s v="Mid-Career"/>
    <n v="6"/>
    <s v="Low"/>
    <x v="1"/>
    <n v="5"/>
  </r>
  <r>
    <s v="Jack"/>
    <x v="0"/>
    <s v=""/>
    <x v="2"/>
    <x v="4"/>
    <s v="Analyst"/>
    <d v="2018-04-05T00:00:00"/>
    <x v="2"/>
    <s v="user@domain.com"/>
    <s v="098-765-4321"/>
    <s v="Young"/>
    <n v="7"/>
    <s v="High"/>
    <x v="0"/>
    <n v="3"/>
  </r>
  <r>
    <s v="Ivy"/>
    <x v="2"/>
    <n v="65000"/>
    <x v="0"/>
    <x v="3"/>
    <s v="Analyst"/>
    <d v="2018-04-05T00:00:00"/>
    <x v="4"/>
    <s v="user@domain.com"/>
    <s v="555-555-5555"/>
    <s v="Mid-Career"/>
    <n v="7"/>
    <s v="Medium"/>
    <x v="0"/>
    <n v="4"/>
  </r>
  <r>
    <s v="Ivy"/>
    <x v="3"/>
    <n v="65000"/>
    <x v="2"/>
    <x v="2"/>
    <s v="Clerk"/>
    <d v="2020-02-20T00:00:00"/>
    <x v="0"/>
    <s v="name@company.org"/>
    <s v="123-456-7890"/>
    <s v="Mid-Career"/>
    <n v="6"/>
    <s v="Medium"/>
    <x v="1"/>
    <n v="2"/>
  </r>
  <r>
    <s v="Frank"/>
    <x v="2"/>
    <n v="60000"/>
    <x v="0"/>
    <x v="4"/>
    <s v="Clerk"/>
    <d v="2020-01-15T00:00:00"/>
    <x v="1"/>
    <s v="Missing"/>
    <s v="123-456-7890"/>
    <s v="Mid-Career"/>
    <n v="6"/>
    <s v="Medium"/>
    <x v="1"/>
    <n v="1"/>
  </r>
  <r>
    <s v="Hannah"/>
    <x v="2"/>
    <s v=""/>
    <x v="1"/>
    <x v="4"/>
    <s v="Analyst"/>
    <d v="2020-02-20T00:00:00"/>
    <x v="2"/>
    <s v="Missing"/>
    <s v="098-765-4321"/>
    <s v="Mid-Career"/>
    <n v="6"/>
    <s v="High"/>
    <x v="1"/>
    <n v="3"/>
  </r>
  <r>
    <s v="Alice"/>
    <x v="5"/>
    <s v=""/>
    <x v="2"/>
    <x v="0"/>
    <s v="Clerk"/>
    <d v="2020-02-20T00:00:00"/>
    <x v="4"/>
    <s v="Missing"/>
    <s v="123-456-7890"/>
    <s v="Senior"/>
    <n v="6"/>
    <s v="High"/>
    <x v="1"/>
    <n v="4"/>
  </r>
  <r>
    <s v="Jack"/>
    <x v="0"/>
    <n v="65000"/>
    <x v="0"/>
    <x v="4"/>
    <s v="Clerk"/>
    <d v="2020-01-15T00:00:00"/>
    <x v="3"/>
    <s v="name@company.org"/>
    <s v="Missing"/>
    <s v="Young"/>
    <n v="6"/>
    <s v="Medium"/>
    <x v="1"/>
    <n v="5"/>
  </r>
  <r>
    <s v="David"/>
    <x v="5"/>
    <n v="60000"/>
    <x v="0"/>
    <x v="0"/>
    <s v="Assistant"/>
    <d v="2020-01-15T00:00:00"/>
    <x v="1"/>
    <s v="name@company.org"/>
    <s v="Missing"/>
    <s v="Senior"/>
    <n v="6"/>
    <s v="Medium"/>
    <x v="1"/>
    <n v="1"/>
  </r>
  <r>
    <s v="Alice"/>
    <x v="0"/>
    <n v="50000"/>
    <x v="1"/>
    <x v="2"/>
    <s v="Manager"/>
    <d v="2019-03-25T00:00:00"/>
    <x v="3"/>
    <s v="user@domain.com"/>
    <s v="555-555-5555"/>
    <s v="Young"/>
    <n v="6"/>
    <s v="Low"/>
    <x v="2"/>
    <n v="5"/>
  </r>
  <r>
    <s v="Hannah"/>
    <x v="0"/>
    <n v="55000"/>
    <x v="2"/>
    <x v="2"/>
    <s v="Analyst"/>
    <d v="2019-03-25T00:00:00"/>
    <x v="4"/>
    <s v="email@example.com"/>
    <s v="Missing"/>
    <s v="Young"/>
    <n v="6"/>
    <s v="Medium"/>
    <x v="2"/>
    <n v="4"/>
  </r>
  <r>
    <s v="Alice"/>
    <x v="4"/>
    <n v="70000"/>
    <x v="1"/>
    <x v="2"/>
    <s v="Assistant"/>
    <d v="2020-01-15T00:00:00"/>
    <x v="4"/>
    <s v="Missing"/>
    <s v="555-555-5555"/>
    <s v="Mid-Career"/>
    <n v="6"/>
    <s v="High"/>
    <x v="1"/>
    <n v="4"/>
  </r>
  <r>
    <s v="Charlie"/>
    <x v="1"/>
    <n v="50000"/>
    <x v="0"/>
    <x v="1"/>
    <s v="Manager"/>
    <d v="2018-04-05T00:00:00"/>
    <x v="2"/>
    <s v="Missing"/>
    <s v="Missing"/>
    <s v="Mid-Career"/>
    <n v="7"/>
    <s v="Low"/>
    <x v="0"/>
    <n v="3"/>
  </r>
  <r>
    <s v="David"/>
    <x v="4"/>
    <n v="65000"/>
    <x v="0"/>
    <x v="2"/>
    <s v="Clerk"/>
    <d v="2018-04-05T00:00:00"/>
    <x v="0"/>
    <s v="email@example.com"/>
    <s v="555-555-5555"/>
    <s v="Mid-Career"/>
    <n v="7"/>
    <s v="Medium"/>
    <x v="0"/>
    <n v="2"/>
  </r>
  <r>
    <s v="Hannah"/>
    <x v="1"/>
    <n v="70000"/>
    <x v="2"/>
    <x v="4"/>
    <s v="Clerk"/>
    <d v="2020-02-20T00:00:00"/>
    <x v="3"/>
    <s v="user@domain.com"/>
    <s v="098-765-4321"/>
    <s v="Mid-Career"/>
    <n v="6"/>
    <s v="High"/>
    <x v="1"/>
    <n v="5"/>
  </r>
  <r>
    <s v="Frank"/>
    <x v="5"/>
    <n v="55000"/>
    <x v="0"/>
    <x v="3"/>
    <s v="Assistant"/>
    <d v="2019-12-01T00:00:00"/>
    <x v="2"/>
    <s v="email@example.com"/>
    <s v="123-456-7890"/>
    <s v="Senior"/>
    <n v="6"/>
    <s v="Medium"/>
    <x v="2"/>
    <n v="3"/>
  </r>
  <r>
    <s v="Jack"/>
    <x v="1"/>
    <n v="55000"/>
    <x v="2"/>
    <x v="0"/>
    <s v="Clerk"/>
    <d v="2020-02-20T00:00:00"/>
    <x v="1"/>
    <s v="email@example.com"/>
    <s v="123-456-7890"/>
    <s v="Mid-Career"/>
    <n v="6"/>
    <s v="Medium"/>
    <x v="1"/>
    <n v="1"/>
  </r>
  <r>
    <s v="Grace"/>
    <x v="5"/>
    <n v="60000"/>
    <x v="1"/>
    <x v="1"/>
    <s v="Director"/>
    <d v="2020-02-20T00:00:00"/>
    <x v="0"/>
    <s v="Missing"/>
    <s v="098-765-4321"/>
    <s v="Senior"/>
    <n v="6"/>
    <s v="Medium"/>
    <x v="1"/>
    <n v="2"/>
  </r>
  <r>
    <s v="Hannah"/>
    <x v="2"/>
    <n v="70000"/>
    <x v="2"/>
    <x v="2"/>
    <s v="Assistant"/>
    <d v="2019-12-01T00:00:00"/>
    <x v="2"/>
    <s v="user@domain.com"/>
    <s v="Missing"/>
    <s v="Mid-Career"/>
    <n v="6"/>
    <s v="High"/>
    <x v="2"/>
    <n v="3"/>
  </r>
  <r>
    <s v="Bob"/>
    <x v="2"/>
    <n v="60000"/>
    <x v="2"/>
    <x v="2"/>
    <s v="Manager"/>
    <d v="2020-01-15T00:00:00"/>
    <x v="3"/>
    <s v="name@company.org"/>
    <s v="Missing"/>
    <s v="Mid-Career"/>
    <n v="6"/>
    <s v="Medium"/>
    <x v="1"/>
    <n v="5"/>
  </r>
  <r>
    <s v="Jack"/>
    <x v="1"/>
    <n v="50000"/>
    <x v="0"/>
    <x v="3"/>
    <s v="Assistant"/>
    <d v="2018-04-05T00:00:00"/>
    <x v="4"/>
    <s v="Missing"/>
    <s v="Missing"/>
    <s v="Mid-Career"/>
    <n v="7"/>
    <s v="Low"/>
    <x v="0"/>
    <n v="4"/>
  </r>
  <r>
    <s v="Hannah"/>
    <x v="1"/>
    <s v=""/>
    <x v="0"/>
    <x v="3"/>
    <s v="Analyst"/>
    <d v="2020-02-20T00:00:00"/>
    <x v="1"/>
    <s v="name@company.org"/>
    <s v="123-456-7890"/>
    <s v="Mid-Career"/>
    <n v="6"/>
    <s v="High"/>
    <x v="1"/>
    <n v="1"/>
  </r>
  <r>
    <s v="Charlie"/>
    <x v="5"/>
    <s v=""/>
    <x v="2"/>
    <x v="1"/>
    <s v="Assistant"/>
    <d v="2019-12-01T00:00:00"/>
    <x v="3"/>
    <s v="user@domain.com"/>
    <s v="Missing"/>
    <s v="Senior"/>
    <n v="6"/>
    <s v="High"/>
    <x v="2"/>
    <n v="5"/>
  </r>
  <r>
    <s v="Grace"/>
    <x v="4"/>
    <s v=""/>
    <x v="0"/>
    <x v="0"/>
    <s v="Clerk"/>
    <d v="2019-03-25T00:00:00"/>
    <x v="0"/>
    <s v="email@example.com"/>
    <s v="555-555-5555"/>
    <s v="Mid-Career"/>
    <n v="6"/>
    <s v="High"/>
    <x v="2"/>
    <n v="2"/>
  </r>
  <r>
    <s v="Charlie"/>
    <x v="5"/>
    <n v="70000"/>
    <x v="0"/>
    <x v="2"/>
    <s v="Clerk"/>
    <d v="2020-02-20T00:00:00"/>
    <x v="0"/>
    <s v="Missing"/>
    <s v="Missing"/>
    <s v="Senior"/>
    <n v="6"/>
    <s v="High"/>
    <x v="1"/>
    <n v="2"/>
  </r>
  <r>
    <s v="Grace"/>
    <x v="4"/>
    <s v=""/>
    <x v="0"/>
    <x v="1"/>
    <s v="Director"/>
    <d v="2018-04-05T00:00:00"/>
    <x v="4"/>
    <s v="Missing"/>
    <s v="Missing"/>
    <s v="Mid-Career"/>
    <n v="7"/>
    <s v="High"/>
    <x v="0"/>
    <n v="4"/>
  </r>
  <r>
    <s v="Bob"/>
    <x v="2"/>
    <n v="50000"/>
    <x v="2"/>
    <x v="4"/>
    <s v="Director"/>
    <d v="2020-01-15T00:00:00"/>
    <x v="4"/>
    <s v="user@domain.com"/>
    <s v="098-765-4321"/>
    <s v="Mid-Career"/>
    <n v="6"/>
    <s v="Low"/>
    <x v="1"/>
    <n v="4"/>
  </r>
  <r>
    <s v="Jack"/>
    <x v="0"/>
    <n v="60000"/>
    <x v="0"/>
    <x v="4"/>
    <s v="Director"/>
    <d v="2020-02-20T00:00:00"/>
    <x v="1"/>
    <s v="Missing"/>
    <s v="555-555-5555"/>
    <s v="Young"/>
    <n v="6"/>
    <s v="Medium"/>
    <x v="1"/>
    <n v="1"/>
  </r>
  <r>
    <s v="Frank"/>
    <x v="1"/>
    <n v="70000"/>
    <x v="2"/>
    <x v="1"/>
    <s v="Manager"/>
    <d v="2020-02-20T00:00:00"/>
    <x v="1"/>
    <s v="name@company.org"/>
    <s v="Missing"/>
    <s v="Mid-Career"/>
    <n v="6"/>
    <s v="High"/>
    <x v="1"/>
    <n v="1"/>
  </r>
  <r>
    <s v="Charlie"/>
    <x v="4"/>
    <n v="60000"/>
    <x v="0"/>
    <x v="2"/>
    <s v="Director"/>
    <d v="2019-12-01T00:00:00"/>
    <x v="4"/>
    <s v="Missing"/>
    <s v="555-555-5555"/>
    <s v="Mid-Career"/>
    <n v="6"/>
    <s v="Medium"/>
    <x v="2"/>
    <n v="4"/>
  </r>
  <r>
    <s v="Charlie"/>
    <x v="5"/>
    <n v="70000"/>
    <x v="1"/>
    <x v="1"/>
    <s v="Manager"/>
    <d v="2019-03-25T00:00:00"/>
    <x v="4"/>
    <s v="user@domain.com"/>
    <s v="Missing"/>
    <s v="Senior"/>
    <n v="6"/>
    <s v="High"/>
    <x v="2"/>
    <n v="4"/>
  </r>
  <r>
    <s v="Ivy"/>
    <x v="2"/>
    <n v="60000"/>
    <x v="0"/>
    <x v="2"/>
    <s v="Director"/>
    <d v="2019-03-25T00:00:00"/>
    <x v="0"/>
    <s v="user@domain.com"/>
    <s v="123-456-7890"/>
    <s v="Mid-Career"/>
    <n v="6"/>
    <s v="Medium"/>
    <x v="2"/>
    <n v="2"/>
  </r>
  <r>
    <s v="Grace"/>
    <x v="4"/>
    <n v="55000"/>
    <x v="0"/>
    <x v="3"/>
    <s v="Manager"/>
    <d v="2020-01-15T00:00:00"/>
    <x v="4"/>
    <s v="name@company.org"/>
    <s v="Missing"/>
    <s v="Mid-Career"/>
    <n v="6"/>
    <s v="Medium"/>
    <x v="1"/>
    <n v="4"/>
  </r>
  <r>
    <s v="Eve"/>
    <x v="5"/>
    <n v="60000"/>
    <x v="2"/>
    <x v="1"/>
    <s v="Assistant"/>
    <d v="2018-04-05T00:00:00"/>
    <x v="2"/>
    <s v="Missing"/>
    <s v="098-765-4321"/>
    <s v="Senior"/>
    <n v="7"/>
    <s v="Medium"/>
    <x v="0"/>
    <n v="3"/>
  </r>
  <r>
    <s v="Jack"/>
    <x v="1"/>
    <s v=""/>
    <x v="2"/>
    <x v="2"/>
    <s v="Assistant"/>
    <d v="2020-01-15T00:00:00"/>
    <x v="3"/>
    <s v="Missing"/>
    <s v="Missing"/>
    <s v="Mid-Career"/>
    <n v="6"/>
    <s v="High"/>
    <x v="1"/>
    <n v="5"/>
  </r>
  <r>
    <s v="Grace"/>
    <x v="1"/>
    <n v="55000"/>
    <x v="0"/>
    <x v="1"/>
    <s v="Clerk"/>
    <d v="2020-02-20T00:00:00"/>
    <x v="4"/>
    <s v="email@example.com"/>
    <s v="Missing"/>
    <s v="Mid-Career"/>
    <n v="6"/>
    <s v="Medium"/>
    <x v="1"/>
    <n v="4"/>
  </r>
  <r>
    <s v="Ivy"/>
    <x v="3"/>
    <n v="60000"/>
    <x v="1"/>
    <x v="1"/>
    <s v="Manager"/>
    <d v="2020-02-20T00:00:00"/>
    <x v="1"/>
    <s v="Missing"/>
    <s v="098-765-4321"/>
    <s v="Mid-Career"/>
    <n v="6"/>
    <s v="Medium"/>
    <x v="1"/>
    <n v="1"/>
  </r>
  <r>
    <s v="Alice"/>
    <x v="0"/>
    <n v="70000"/>
    <x v="0"/>
    <x v="2"/>
    <s v="Analyst"/>
    <d v="2019-03-25T00:00:00"/>
    <x v="2"/>
    <s v="user@domain.com"/>
    <s v="Missing"/>
    <s v="Young"/>
    <n v="6"/>
    <s v="High"/>
    <x v="2"/>
    <n v="3"/>
  </r>
  <r>
    <s v="Grace"/>
    <x v="3"/>
    <n v="70000"/>
    <x v="0"/>
    <x v="2"/>
    <s v="Clerk"/>
    <d v="2018-04-05T00:00:00"/>
    <x v="1"/>
    <s v="email@example.com"/>
    <s v="Missing"/>
    <s v="Mid-Career"/>
    <n v="7"/>
    <s v="High"/>
    <x v="0"/>
    <n v="1"/>
  </r>
  <r>
    <s v="Frank"/>
    <x v="2"/>
    <n v="70000"/>
    <x v="1"/>
    <x v="0"/>
    <s v="Assistant"/>
    <d v="2019-12-01T00:00:00"/>
    <x v="2"/>
    <s v="user@domain.com"/>
    <s v="Missing"/>
    <s v="Mid-Career"/>
    <n v="6"/>
    <s v="High"/>
    <x v="2"/>
    <n v="3"/>
  </r>
  <r>
    <s v="Jack"/>
    <x v="4"/>
    <n v="65000"/>
    <x v="2"/>
    <x v="1"/>
    <s v="Manager"/>
    <d v="2018-04-05T00:00:00"/>
    <x v="4"/>
    <s v="email@example.com"/>
    <s v="555-555-5555"/>
    <s v="Mid-Career"/>
    <n v="7"/>
    <s v="Medium"/>
    <x v="0"/>
    <n v="4"/>
  </r>
  <r>
    <s v="Ivy"/>
    <x v="2"/>
    <n v="50000"/>
    <x v="0"/>
    <x v="4"/>
    <s v="Director"/>
    <d v="2020-02-20T00:00:00"/>
    <x v="3"/>
    <s v="Missing"/>
    <s v="Missing"/>
    <s v="Mid-Career"/>
    <n v="6"/>
    <s v="Low"/>
    <x v="1"/>
    <n v="5"/>
  </r>
  <r>
    <s v="Alice"/>
    <x v="5"/>
    <n v="70000"/>
    <x v="2"/>
    <x v="1"/>
    <s v="Analyst"/>
    <d v="2019-12-01T00:00:00"/>
    <x v="1"/>
    <s v="email@example.com"/>
    <s v="Missing"/>
    <s v="Senior"/>
    <n v="6"/>
    <s v="High"/>
    <x v="2"/>
    <n v="1"/>
  </r>
  <r>
    <s v="David"/>
    <x v="1"/>
    <n v="55000"/>
    <x v="2"/>
    <x v="1"/>
    <s v="Assistant"/>
    <d v="2018-04-05T00:00:00"/>
    <x v="2"/>
    <s v="user@domain.com"/>
    <s v="123-456-7890"/>
    <s v="Mid-Career"/>
    <n v="7"/>
    <s v="Medium"/>
    <x v="0"/>
    <n v="3"/>
  </r>
  <r>
    <s v="Ivy"/>
    <x v="3"/>
    <n v="70000"/>
    <x v="1"/>
    <x v="2"/>
    <s v="Clerk"/>
    <d v="2018-04-05T00:00:00"/>
    <x v="0"/>
    <s v="Missing"/>
    <s v="Missing"/>
    <s v="Mid-Career"/>
    <n v="7"/>
    <s v="High"/>
    <x v="0"/>
    <n v="2"/>
  </r>
  <r>
    <s v="David"/>
    <x v="3"/>
    <n v="65000"/>
    <x v="1"/>
    <x v="1"/>
    <s v="Manager"/>
    <d v="2019-12-01T00:00:00"/>
    <x v="4"/>
    <s v="user@domain.com"/>
    <s v="555-555-5555"/>
    <s v="Mid-Career"/>
    <n v="6"/>
    <s v="Medium"/>
    <x v="2"/>
    <n v="4"/>
  </r>
  <r>
    <s v="Jack"/>
    <x v="3"/>
    <s v=""/>
    <x v="2"/>
    <x v="1"/>
    <s v="Analyst"/>
    <d v="2020-02-20T00:00:00"/>
    <x v="3"/>
    <s v="name@company.org"/>
    <s v="098-765-4321"/>
    <s v="Mid-Career"/>
    <n v="6"/>
    <s v="High"/>
    <x v="1"/>
    <n v="5"/>
  </r>
  <r>
    <s v="Charlie"/>
    <x v="2"/>
    <n v="55000"/>
    <x v="0"/>
    <x v="4"/>
    <s v="Manager"/>
    <d v="2018-04-05T00:00:00"/>
    <x v="4"/>
    <s v="name@company.org"/>
    <s v="098-765-4321"/>
    <s v="Mid-Career"/>
    <n v="7"/>
    <s v="Medium"/>
    <x v="0"/>
    <n v="4"/>
  </r>
  <r>
    <s v="Ivy"/>
    <x v="1"/>
    <n v="65000"/>
    <x v="2"/>
    <x v="2"/>
    <s v="Director"/>
    <d v="2019-12-01T00:00:00"/>
    <x v="0"/>
    <s v="name@company.org"/>
    <s v="098-765-4321"/>
    <s v="Mid-Career"/>
    <n v="6"/>
    <s v="Medium"/>
    <x v="2"/>
    <n v="2"/>
  </r>
  <r>
    <s v="Bob"/>
    <x v="4"/>
    <s v=""/>
    <x v="0"/>
    <x v="1"/>
    <s v="Clerk"/>
    <d v="2020-02-20T00:00:00"/>
    <x v="3"/>
    <s v="name@company.org"/>
    <s v="123-456-7890"/>
    <s v="Mid-Career"/>
    <n v="6"/>
    <s v="High"/>
    <x v="1"/>
    <n v="5"/>
  </r>
  <r>
    <s v="David"/>
    <x v="5"/>
    <n v="55000"/>
    <x v="0"/>
    <x v="3"/>
    <s v="Manager"/>
    <d v="2019-12-01T00:00:00"/>
    <x v="0"/>
    <s v="Missing"/>
    <s v="555-555-5555"/>
    <s v="Senior"/>
    <n v="6"/>
    <s v="Medium"/>
    <x v="2"/>
    <n v="2"/>
  </r>
  <r>
    <s v="Frank"/>
    <x v="4"/>
    <n v="60000"/>
    <x v="1"/>
    <x v="0"/>
    <s v="Assistant"/>
    <d v="2019-12-01T00:00:00"/>
    <x v="4"/>
    <s v="Missing"/>
    <s v="Missing"/>
    <s v="Mid-Career"/>
    <n v="6"/>
    <s v="Medium"/>
    <x v="2"/>
    <n v="4"/>
  </r>
  <r>
    <s v="Bob"/>
    <x v="2"/>
    <n v="50000"/>
    <x v="0"/>
    <x v="4"/>
    <s v="Clerk"/>
    <d v="2018-04-05T00:00:00"/>
    <x v="2"/>
    <s v="Missing"/>
    <s v="098-765-4321"/>
    <s v="Mid-Career"/>
    <n v="7"/>
    <s v="Low"/>
    <x v="0"/>
    <n v="3"/>
  </r>
  <r>
    <s v="Hannah"/>
    <x v="5"/>
    <n v="50000"/>
    <x v="0"/>
    <x v="1"/>
    <s v="Assistant"/>
    <d v="2020-02-20T00:00:00"/>
    <x v="4"/>
    <s v="user@domain.com"/>
    <s v="555-555-5555"/>
    <s v="Senior"/>
    <n v="6"/>
    <s v="Low"/>
    <x v="1"/>
    <n v="4"/>
  </r>
  <r>
    <s v="Hannah"/>
    <x v="3"/>
    <n v="65000"/>
    <x v="2"/>
    <x v="3"/>
    <s v="Manager"/>
    <d v="2018-04-05T00:00:00"/>
    <x v="4"/>
    <s v="email@example.com"/>
    <s v="Missing"/>
    <s v="Mid-Career"/>
    <n v="7"/>
    <s v="Medium"/>
    <x v="0"/>
    <n v="4"/>
  </r>
  <r>
    <s v="Alice"/>
    <x v="0"/>
    <s v=""/>
    <x v="1"/>
    <x v="1"/>
    <s v="Clerk"/>
    <d v="2020-01-15T00:00:00"/>
    <x v="4"/>
    <s v="user@domain.com"/>
    <s v="123-456-7890"/>
    <s v="Young"/>
    <n v="6"/>
    <s v="High"/>
    <x v="1"/>
    <n v="4"/>
  </r>
  <r>
    <s v="Charlie"/>
    <x v="2"/>
    <n v="50000"/>
    <x v="0"/>
    <x v="1"/>
    <s v="Assistant"/>
    <d v="2020-01-15T00:00:00"/>
    <x v="1"/>
    <s v="user@domain.com"/>
    <s v="555-555-5555"/>
    <s v="Mid-Career"/>
    <n v="6"/>
    <s v="Low"/>
    <x v="1"/>
    <n v="1"/>
  </r>
  <r>
    <s v="Jack"/>
    <x v="2"/>
    <s v=""/>
    <x v="0"/>
    <x v="2"/>
    <s v="Director"/>
    <d v="2020-02-20T00:00:00"/>
    <x v="0"/>
    <s v="user@domain.com"/>
    <s v="555-555-5555"/>
    <s v="Mid-Career"/>
    <n v="6"/>
    <s v="High"/>
    <x v="1"/>
    <n v="2"/>
  </r>
  <r>
    <s v="Ivy"/>
    <x v="1"/>
    <s v=""/>
    <x v="1"/>
    <x v="2"/>
    <s v="Director"/>
    <d v="2019-12-01T00:00:00"/>
    <x v="0"/>
    <s v="user@domain.com"/>
    <s v="Missing"/>
    <s v="Mid-Career"/>
    <n v="6"/>
    <s v="High"/>
    <x v="2"/>
    <n v="2"/>
  </r>
  <r>
    <s v="Eve"/>
    <x v="4"/>
    <n v="65000"/>
    <x v="2"/>
    <x v="2"/>
    <s v="Manager"/>
    <d v="2018-04-05T00:00:00"/>
    <x v="0"/>
    <s v="Missing"/>
    <s v="555-555-5555"/>
    <s v="Mid-Career"/>
    <n v="7"/>
    <s v="Medium"/>
    <x v="0"/>
    <n v="2"/>
  </r>
  <r>
    <s v="Frank"/>
    <x v="2"/>
    <n v="65000"/>
    <x v="1"/>
    <x v="3"/>
    <s v="Clerk"/>
    <d v="2018-04-05T00:00:00"/>
    <x v="1"/>
    <s v="email@example.com"/>
    <s v="Missing"/>
    <s v="Mid-Career"/>
    <n v="7"/>
    <s v="Medium"/>
    <x v="0"/>
    <n v="1"/>
  </r>
  <r>
    <s v="David"/>
    <x v="2"/>
    <n v="65000"/>
    <x v="1"/>
    <x v="1"/>
    <s v="Analyst"/>
    <d v="2020-02-20T00:00:00"/>
    <x v="2"/>
    <s v="user@domain.com"/>
    <s v="123-456-7890"/>
    <s v="Mid-Career"/>
    <n v="6"/>
    <s v="Medium"/>
    <x v="1"/>
    <n v="3"/>
  </r>
  <r>
    <s v="Jack"/>
    <x v="3"/>
    <n v="50000"/>
    <x v="0"/>
    <x v="0"/>
    <s v="Clerk"/>
    <d v="2020-02-20T00:00:00"/>
    <x v="4"/>
    <s v="Missing"/>
    <s v="123-456-7890"/>
    <s v="Mid-Career"/>
    <n v="6"/>
    <s v="Low"/>
    <x v="1"/>
    <n v="4"/>
  </r>
  <r>
    <s v="Bob"/>
    <x v="3"/>
    <n v="65000"/>
    <x v="0"/>
    <x v="4"/>
    <s v="Director"/>
    <d v="2020-01-15T00:00:00"/>
    <x v="2"/>
    <s v="user@domain.com"/>
    <s v="Missing"/>
    <s v="Mid-Career"/>
    <n v="6"/>
    <s v="Medium"/>
    <x v="1"/>
    <n v="3"/>
  </r>
  <r>
    <s v="Hannah"/>
    <x v="5"/>
    <n v="50000"/>
    <x v="2"/>
    <x v="2"/>
    <s v="Assistant"/>
    <d v="2019-03-25T00:00:00"/>
    <x v="1"/>
    <s v="name@company.org"/>
    <s v="Missing"/>
    <s v="Senior"/>
    <n v="6"/>
    <s v="Low"/>
    <x v="2"/>
    <n v="1"/>
  </r>
  <r>
    <s v="Frank"/>
    <x v="0"/>
    <n v="65000"/>
    <x v="0"/>
    <x v="2"/>
    <s v="Analyst"/>
    <d v="2020-02-20T00:00:00"/>
    <x v="0"/>
    <s v="user@domain.com"/>
    <s v="Missing"/>
    <s v="Young"/>
    <n v="6"/>
    <s v="Medium"/>
    <x v="1"/>
    <n v="2"/>
  </r>
  <r>
    <s v="Eve"/>
    <x v="1"/>
    <n v="70000"/>
    <x v="0"/>
    <x v="1"/>
    <s v="Manager"/>
    <d v="2019-03-25T00:00:00"/>
    <x v="4"/>
    <s v="user@domain.com"/>
    <s v="098-765-4321"/>
    <s v="Mid-Career"/>
    <n v="6"/>
    <s v="High"/>
    <x v="2"/>
    <n v="4"/>
  </r>
  <r>
    <s v="Ivy"/>
    <x v="0"/>
    <s v=""/>
    <x v="1"/>
    <x v="1"/>
    <s v="Analyst"/>
    <d v="2020-02-20T00:00:00"/>
    <x v="3"/>
    <s v="Missing"/>
    <s v="098-765-4321"/>
    <s v="Young"/>
    <n v="6"/>
    <s v="High"/>
    <x v="1"/>
    <n v="5"/>
  </r>
  <r>
    <s v="Alice"/>
    <x v="5"/>
    <n v="65000"/>
    <x v="0"/>
    <x v="3"/>
    <s v="Manager"/>
    <d v="2019-12-01T00:00:00"/>
    <x v="3"/>
    <s v="name@company.org"/>
    <s v="Missing"/>
    <s v="Senior"/>
    <n v="6"/>
    <s v="Medium"/>
    <x v="2"/>
    <n v="5"/>
  </r>
  <r>
    <s v="Eve"/>
    <x v="3"/>
    <n v="55000"/>
    <x v="2"/>
    <x v="3"/>
    <s v="Analyst"/>
    <d v="2019-12-01T00:00:00"/>
    <x v="2"/>
    <s v="email@example.com"/>
    <s v="123-456-7890"/>
    <s v="Mid-Career"/>
    <n v="6"/>
    <s v="Medium"/>
    <x v="2"/>
    <n v="3"/>
  </r>
  <r>
    <s v="Frank"/>
    <x v="4"/>
    <s v=""/>
    <x v="1"/>
    <x v="2"/>
    <s v="Manager"/>
    <d v="2020-01-15T00:00:00"/>
    <x v="0"/>
    <s v="user@domain.com"/>
    <s v="098-765-4321"/>
    <s v="Mid-Career"/>
    <n v="6"/>
    <s v="High"/>
    <x v="1"/>
    <n v="2"/>
  </r>
  <r>
    <s v="Eve"/>
    <x v="3"/>
    <s v=""/>
    <x v="2"/>
    <x v="1"/>
    <s v="Manager"/>
    <d v="2020-01-15T00:00:00"/>
    <x v="3"/>
    <s v="email@example.com"/>
    <s v="555-555-5555"/>
    <s v="Mid-Career"/>
    <n v="6"/>
    <s v="High"/>
    <x v="1"/>
    <n v="5"/>
  </r>
  <r>
    <s v="Frank"/>
    <x v="1"/>
    <n v="65000"/>
    <x v="1"/>
    <x v="0"/>
    <s v="Analyst"/>
    <d v="2019-03-25T00:00:00"/>
    <x v="2"/>
    <s v="name@company.org"/>
    <s v="123-456-7890"/>
    <s v="Mid-Career"/>
    <n v="6"/>
    <s v="Medium"/>
    <x v="2"/>
    <n v="3"/>
  </r>
  <r>
    <s v="Frank"/>
    <x v="3"/>
    <n v="60000"/>
    <x v="0"/>
    <x v="4"/>
    <s v="Analyst"/>
    <d v="2020-02-20T00:00:00"/>
    <x v="1"/>
    <s v="user@domain.com"/>
    <s v="555-555-5555"/>
    <s v="Mid-Career"/>
    <n v="6"/>
    <s v="Medium"/>
    <x v="1"/>
    <n v="1"/>
  </r>
  <r>
    <s v="Grace"/>
    <x v="1"/>
    <n v="65000"/>
    <x v="1"/>
    <x v="1"/>
    <s v="Manager"/>
    <d v="2018-04-05T00:00:00"/>
    <x v="2"/>
    <s v="Missing"/>
    <s v="Missing"/>
    <s v="Mid-Career"/>
    <n v="7"/>
    <s v="Medium"/>
    <x v="0"/>
    <n v="3"/>
  </r>
  <r>
    <s v="David"/>
    <x v="1"/>
    <s v=""/>
    <x v="1"/>
    <x v="1"/>
    <s v="Director"/>
    <d v="2020-01-15T00:00:00"/>
    <x v="2"/>
    <s v="Missing"/>
    <s v="123-456-7890"/>
    <s v="Mid-Career"/>
    <n v="6"/>
    <s v="High"/>
    <x v="1"/>
    <n v="3"/>
  </r>
  <r>
    <s v="Hannah"/>
    <x v="1"/>
    <n v="55000"/>
    <x v="0"/>
    <x v="3"/>
    <s v="Analyst"/>
    <d v="2018-04-05T00:00:00"/>
    <x v="2"/>
    <s v="Missing"/>
    <s v="Missing"/>
    <s v="Mid-Career"/>
    <n v="7"/>
    <s v="Medium"/>
    <x v="0"/>
    <n v="3"/>
  </r>
  <r>
    <s v="Grace"/>
    <x v="5"/>
    <s v=""/>
    <x v="0"/>
    <x v="4"/>
    <s v="Clerk"/>
    <d v="2018-04-05T00:00:00"/>
    <x v="4"/>
    <s v="Missing"/>
    <s v="Missing"/>
    <s v="Senior"/>
    <n v="7"/>
    <s v="High"/>
    <x v="0"/>
    <n v="4"/>
  </r>
  <r>
    <s v="Ivy"/>
    <x v="1"/>
    <n v="55000"/>
    <x v="2"/>
    <x v="2"/>
    <s v="Assistant"/>
    <d v="2020-02-20T00:00:00"/>
    <x v="2"/>
    <s v="Missing"/>
    <s v="Missing"/>
    <s v="Mid-Career"/>
    <n v="6"/>
    <s v="Medium"/>
    <x v="1"/>
    <n v="3"/>
  </r>
  <r>
    <s v="Grace"/>
    <x v="1"/>
    <n v="50000"/>
    <x v="2"/>
    <x v="1"/>
    <s v="Manager"/>
    <d v="2019-03-25T00:00:00"/>
    <x v="2"/>
    <s v="Missing"/>
    <s v="555-555-5555"/>
    <s v="Mid-Career"/>
    <n v="6"/>
    <s v="Low"/>
    <x v="2"/>
    <n v="3"/>
  </r>
  <r>
    <s v="Charlie"/>
    <x v="4"/>
    <n v="70000"/>
    <x v="0"/>
    <x v="2"/>
    <s v="Manager"/>
    <d v="2020-02-20T00:00:00"/>
    <x v="4"/>
    <s v="Missing"/>
    <s v="Missing"/>
    <s v="Mid-Career"/>
    <n v="6"/>
    <s v="High"/>
    <x v="1"/>
    <n v="4"/>
  </r>
  <r>
    <s v="Charlie"/>
    <x v="0"/>
    <s v=""/>
    <x v="0"/>
    <x v="1"/>
    <s v="Assistant"/>
    <d v="2020-01-15T00:00:00"/>
    <x v="4"/>
    <s v="user@domain.com"/>
    <s v="098-765-4321"/>
    <s v="Young"/>
    <n v="6"/>
    <s v="High"/>
    <x v="1"/>
    <n v="4"/>
  </r>
  <r>
    <s v="Hannah"/>
    <x v="2"/>
    <n v="65000"/>
    <x v="0"/>
    <x v="2"/>
    <s v="Director"/>
    <d v="2018-04-05T00:00:00"/>
    <x v="1"/>
    <s v="email@example.com"/>
    <s v="123-456-7890"/>
    <s v="Mid-Career"/>
    <n v="7"/>
    <s v="Medium"/>
    <x v="0"/>
    <n v="1"/>
  </r>
  <r>
    <s v="Eve"/>
    <x v="0"/>
    <n v="50000"/>
    <x v="1"/>
    <x v="4"/>
    <s v="Assistant"/>
    <d v="2020-02-20T00:00:00"/>
    <x v="0"/>
    <s v="email@example.com"/>
    <s v="098-765-4321"/>
    <s v="Young"/>
    <n v="6"/>
    <s v="Low"/>
    <x v="1"/>
    <n v="2"/>
  </r>
  <r>
    <s v="David"/>
    <x v="1"/>
    <n v="70000"/>
    <x v="1"/>
    <x v="3"/>
    <s v="Analyst"/>
    <d v="2020-02-20T00:00:00"/>
    <x v="3"/>
    <s v="Missing"/>
    <s v="555-555-5555"/>
    <s v="Mid-Career"/>
    <n v="6"/>
    <s v="High"/>
    <x v="1"/>
    <n v="5"/>
  </r>
  <r>
    <s v="Hannah"/>
    <x v="4"/>
    <n v="65000"/>
    <x v="1"/>
    <x v="4"/>
    <s v="Assistant"/>
    <d v="2020-02-20T00:00:00"/>
    <x v="3"/>
    <s v="Missing"/>
    <s v="555-555-5555"/>
    <s v="Mid-Career"/>
    <n v="6"/>
    <s v="Medium"/>
    <x v="1"/>
    <n v="5"/>
  </r>
  <r>
    <s v="Frank"/>
    <x v="3"/>
    <n v="60000"/>
    <x v="0"/>
    <x v="0"/>
    <s v="Manager"/>
    <d v="2020-01-15T00:00:00"/>
    <x v="2"/>
    <s v="name@company.org"/>
    <s v="123-456-7890"/>
    <s v="Mid-Career"/>
    <n v="6"/>
    <s v="Medium"/>
    <x v="1"/>
    <n v="3"/>
  </r>
  <r>
    <s v="Bob"/>
    <x v="4"/>
    <n v="65000"/>
    <x v="2"/>
    <x v="3"/>
    <s v="Assistant"/>
    <d v="2019-03-25T00:00:00"/>
    <x v="1"/>
    <s v="Missing"/>
    <s v="Missing"/>
    <s v="Mid-Career"/>
    <n v="6"/>
    <s v="Medium"/>
    <x v="2"/>
    <n v="1"/>
  </r>
  <r>
    <s v="David"/>
    <x v="1"/>
    <n v="55000"/>
    <x v="0"/>
    <x v="4"/>
    <s v="Clerk"/>
    <d v="2020-02-20T00:00:00"/>
    <x v="2"/>
    <s v="Missing"/>
    <s v="Missing"/>
    <s v="Mid-Career"/>
    <n v="6"/>
    <s v="Medium"/>
    <x v="1"/>
    <n v="3"/>
  </r>
  <r>
    <s v="David"/>
    <x v="4"/>
    <n v="55000"/>
    <x v="1"/>
    <x v="0"/>
    <s v="Analyst"/>
    <d v="2020-01-15T00:00:00"/>
    <x v="3"/>
    <s v="Missing"/>
    <s v="555-555-5555"/>
    <s v="Mid-Career"/>
    <n v="6"/>
    <s v="Medium"/>
    <x v="1"/>
    <n v="5"/>
  </r>
  <r>
    <s v="Frank"/>
    <x v="4"/>
    <n v="60000"/>
    <x v="1"/>
    <x v="1"/>
    <s v="Assistant"/>
    <d v="2018-04-05T00:00:00"/>
    <x v="4"/>
    <s v="user@domain.com"/>
    <s v="123-456-7890"/>
    <s v="Mid-Career"/>
    <n v="7"/>
    <s v="Medium"/>
    <x v="0"/>
    <n v="4"/>
  </r>
  <r>
    <s v="Frank"/>
    <x v="1"/>
    <n v="50000"/>
    <x v="0"/>
    <x v="1"/>
    <s v="Manager"/>
    <d v="2019-12-01T00:00:00"/>
    <x v="0"/>
    <s v="user@domain.com"/>
    <s v="Missing"/>
    <s v="Mid-Career"/>
    <n v="6"/>
    <s v="Low"/>
    <x v="2"/>
    <n v="2"/>
  </r>
  <r>
    <s v="Alice"/>
    <x v="5"/>
    <n v="70000"/>
    <x v="0"/>
    <x v="2"/>
    <s v="Analyst"/>
    <d v="2020-01-15T00:00:00"/>
    <x v="1"/>
    <s v="email@example.com"/>
    <s v="Missing"/>
    <s v="Senior"/>
    <n v="6"/>
    <s v="High"/>
    <x v="1"/>
    <n v="1"/>
  </r>
  <r>
    <s v="Hannah"/>
    <x v="4"/>
    <n v="65000"/>
    <x v="1"/>
    <x v="3"/>
    <s v="Manager"/>
    <d v="2019-12-01T00:00:00"/>
    <x v="4"/>
    <s v="email@example.com"/>
    <s v="555-555-5555"/>
    <s v="Mid-Career"/>
    <n v="6"/>
    <s v="Medium"/>
    <x v="2"/>
    <n v="4"/>
  </r>
  <r>
    <s v="Frank"/>
    <x v="2"/>
    <n v="55000"/>
    <x v="1"/>
    <x v="1"/>
    <s v="Director"/>
    <d v="2020-02-20T00:00:00"/>
    <x v="0"/>
    <s v="name@company.org"/>
    <s v="123-456-7890"/>
    <s v="Mid-Career"/>
    <n v="6"/>
    <s v="Medium"/>
    <x v="1"/>
    <n v="2"/>
  </r>
  <r>
    <s v="Charlie"/>
    <x v="2"/>
    <n v="50000"/>
    <x v="1"/>
    <x v="3"/>
    <s v="Clerk"/>
    <d v="2020-02-20T00:00:00"/>
    <x v="1"/>
    <s v="name@company.org"/>
    <s v="123-456-7890"/>
    <s v="Mid-Career"/>
    <n v="6"/>
    <s v="Low"/>
    <x v="1"/>
    <n v="1"/>
  </r>
  <r>
    <s v="Ivy"/>
    <x v="4"/>
    <n v="60000"/>
    <x v="0"/>
    <x v="1"/>
    <s v="Director"/>
    <d v="2020-01-15T00:00:00"/>
    <x v="1"/>
    <s v="name@company.org"/>
    <s v="123-456-7890"/>
    <s v="Mid-Career"/>
    <n v="6"/>
    <s v="Medium"/>
    <x v="1"/>
    <n v="1"/>
  </r>
  <r>
    <s v="Bob"/>
    <x v="5"/>
    <s v=""/>
    <x v="1"/>
    <x v="2"/>
    <s v="Clerk"/>
    <d v="2019-12-01T00:00:00"/>
    <x v="3"/>
    <s v="name@company.org"/>
    <s v="555-555-5555"/>
    <s v="Senior"/>
    <n v="6"/>
    <s v="High"/>
    <x v="2"/>
    <n v="5"/>
  </r>
  <r>
    <s v="Hannah"/>
    <x v="3"/>
    <n v="55000"/>
    <x v="1"/>
    <x v="4"/>
    <s v="Assistant"/>
    <d v="2020-02-20T00:00:00"/>
    <x v="4"/>
    <s v="Missing"/>
    <s v="Missing"/>
    <s v="Mid-Career"/>
    <n v="6"/>
    <s v="Medium"/>
    <x v="1"/>
    <n v="4"/>
  </r>
  <r>
    <s v="Jack"/>
    <x v="1"/>
    <n v="60000"/>
    <x v="2"/>
    <x v="2"/>
    <s v="Analyst"/>
    <d v="2018-04-05T00:00:00"/>
    <x v="1"/>
    <s v="Missing"/>
    <s v="123-456-7890"/>
    <s v="Mid-Career"/>
    <n v="7"/>
    <s v="Medium"/>
    <x v="0"/>
    <n v="1"/>
  </r>
  <r>
    <s v="Charlie"/>
    <x v="2"/>
    <n v="65000"/>
    <x v="0"/>
    <x v="0"/>
    <s v="Assistant"/>
    <d v="2019-03-25T00:00:00"/>
    <x v="1"/>
    <s v="email@example.com"/>
    <s v="Missing"/>
    <s v="Mid-Career"/>
    <n v="6"/>
    <s v="Medium"/>
    <x v="2"/>
    <n v="1"/>
  </r>
  <r>
    <s v="Eve"/>
    <x v="3"/>
    <n v="70000"/>
    <x v="2"/>
    <x v="1"/>
    <s v="Clerk"/>
    <d v="2019-03-25T00:00:00"/>
    <x v="0"/>
    <s v="user@domain.com"/>
    <s v="123-456-7890"/>
    <s v="Mid-Career"/>
    <n v="6"/>
    <s v="High"/>
    <x v="2"/>
    <n v="2"/>
  </r>
  <r>
    <s v="Frank"/>
    <x v="4"/>
    <n v="55000"/>
    <x v="2"/>
    <x v="0"/>
    <s v="Clerk"/>
    <d v="2020-02-20T00:00:00"/>
    <x v="3"/>
    <s v="user@domain.com"/>
    <s v="Missing"/>
    <s v="Mid-Career"/>
    <n v="6"/>
    <s v="Medium"/>
    <x v="1"/>
    <n v="5"/>
  </r>
  <r>
    <s v="Jack"/>
    <x v="3"/>
    <n v="55000"/>
    <x v="1"/>
    <x v="0"/>
    <s v="Clerk"/>
    <d v="2019-12-01T00:00:00"/>
    <x v="2"/>
    <s v="Missing"/>
    <s v="555-555-5555"/>
    <s v="Mid-Career"/>
    <n v="6"/>
    <s v="Medium"/>
    <x v="2"/>
    <n v="3"/>
  </r>
  <r>
    <s v="Frank"/>
    <x v="0"/>
    <n v="65000"/>
    <x v="0"/>
    <x v="3"/>
    <s v="Manager"/>
    <d v="2020-02-20T00:00:00"/>
    <x v="3"/>
    <s v="Missing"/>
    <s v="123-456-7890"/>
    <s v="Young"/>
    <n v="6"/>
    <s v="Medium"/>
    <x v="1"/>
    <n v="5"/>
  </r>
  <r>
    <s v="David"/>
    <x v="2"/>
    <s v=""/>
    <x v="1"/>
    <x v="1"/>
    <s v="Analyst"/>
    <d v="2019-12-01T00:00:00"/>
    <x v="2"/>
    <s v="name@company.org"/>
    <s v="123-456-7890"/>
    <s v="Mid-Career"/>
    <n v="6"/>
    <s v="High"/>
    <x v="2"/>
    <n v="3"/>
  </r>
  <r>
    <s v="Charlie"/>
    <x v="4"/>
    <n v="50000"/>
    <x v="0"/>
    <x v="0"/>
    <s v="Assistant"/>
    <d v="2018-04-05T00:00:00"/>
    <x v="4"/>
    <s v="name@company.org"/>
    <s v="Missing"/>
    <s v="Mid-Career"/>
    <n v="7"/>
    <s v="Low"/>
    <x v="0"/>
    <n v="4"/>
  </r>
  <r>
    <s v="David"/>
    <x v="1"/>
    <n v="70000"/>
    <x v="2"/>
    <x v="4"/>
    <s v="Assistant"/>
    <d v="2019-12-01T00:00:00"/>
    <x v="4"/>
    <s v="Missing"/>
    <s v="Missing"/>
    <s v="Mid-Career"/>
    <n v="6"/>
    <s v="High"/>
    <x v="2"/>
    <n v="4"/>
  </r>
  <r>
    <s v="Alice"/>
    <x v="5"/>
    <n v="55000"/>
    <x v="0"/>
    <x v="0"/>
    <s v="Director"/>
    <d v="2020-02-20T00:00:00"/>
    <x v="1"/>
    <s v="user@domain.com"/>
    <s v="123-456-7890"/>
    <s v="Senior"/>
    <n v="6"/>
    <s v="Medium"/>
    <x v="1"/>
    <n v="1"/>
  </r>
  <r>
    <s v="David"/>
    <x v="4"/>
    <n v="70000"/>
    <x v="1"/>
    <x v="4"/>
    <s v="Clerk"/>
    <d v="2018-04-05T00:00:00"/>
    <x v="4"/>
    <s v="name@company.org"/>
    <s v="123-456-7890"/>
    <s v="Mid-Career"/>
    <n v="7"/>
    <s v="High"/>
    <x v="0"/>
    <n v="4"/>
  </r>
  <r>
    <s v="Alice"/>
    <x v="1"/>
    <n v="55000"/>
    <x v="1"/>
    <x v="3"/>
    <s v="Clerk"/>
    <d v="2020-01-15T00:00:00"/>
    <x v="1"/>
    <s v="user@domain.com"/>
    <s v="Missing"/>
    <s v="Mid-Career"/>
    <n v="6"/>
    <s v="Medium"/>
    <x v="1"/>
    <n v="1"/>
  </r>
  <r>
    <s v="Alice"/>
    <x v="5"/>
    <n v="70000"/>
    <x v="1"/>
    <x v="0"/>
    <s v="Clerk"/>
    <d v="2019-03-25T00:00:00"/>
    <x v="3"/>
    <s v="Missing"/>
    <s v="Missing"/>
    <s v="Senior"/>
    <n v="6"/>
    <s v="High"/>
    <x v="2"/>
    <n v="5"/>
  </r>
  <r>
    <s v="Jack"/>
    <x v="5"/>
    <n v="60000"/>
    <x v="0"/>
    <x v="2"/>
    <s v="Assistant"/>
    <d v="2020-02-20T00:00:00"/>
    <x v="4"/>
    <s v="user@domain.com"/>
    <s v="098-765-4321"/>
    <s v="Senior"/>
    <n v="6"/>
    <s v="Medium"/>
    <x v="1"/>
    <n v="4"/>
  </r>
  <r>
    <s v="Frank"/>
    <x v="4"/>
    <n v="55000"/>
    <x v="2"/>
    <x v="3"/>
    <s v="Director"/>
    <d v="2020-02-20T00:00:00"/>
    <x v="3"/>
    <s v="user@domain.com"/>
    <s v="098-765-4321"/>
    <s v="Mid-Career"/>
    <n v="6"/>
    <s v="Medium"/>
    <x v="1"/>
    <n v="5"/>
  </r>
  <r>
    <s v="Eve"/>
    <x v="3"/>
    <n v="70000"/>
    <x v="2"/>
    <x v="4"/>
    <s v="Manager"/>
    <d v="2020-02-20T00:00:00"/>
    <x v="3"/>
    <s v="user@domain.com"/>
    <s v="123-456-7890"/>
    <s v="Mid-Career"/>
    <n v="6"/>
    <s v="High"/>
    <x v="1"/>
    <n v="5"/>
  </r>
  <r>
    <s v="David"/>
    <x v="3"/>
    <n v="50000"/>
    <x v="0"/>
    <x v="3"/>
    <s v="Analyst"/>
    <d v="2018-04-05T00:00:00"/>
    <x v="4"/>
    <s v="name@company.org"/>
    <s v="Missing"/>
    <s v="Mid-Career"/>
    <n v="7"/>
    <s v="Low"/>
    <x v="0"/>
    <n v="4"/>
  </r>
  <r>
    <s v="Charlie"/>
    <x v="5"/>
    <n v="60000"/>
    <x v="1"/>
    <x v="0"/>
    <s v="Manager"/>
    <d v="2020-01-15T00:00:00"/>
    <x v="3"/>
    <s v="email@example.com"/>
    <s v="555-555-5555"/>
    <s v="Senior"/>
    <n v="6"/>
    <s v="Medium"/>
    <x v="1"/>
    <n v="5"/>
  </r>
  <r>
    <s v="Alice"/>
    <x v="3"/>
    <n v="60000"/>
    <x v="2"/>
    <x v="1"/>
    <s v="Assistant"/>
    <d v="2019-12-01T00:00:00"/>
    <x v="4"/>
    <s v="Missing"/>
    <s v="555-555-5555"/>
    <s v="Mid-Career"/>
    <n v="6"/>
    <s v="Medium"/>
    <x v="2"/>
    <n v="4"/>
  </r>
  <r>
    <s v="Frank"/>
    <x v="0"/>
    <n v="50000"/>
    <x v="1"/>
    <x v="1"/>
    <s v="Clerk"/>
    <d v="2020-01-15T00:00:00"/>
    <x v="4"/>
    <s v="user@domain.com"/>
    <s v="098-765-4321"/>
    <s v="Young"/>
    <n v="6"/>
    <s v="Low"/>
    <x v="1"/>
    <n v="4"/>
  </r>
  <r>
    <s v="Bob"/>
    <x v="5"/>
    <n v="70000"/>
    <x v="0"/>
    <x v="4"/>
    <s v="Analyst"/>
    <d v="2018-04-05T00:00:00"/>
    <x v="4"/>
    <s v="user@domain.com"/>
    <s v="Missing"/>
    <s v="Senior"/>
    <n v="7"/>
    <s v="High"/>
    <x v="0"/>
    <n v="4"/>
  </r>
  <r>
    <s v="Hannah"/>
    <x v="5"/>
    <n v="65000"/>
    <x v="1"/>
    <x v="4"/>
    <s v="Assistant"/>
    <d v="2020-02-20T00:00:00"/>
    <x v="2"/>
    <s v="user@domain.com"/>
    <s v="098-765-4321"/>
    <s v="Senior"/>
    <n v="6"/>
    <s v="Medium"/>
    <x v="1"/>
    <n v="3"/>
  </r>
  <r>
    <s v="Jack"/>
    <x v="1"/>
    <n v="50000"/>
    <x v="2"/>
    <x v="1"/>
    <s v="Assistant"/>
    <d v="2019-03-25T00:00:00"/>
    <x v="3"/>
    <s v="email@example.com"/>
    <s v="123-456-7890"/>
    <s v="Mid-Career"/>
    <n v="6"/>
    <s v="Low"/>
    <x v="2"/>
    <n v="5"/>
  </r>
  <r>
    <s v="Eve"/>
    <x v="3"/>
    <n v="70000"/>
    <x v="2"/>
    <x v="4"/>
    <s v="Assistant"/>
    <d v="2020-02-20T00:00:00"/>
    <x v="0"/>
    <s v="Missing"/>
    <s v="Missing"/>
    <s v="Mid-Career"/>
    <n v="6"/>
    <s v="High"/>
    <x v="1"/>
    <n v="2"/>
  </r>
  <r>
    <s v="Grace"/>
    <x v="5"/>
    <n v="50000"/>
    <x v="1"/>
    <x v="3"/>
    <s v="Analyst"/>
    <d v="2019-12-01T00:00:00"/>
    <x v="4"/>
    <s v="name@company.org"/>
    <s v="555-555-5555"/>
    <s v="Senior"/>
    <n v="6"/>
    <s v="Low"/>
    <x v="2"/>
    <n v="4"/>
  </r>
  <r>
    <s v="Jack"/>
    <x v="0"/>
    <n v="50000"/>
    <x v="0"/>
    <x v="2"/>
    <s v="Analyst"/>
    <d v="2019-03-25T00:00:00"/>
    <x v="3"/>
    <s v="email@example.com"/>
    <s v="Missing"/>
    <s v="Young"/>
    <n v="6"/>
    <s v="Low"/>
    <x v="2"/>
    <n v="5"/>
  </r>
  <r>
    <s v="Bob"/>
    <x v="1"/>
    <n v="55000"/>
    <x v="1"/>
    <x v="2"/>
    <s v="Director"/>
    <d v="2020-02-20T00:00:00"/>
    <x v="1"/>
    <s v="user@domain.com"/>
    <s v="Missing"/>
    <s v="Mid-Career"/>
    <n v="6"/>
    <s v="Medium"/>
    <x v="1"/>
    <n v="1"/>
  </r>
  <r>
    <s v="Hannah"/>
    <x v="4"/>
    <n v="70000"/>
    <x v="0"/>
    <x v="3"/>
    <s v="Director"/>
    <d v="2019-03-25T00:00:00"/>
    <x v="4"/>
    <s v="email@example.com"/>
    <s v="123-456-7890"/>
    <s v="Mid-Career"/>
    <n v="6"/>
    <s v="High"/>
    <x v="2"/>
    <n v="4"/>
  </r>
  <r>
    <s v="Bob"/>
    <x v="5"/>
    <n v="65000"/>
    <x v="1"/>
    <x v="2"/>
    <s v="Manager"/>
    <d v="2020-01-15T00:00:00"/>
    <x v="4"/>
    <s v="email@example.com"/>
    <s v="098-765-4321"/>
    <s v="Senior"/>
    <n v="6"/>
    <s v="Medium"/>
    <x v="1"/>
    <n v="4"/>
  </r>
  <r>
    <s v="David"/>
    <x v="0"/>
    <n v="55000"/>
    <x v="2"/>
    <x v="0"/>
    <s v="Analyst"/>
    <d v="2018-04-05T00:00:00"/>
    <x v="0"/>
    <s v="email@example.com"/>
    <s v="123-456-7890"/>
    <s v="Young"/>
    <n v="7"/>
    <s v="Medium"/>
    <x v="0"/>
    <n v="2"/>
  </r>
  <r>
    <s v="Alice"/>
    <x v="2"/>
    <n v="50000"/>
    <x v="0"/>
    <x v="3"/>
    <s v="Analyst"/>
    <d v="2020-02-20T00:00:00"/>
    <x v="2"/>
    <s v="Missing"/>
    <s v="Missing"/>
    <s v="Mid-Career"/>
    <n v="6"/>
    <s v="Low"/>
    <x v="1"/>
    <n v="3"/>
  </r>
  <r>
    <s v="Eve"/>
    <x v="0"/>
    <s v=""/>
    <x v="0"/>
    <x v="4"/>
    <s v="Analyst"/>
    <d v="2019-12-01T00:00:00"/>
    <x v="2"/>
    <s v="Missing"/>
    <s v="555-555-5555"/>
    <s v="Young"/>
    <n v="6"/>
    <s v="High"/>
    <x v="2"/>
    <n v="3"/>
  </r>
  <r>
    <s v="Ivy"/>
    <x v="0"/>
    <n v="50000"/>
    <x v="0"/>
    <x v="3"/>
    <s v="Director"/>
    <d v="2020-01-15T00:00:00"/>
    <x v="4"/>
    <s v="name@company.org"/>
    <s v="Missing"/>
    <s v="Young"/>
    <n v="6"/>
    <s v="Low"/>
    <x v="1"/>
    <n v="4"/>
  </r>
  <r>
    <s v="Alice"/>
    <x v="1"/>
    <n v="50000"/>
    <x v="2"/>
    <x v="1"/>
    <s v="Assistant"/>
    <d v="2020-02-20T00:00:00"/>
    <x v="3"/>
    <s v="Missing"/>
    <s v="Missing"/>
    <s v="Mid-Career"/>
    <n v="6"/>
    <s v="Low"/>
    <x v="1"/>
    <n v="5"/>
  </r>
  <r>
    <s v="Ivy"/>
    <x v="4"/>
    <n v="70000"/>
    <x v="1"/>
    <x v="4"/>
    <s v="Clerk"/>
    <d v="2020-01-15T00:00:00"/>
    <x v="1"/>
    <s v="Missing"/>
    <s v="Missing"/>
    <s v="Mid-Career"/>
    <n v="6"/>
    <s v="High"/>
    <x v="1"/>
    <n v="1"/>
  </r>
  <r>
    <s v="Hannah"/>
    <x v="2"/>
    <n v="70000"/>
    <x v="2"/>
    <x v="1"/>
    <s v="Director"/>
    <d v="2019-12-01T00:00:00"/>
    <x v="1"/>
    <s v="Missing"/>
    <s v="Missing"/>
    <s v="Mid-Career"/>
    <n v="6"/>
    <s v="High"/>
    <x v="2"/>
    <n v="1"/>
  </r>
  <r>
    <s v="Frank"/>
    <x v="3"/>
    <n v="55000"/>
    <x v="0"/>
    <x v="4"/>
    <s v="Analyst"/>
    <d v="2020-02-20T00:00:00"/>
    <x v="3"/>
    <s v="Missing"/>
    <s v="Missing"/>
    <s v="Mid-Career"/>
    <n v="6"/>
    <s v="Medium"/>
    <x v="1"/>
    <n v="5"/>
  </r>
  <r>
    <s v="Grace"/>
    <x v="3"/>
    <n v="65000"/>
    <x v="1"/>
    <x v="2"/>
    <s v="Director"/>
    <d v="2019-12-01T00:00:00"/>
    <x v="4"/>
    <s v="email@example.com"/>
    <s v="098-765-4321"/>
    <s v="Mid-Career"/>
    <n v="6"/>
    <s v="Medium"/>
    <x v="2"/>
    <n v="4"/>
  </r>
  <r>
    <s v="Charlie"/>
    <x v="0"/>
    <n v="55000"/>
    <x v="2"/>
    <x v="3"/>
    <s v="Manager"/>
    <d v="2019-03-25T00:00:00"/>
    <x v="1"/>
    <s v="email@example.com"/>
    <s v="Missing"/>
    <s v="Young"/>
    <n v="6"/>
    <s v="Medium"/>
    <x v="2"/>
    <n v="1"/>
  </r>
  <r>
    <s v="Alice"/>
    <x v="1"/>
    <n v="60000"/>
    <x v="0"/>
    <x v="0"/>
    <s v="Analyst"/>
    <d v="2019-12-01T00:00:00"/>
    <x v="2"/>
    <s v="user@domain.com"/>
    <s v="123-456-7890"/>
    <s v="Mid-Career"/>
    <n v="6"/>
    <s v="Medium"/>
    <x v="2"/>
    <n v="3"/>
  </r>
  <r>
    <s v="Eve"/>
    <x v="1"/>
    <n v="50000"/>
    <x v="0"/>
    <x v="4"/>
    <s v="Manager"/>
    <d v="2019-03-25T00:00:00"/>
    <x v="3"/>
    <s v="Missing"/>
    <s v="Missing"/>
    <s v="Mid-Career"/>
    <n v="6"/>
    <s v="Low"/>
    <x v="2"/>
    <n v="5"/>
  </r>
  <r>
    <s v="Bob"/>
    <x v="3"/>
    <s v=""/>
    <x v="2"/>
    <x v="4"/>
    <s v="Analyst"/>
    <d v="2020-02-20T00:00:00"/>
    <x v="0"/>
    <s v="user@domain.com"/>
    <s v="123-456-7890"/>
    <s v="Mid-Career"/>
    <n v="6"/>
    <s v="High"/>
    <x v="1"/>
    <n v="2"/>
  </r>
  <r>
    <s v="Eve"/>
    <x v="2"/>
    <n v="50000"/>
    <x v="2"/>
    <x v="1"/>
    <s v="Director"/>
    <d v="2019-03-25T00:00:00"/>
    <x v="4"/>
    <s v="name@company.org"/>
    <s v="Missing"/>
    <s v="Mid-Career"/>
    <n v="6"/>
    <s v="Low"/>
    <x v="2"/>
    <n v="4"/>
  </r>
  <r>
    <s v="Hannah"/>
    <x v="4"/>
    <n v="50000"/>
    <x v="2"/>
    <x v="2"/>
    <s v="Assistant"/>
    <d v="2020-02-20T00:00:00"/>
    <x v="3"/>
    <s v="email@example.com"/>
    <s v="Missing"/>
    <s v="Mid-Career"/>
    <n v="6"/>
    <s v="Low"/>
    <x v="1"/>
    <n v="5"/>
  </r>
  <r>
    <s v="Ivy"/>
    <x v="2"/>
    <n v="55000"/>
    <x v="0"/>
    <x v="1"/>
    <s v="Clerk"/>
    <d v="2020-02-20T00:00:00"/>
    <x v="1"/>
    <s v="name@company.org"/>
    <s v="Missing"/>
    <s v="Mid-Career"/>
    <n v="6"/>
    <s v="Medium"/>
    <x v="1"/>
    <n v="1"/>
  </r>
  <r>
    <s v="Bob"/>
    <x v="5"/>
    <s v=""/>
    <x v="2"/>
    <x v="1"/>
    <s v="Manager"/>
    <d v="2018-04-05T00:00:00"/>
    <x v="4"/>
    <s v="Missing"/>
    <s v="Missing"/>
    <s v="Senior"/>
    <n v="7"/>
    <s v="High"/>
    <x v="0"/>
    <n v="4"/>
  </r>
  <r>
    <s v="Charlie"/>
    <x v="5"/>
    <s v=""/>
    <x v="0"/>
    <x v="2"/>
    <s v="Director"/>
    <d v="2020-02-20T00:00:00"/>
    <x v="2"/>
    <s v="email@example.com"/>
    <s v="098-765-4321"/>
    <s v="Senior"/>
    <n v="6"/>
    <s v="High"/>
    <x v="1"/>
    <n v="3"/>
  </r>
  <r>
    <s v="Charlie"/>
    <x v="4"/>
    <s v=""/>
    <x v="2"/>
    <x v="0"/>
    <s v="Assistant"/>
    <d v="2019-03-25T00:00:00"/>
    <x v="4"/>
    <s v="name@company.org"/>
    <s v="Missing"/>
    <s v="Mid-Career"/>
    <n v="6"/>
    <s v="High"/>
    <x v="2"/>
    <n v="4"/>
  </r>
  <r>
    <s v="Alice"/>
    <x v="3"/>
    <n v="55000"/>
    <x v="0"/>
    <x v="1"/>
    <s v="Director"/>
    <d v="2018-04-05T00:00:00"/>
    <x v="4"/>
    <s v="Missing"/>
    <s v="123-456-7890"/>
    <s v="Mid-Career"/>
    <n v="7"/>
    <s v="Medium"/>
    <x v="0"/>
    <n v="4"/>
  </r>
  <r>
    <s v="Hannah"/>
    <x v="4"/>
    <n v="50000"/>
    <x v="0"/>
    <x v="1"/>
    <s v="Manager"/>
    <d v="2018-04-05T00:00:00"/>
    <x v="2"/>
    <s v="name@company.org"/>
    <s v="123-456-7890"/>
    <s v="Mid-Career"/>
    <n v="7"/>
    <s v="Low"/>
    <x v="0"/>
    <n v="3"/>
  </r>
  <r>
    <s v="Frank"/>
    <x v="1"/>
    <n v="55000"/>
    <x v="1"/>
    <x v="4"/>
    <s v="Clerk"/>
    <d v="2020-02-20T00:00:00"/>
    <x v="2"/>
    <s v="Missing"/>
    <s v="Missing"/>
    <s v="Mid-Career"/>
    <n v="6"/>
    <s v="Medium"/>
    <x v="1"/>
    <n v="3"/>
  </r>
  <r>
    <s v="Hannah"/>
    <x v="5"/>
    <n v="70000"/>
    <x v="2"/>
    <x v="2"/>
    <s v="Director"/>
    <d v="2019-12-01T00:00:00"/>
    <x v="4"/>
    <s v="Missing"/>
    <s v="098-765-4321"/>
    <s v="Senior"/>
    <n v="6"/>
    <s v="High"/>
    <x v="2"/>
    <n v="4"/>
  </r>
  <r>
    <s v="Ivy"/>
    <x v="0"/>
    <n v="70000"/>
    <x v="2"/>
    <x v="3"/>
    <s v="Analyst"/>
    <d v="2019-12-01T00:00:00"/>
    <x v="2"/>
    <s v="email@example.com"/>
    <s v="098-765-4321"/>
    <s v="Young"/>
    <n v="6"/>
    <s v="High"/>
    <x v="2"/>
    <n v="3"/>
  </r>
  <r>
    <s v="Eve"/>
    <x v="0"/>
    <n v="55000"/>
    <x v="0"/>
    <x v="0"/>
    <s v="Assistant"/>
    <d v="2018-04-05T00:00:00"/>
    <x v="3"/>
    <s v="user@domain.com"/>
    <s v="098-765-4321"/>
    <s v="Young"/>
    <n v="7"/>
    <s v="Medium"/>
    <x v="0"/>
    <n v="5"/>
  </r>
  <r>
    <s v="Charlie"/>
    <x v="3"/>
    <s v=""/>
    <x v="0"/>
    <x v="0"/>
    <s v="Director"/>
    <d v="2020-02-20T00:00:00"/>
    <x v="2"/>
    <s v="Missing"/>
    <s v="123-456-7890"/>
    <s v="Mid-Career"/>
    <n v="6"/>
    <s v="High"/>
    <x v="1"/>
    <n v="3"/>
  </r>
  <r>
    <s v="Eve"/>
    <x v="1"/>
    <n v="50000"/>
    <x v="0"/>
    <x v="2"/>
    <s v="Assistant"/>
    <d v="2019-12-01T00:00:00"/>
    <x v="2"/>
    <s v="Missing"/>
    <s v="Missing"/>
    <s v="Mid-Career"/>
    <n v="6"/>
    <s v="Low"/>
    <x v="2"/>
    <n v="3"/>
  </r>
  <r>
    <s v="Eve"/>
    <x v="2"/>
    <n v="55000"/>
    <x v="1"/>
    <x v="4"/>
    <s v="Analyst"/>
    <d v="2020-02-20T00:00:00"/>
    <x v="4"/>
    <s v="email@example.com"/>
    <s v="098-765-4321"/>
    <s v="Mid-Career"/>
    <n v="6"/>
    <s v="Medium"/>
    <x v="1"/>
    <n v="4"/>
  </r>
  <r>
    <s v="Eve"/>
    <x v="1"/>
    <n v="55000"/>
    <x v="1"/>
    <x v="4"/>
    <s v="Clerk"/>
    <d v="2020-02-20T00:00:00"/>
    <x v="3"/>
    <s v="user@domain.com"/>
    <s v="123-456-7890"/>
    <s v="Mid-Career"/>
    <n v="6"/>
    <s v="Medium"/>
    <x v="1"/>
    <n v="5"/>
  </r>
  <r>
    <s v="Charlie"/>
    <x v="0"/>
    <n v="55000"/>
    <x v="0"/>
    <x v="2"/>
    <s v="Clerk"/>
    <d v="2018-04-05T00:00:00"/>
    <x v="0"/>
    <s v="Missing"/>
    <s v="123-456-7890"/>
    <s v="Young"/>
    <n v="7"/>
    <s v="Medium"/>
    <x v="0"/>
    <n v="2"/>
  </r>
  <r>
    <s v="Jack"/>
    <x v="0"/>
    <n v="60000"/>
    <x v="2"/>
    <x v="4"/>
    <s v="Analyst"/>
    <d v="2018-04-05T00:00:00"/>
    <x v="0"/>
    <s v="Missing"/>
    <s v="Missing"/>
    <s v="Young"/>
    <n v="7"/>
    <s v="Medium"/>
    <x v="0"/>
    <n v="2"/>
  </r>
  <r>
    <s v="David"/>
    <x v="5"/>
    <n v="70000"/>
    <x v="2"/>
    <x v="0"/>
    <s v="Assistant"/>
    <d v="2020-01-15T00:00:00"/>
    <x v="1"/>
    <s v="user@domain.com"/>
    <s v="Missing"/>
    <s v="Senior"/>
    <n v="6"/>
    <s v="High"/>
    <x v="1"/>
    <n v="1"/>
  </r>
  <r>
    <s v="Ivy"/>
    <x v="1"/>
    <s v=""/>
    <x v="1"/>
    <x v="0"/>
    <s v="Director"/>
    <d v="2019-12-01T00:00:00"/>
    <x v="2"/>
    <s v="name@company.org"/>
    <s v="Missing"/>
    <s v="Mid-Career"/>
    <n v="6"/>
    <s v="High"/>
    <x v="2"/>
    <n v="3"/>
  </r>
  <r>
    <s v="Jack"/>
    <x v="1"/>
    <n v="65000"/>
    <x v="1"/>
    <x v="3"/>
    <s v="Analyst"/>
    <d v="2019-12-01T00:00:00"/>
    <x v="2"/>
    <s v="email@example.com"/>
    <s v="098-765-4321"/>
    <s v="Mid-Career"/>
    <n v="6"/>
    <s v="Medium"/>
    <x v="2"/>
    <n v="3"/>
  </r>
  <r>
    <s v="Ivy"/>
    <x v="0"/>
    <s v=""/>
    <x v="0"/>
    <x v="2"/>
    <s v="Manager"/>
    <d v="2019-12-01T00:00:00"/>
    <x v="3"/>
    <s v="user@domain.com"/>
    <s v="098-765-4321"/>
    <s v="Young"/>
    <n v="6"/>
    <s v="High"/>
    <x v="2"/>
    <n v="5"/>
  </r>
  <r>
    <s v="Bob"/>
    <x v="2"/>
    <n v="65000"/>
    <x v="2"/>
    <x v="1"/>
    <s v="Assistant"/>
    <d v="2019-03-25T00:00:00"/>
    <x v="0"/>
    <s v="Missing"/>
    <s v="Missing"/>
    <s v="Mid-Career"/>
    <n v="6"/>
    <s v="Medium"/>
    <x v="2"/>
    <n v="2"/>
  </r>
  <r>
    <s v="Hannah"/>
    <x v="3"/>
    <n v="60000"/>
    <x v="0"/>
    <x v="1"/>
    <s v="Clerk"/>
    <d v="2020-02-20T00:00:00"/>
    <x v="1"/>
    <s v="Missing"/>
    <s v="098-765-4321"/>
    <s v="Mid-Career"/>
    <n v="6"/>
    <s v="Medium"/>
    <x v="1"/>
    <n v="1"/>
  </r>
  <r>
    <s v="Hannah"/>
    <x v="3"/>
    <n v="55000"/>
    <x v="1"/>
    <x v="3"/>
    <s v="Analyst"/>
    <d v="2018-04-05T00:00:00"/>
    <x v="3"/>
    <s v="Missing"/>
    <s v="Missing"/>
    <s v="Mid-Career"/>
    <n v="7"/>
    <s v="Medium"/>
    <x v="0"/>
    <n v="5"/>
  </r>
  <r>
    <s v="Grace"/>
    <x v="1"/>
    <n v="60000"/>
    <x v="2"/>
    <x v="3"/>
    <s v="Clerk"/>
    <d v="2019-12-01T00:00:00"/>
    <x v="2"/>
    <s v="Missing"/>
    <s v="123-456-7890"/>
    <s v="Mid-Career"/>
    <n v="6"/>
    <s v="Medium"/>
    <x v="2"/>
    <n v="3"/>
  </r>
  <r>
    <s v="Hannah"/>
    <x v="3"/>
    <n v="60000"/>
    <x v="2"/>
    <x v="4"/>
    <s v="Assistant"/>
    <d v="2020-01-15T00:00:00"/>
    <x v="0"/>
    <s v="email@example.com"/>
    <s v="098-765-4321"/>
    <s v="Mid-Career"/>
    <n v="6"/>
    <s v="Medium"/>
    <x v="1"/>
    <n v="2"/>
  </r>
  <r>
    <s v="Charlie"/>
    <x v="0"/>
    <n v="50000"/>
    <x v="1"/>
    <x v="3"/>
    <s v="Clerk"/>
    <d v="2019-12-01T00:00:00"/>
    <x v="1"/>
    <s v="Missing"/>
    <s v="123-456-7890"/>
    <s v="Young"/>
    <n v="6"/>
    <s v="Low"/>
    <x v="2"/>
    <n v="1"/>
  </r>
  <r>
    <s v="Frank"/>
    <x v="0"/>
    <n v="70000"/>
    <x v="0"/>
    <x v="3"/>
    <s v="Analyst"/>
    <d v="2020-02-20T00:00:00"/>
    <x v="4"/>
    <s v="user@domain.com"/>
    <s v="555-555-5555"/>
    <s v="Young"/>
    <n v="6"/>
    <s v="High"/>
    <x v="1"/>
    <n v="4"/>
  </r>
  <r>
    <s v="Alice"/>
    <x v="1"/>
    <n v="65000"/>
    <x v="0"/>
    <x v="1"/>
    <s v="Assistant"/>
    <d v="2020-02-20T00:00:00"/>
    <x v="0"/>
    <s v="Missing"/>
    <s v="Missing"/>
    <s v="Mid-Career"/>
    <n v="6"/>
    <s v="Medium"/>
    <x v="1"/>
    <n v="2"/>
  </r>
  <r>
    <s v="Grace"/>
    <x v="1"/>
    <n v="55000"/>
    <x v="2"/>
    <x v="4"/>
    <s v="Manager"/>
    <d v="2018-04-05T00:00:00"/>
    <x v="1"/>
    <s v="name@company.org"/>
    <s v="555-555-5555"/>
    <s v="Mid-Career"/>
    <n v="7"/>
    <s v="Medium"/>
    <x v="0"/>
    <n v="1"/>
  </r>
  <r>
    <s v="Alice"/>
    <x v="5"/>
    <n v="65000"/>
    <x v="1"/>
    <x v="3"/>
    <s v="Analyst"/>
    <d v="2019-03-25T00:00:00"/>
    <x v="3"/>
    <s v="user@domain.com"/>
    <s v="098-765-4321"/>
    <s v="Senior"/>
    <n v="6"/>
    <s v="Medium"/>
    <x v="2"/>
    <n v="5"/>
  </r>
  <r>
    <s v="Ivy"/>
    <x v="1"/>
    <s v=""/>
    <x v="2"/>
    <x v="3"/>
    <s v="Director"/>
    <d v="2018-04-05T00:00:00"/>
    <x v="4"/>
    <s v="email@example.com"/>
    <s v="123-456-7890"/>
    <s v="Mid-Career"/>
    <n v="7"/>
    <s v="High"/>
    <x v="0"/>
    <n v="4"/>
  </r>
  <r>
    <s v="Alice"/>
    <x v="2"/>
    <n v="65000"/>
    <x v="1"/>
    <x v="4"/>
    <s v="Analyst"/>
    <d v="2019-12-01T00:00:00"/>
    <x v="1"/>
    <s v="user@domain.com"/>
    <s v="098-765-4321"/>
    <s v="Mid-Career"/>
    <n v="6"/>
    <s v="Medium"/>
    <x v="2"/>
    <n v="1"/>
  </r>
  <r>
    <s v="Alice"/>
    <x v="3"/>
    <s v=""/>
    <x v="0"/>
    <x v="2"/>
    <s v="Assistant"/>
    <d v="2020-01-15T00:00:00"/>
    <x v="1"/>
    <s v="name@company.org"/>
    <s v="555-555-5555"/>
    <s v="Mid-Career"/>
    <n v="6"/>
    <s v="High"/>
    <x v="1"/>
    <n v="1"/>
  </r>
  <r>
    <s v="Grace"/>
    <x v="1"/>
    <n v="70000"/>
    <x v="1"/>
    <x v="4"/>
    <s v="Analyst"/>
    <d v="2018-04-05T00:00:00"/>
    <x v="2"/>
    <s v="email@example.com"/>
    <s v="098-765-4321"/>
    <s v="Mid-Career"/>
    <n v="7"/>
    <s v="High"/>
    <x v="0"/>
    <n v="3"/>
  </r>
  <r>
    <s v="Bob"/>
    <x v="4"/>
    <s v=""/>
    <x v="0"/>
    <x v="1"/>
    <s v="Manager"/>
    <d v="2019-03-25T00:00:00"/>
    <x v="0"/>
    <s v="Missing"/>
    <s v="Missing"/>
    <s v="Mid-Career"/>
    <n v="6"/>
    <s v="High"/>
    <x v="2"/>
    <n v="2"/>
  </r>
  <r>
    <s v="Eve"/>
    <x v="5"/>
    <n v="65000"/>
    <x v="1"/>
    <x v="2"/>
    <s v="Manager"/>
    <d v="2018-04-05T00:00:00"/>
    <x v="2"/>
    <s v="name@company.org"/>
    <s v="555-555-5555"/>
    <s v="Senior"/>
    <n v="7"/>
    <s v="Medium"/>
    <x v="0"/>
    <n v="3"/>
  </r>
  <r>
    <s v="Hannah"/>
    <x v="4"/>
    <n v="65000"/>
    <x v="2"/>
    <x v="0"/>
    <s v="Director"/>
    <d v="2020-02-20T00:00:00"/>
    <x v="4"/>
    <s v="email@example.com"/>
    <s v="098-765-4321"/>
    <s v="Mid-Career"/>
    <n v="6"/>
    <s v="Medium"/>
    <x v="1"/>
    <n v="4"/>
  </r>
  <r>
    <s v="Hannah"/>
    <x v="0"/>
    <s v=""/>
    <x v="0"/>
    <x v="4"/>
    <s v="Clerk"/>
    <d v="2019-12-01T00:00:00"/>
    <x v="1"/>
    <s v="Missing"/>
    <s v="123-456-7890"/>
    <s v="Young"/>
    <n v="6"/>
    <s v="High"/>
    <x v="2"/>
    <n v="1"/>
  </r>
  <r>
    <s v="Charlie"/>
    <x v="3"/>
    <n v="60000"/>
    <x v="2"/>
    <x v="1"/>
    <s v="Assistant"/>
    <d v="2019-12-01T00:00:00"/>
    <x v="2"/>
    <s v="user@domain.com"/>
    <s v="098-765-4321"/>
    <s v="Mid-Career"/>
    <n v="6"/>
    <s v="Medium"/>
    <x v="2"/>
    <n v="3"/>
  </r>
  <r>
    <s v="Grace"/>
    <x v="1"/>
    <n v="70000"/>
    <x v="2"/>
    <x v="2"/>
    <s v="Assistant"/>
    <d v="2019-12-01T00:00:00"/>
    <x v="0"/>
    <s v="email@example.com"/>
    <s v="123-456-7890"/>
    <s v="Mid-Career"/>
    <n v="6"/>
    <s v="High"/>
    <x v="2"/>
    <n v="2"/>
  </r>
  <r>
    <s v="Charlie"/>
    <x v="4"/>
    <n v="50000"/>
    <x v="0"/>
    <x v="4"/>
    <s v="Clerk"/>
    <d v="2019-12-01T00:00:00"/>
    <x v="4"/>
    <s v="user@domain.com"/>
    <s v="Missing"/>
    <s v="Mid-Career"/>
    <n v="6"/>
    <s v="Low"/>
    <x v="2"/>
    <n v="4"/>
  </r>
  <r>
    <s v="Frank"/>
    <x v="3"/>
    <n v="55000"/>
    <x v="0"/>
    <x v="3"/>
    <s v="Manager"/>
    <d v="2019-12-01T00:00:00"/>
    <x v="3"/>
    <s v="Missing"/>
    <s v="098-765-4321"/>
    <s v="Mid-Career"/>
    <n v="6"/>
    <s v="Medium"/>
    <x v="2"/>
    <n v="5"/>
  </r>
  <r>
    <s v="Frank"/>
    <x v="0"/>
    <n v="65000"/>
    <x v="2"/>
    <x v="4"/>
    <s v="Manager"/>
    <d v="2019-12-01T00:00:00"/>
    <x v="2"/>
    <s v="email@example.com"/>
    <s v="Missing"/>
    <s v="Young"/>
    <n v="6"/>
    <s v="Medium"/>
    <x v="2"/>
    <n v="3"/>
  </r>
  <r>
    <s v="Charlie"/>
    <x v="2"/>
    <n v="55000"/>
    <x v="2"/>
    <x v="0"/>
    <s v="Analyst"/>
    <d v="2020-01-15T00:00:00"/>
    <x v="4"/>
    <s v="Missing"/>
    <s v="555-555-5555"/>
    <s v="Mid-Career"/>
    <n v="6"/>
    <s v="Medium"/>
    <x v="1"/>
    <n v="4"/>
  </r>
  <r>
    <s v="Grace"/>
    <x v="5"/>
    <n v="50000"/>
    <x v="2"/>
    <x v="4"/>
    <s v="Director"/>
    <d v="2019-03-25T00:00:00"/>
    <x v="3"/>
    <s v="name@company.org"/>
    <s v="123-456-7890"/>
    <s v="Senior"/>
    <n v="6"/>
    <s v="Low"/>
    <x v="2"/>
    <n v="5"/>
  </r>
  <r>
    <s v="Charlie"/>
    <x v="3"/>
    <n v="55000"/>
    <x v="2"/>
    <x v="2"/>
    <s v="Director"/>
    <d v="2019-12-01T00:00:00"/>
    <x v="2"/>
    <s v="email@example.com"/>
    <s v="555-555-5555"/>
    <s v="Mid-Career"/>
    <n v="6"/>
    <s v="Medium"/>
    <x v="2"/>
    <n v="3"/>
  </r>
  <r>
    <s v="Hannah"/>
    <x v="3"/>
    <n v="50000"/>
    <x v="0"/>
    <x v="2"/>
    <s v="Director"/>
    <d v="2019-03-25T00:00:00"/>
    <x v="4"/>
    <s v="Missing"/>
    <s v="123-456-7890"/>
    <s v="Mid-Career"/>
    <n v="6"/>
    <s v="Low"/>
    <x v="2"/>
    <n v="4"/>
  </r>
  <r>
    <s v="Jack"/>
    <x v="2"/>
    <s v=""/>
    <x v="0"/>
    <x v="4"/>
    <s v="Analyst"/>
    <d v="2019-12-01T00:00:00"/>
    <x v="4"/>
    <s v="email@example.com"/>
    <s v="Missing"/>
    <s v="Mid-Career"/>
    <n v="6"/>
    <s v="High"/>
    <x v="2"/>
    <n v="4"/>
  </r>
  <r>
    <s v="David"/>
    <x v="3"/>
    <n v="60000"/>
    <x v="2"/>
    <x v="2"/>
    <s v="Director"/>
    <d v="2018-04-05T00:00:00"/>
    <x v="2"/>
    <s v="user@domain.com"/>
    <s v="Missing"/>
    <s v="Mid-Career"/>
    <n v="7"/>
    <s v="Medium"/>
    <x v="0"/>
    <n v="3"/>
  </r>
  <r>
    <s v="Alice"/>
    <x v="0"/>
    <n v="65000"/>
    <x v="1"/>
    <x v="3"/>
    <s v="Clerk"/>
    <d v="2019-12-01T00:00:00"/>
    <x v="4"/>
    <s v="email@example.com"/>
    <s v="098-765-4321"/>
    <s v="Young"/>
    <n v="6"/>
    <s v="Medium"/>
    <x v="2"/>
    <n v="4"/>
  </r>
  <r>
    <s v="David"/>
    <x v="0"/>
    <n v="50000"/>
    <x v="1"/>
    <x v="4"/>
    <s v="Analyst"/>
    <d v="2020-02-20T00:00:00"/>
    <x v="1"/>
    <s v="Missing"/>
    <s v="Missing"/>
    <s v="Young"/>
    <n v="6"/>
    <s v="Low"/>
    <x v="1"/>
    <n v="1"/>
  </r>
  <r>
    <s v="Grace"/>
    <x v="2"/>
    <n v="55000"/>
    <x v="0"/>
    <x v="3"/>
    <s v="Clerk"/>
    <d v="2020-01-15T00:00:00"/>
    <x v="2"/>
    <s v="email@example.com"/>
    <s v="123-456-7890"/>
    <s v="Mid-Career"/>
    <n v="6"/>
    <s v="Medium"/>
    <x v="1"/>
    <n v="3"/>
  </r>
  <r>
    <s v="David"/>
    <x v="5"/>
    <n v="65000"/>
    <x v="2"/>
    <x v="3"/>
    <s v="Analyst"/>
    <d v="2018-04-05T00:00:00"/>
    <x v="4"/>
    <s v="name@company.org"/>
    <s v="123-456-7890"/>
    <s v="Senior"/>
    <n v="7"/>
    <s v="Medium"/>
    <x v="0"/>
    <n v="4"/>
  </r>
  <r>
    <s v="Frank"/>
    <x v="1"/>
    <n v="60000"/>
    <x v="2"/>
    <x v="1"/>
    <s v="Director"/>
    <d v="2018-04-05T00:00:00"/>
    <x v="3"/>
    <s v="email@example.com"/>
    <s v="123-456-7890"/>
    <s v="Mid-Career"/>
    <n v="7"/>
    <s v="Medium"/>
    <x v="0"/>
    <n v="5"/>
  </r>
  <r>
    <s v="Ivy"/>
    <x v="4"/>
    <s v=""/>
    <x v="0"/>
    <x v="4"/>
    <s v="Clerk"/>
    <d v="2020-02-20T00:00:00"/>
    <x v="3"/>
    <s v="user@domain.com"/>
    <s v="123-456-7890"/>
    <s v="Mid-Career"/>
    <n v="6"/>
    <s v="High"/>
    <x v="1"/>
    <n v="5"/>
  </r>
  <r>
    <s v="Alice"/>
    <x v="1"/>
    <n v="65000"/>
    <x v="1"/>
    <x v="2"/>
    <s v="Clerk"/>
    <d v="2019-12-01T00:00:00"/>
    <x v="1"/>
    <s v="email@example.com"/>
    <s v="098-765-4321"/>
    <s v="Mid-Career"/>
    <n v="6"/>
    <s v="Medium"/>
    <x v="2"/>
    <n v="1"/>
  </r>
  <r>
    <s v="Eve"/>
    <x v="3"/>
    <n v="50000"/>
    <x v="1"/>
    <x v="3"/>
    <s v="Clerk"/>
    <d v="2020-01-15T00:00:00"/>
    <x v="2"/>
    <s v="Missing"/>
    <s v="555-555-5555"/>
    <s v="Mid-Career"/>
    <n v="6"/>
    <s v="Low"/>
    <x v="1"/>
    <n v="3"/>
  </r>
  <r>
    <s v="Grace"/>
    <x v="4"/>
    <n v="60000"/>
    <x v="1"/>
    <x v="1"/>
    <s v="Analyst"/>
    <d v="2018-04-05T00:00:00"/>
    <x v="4"/>
    <s v="Missing"/>
    <s v="Missing"/>
    <s v="Mid-Career"/>
    <n v="7"/>
    <s v="Medium"/>
    <x v="0"/>
    <n v="4"/>
  </r>
  <r>
    <s v="Alice"/>
    <x v="2"/>
    <n v="55000"/>
    <x v="0"/>
    <x v="4"/>
    <s v="Assistant"/>
    <d v="2020-01-15T00:00:00"/>
    <x v="4"/>
    <s v="email@example.com"/>
    <s v="098-765-4321"/>
    <s v="Mid-Career"/>
    <n v="6"/>
    <s v="Medium"/>
    <x v="1"/>
    <n v="4"/>
  </r>
  <r>
    <s v="David"/>
    <x v="2"/>
    <n v="60000"/>
    <x v="1"/>
    <x v="4"/>
    <s v="Director"/>
    <d v="2018-04-05T00:00:00"/>
    <x v="3"/>
    <s v="email@example.com"/>
    <s v="123-456-7890"/>
    <s v="Mid-Career"/>
    <n v="7"/>
    <s v="Medium"/>
    <x v="0"/>
    <n v="5"/>
  </r>
  <r>
    <s v="Frank"/>
    <x v="5"/>
    <n v="60000"/>
    <x v="0"/>
    <x v="0"/>
    <s v="Clerk"/>
    <d v="2019-12-01T00:00:00"/>
    <x v="1"/>
    <s v="name@company.org"/>
    <s v="098-765-4321"/>
    <s v="Senior"/>
    <n v="6"/>
    <s v="Medium"/>
    <x v="2"/>
    <n v="1"/>
  </r>
  <r>
    <s v="Bob"/>
    <x v="4"/>
    <n v="70000"/>
    <x v="0"/>
    <x v="0"/>
    <s v="Assistant"/>
    <d v="2018-04-05T00:00:00"/>
    <x v="3"/>
    <s v="Missing"/>
    <s v="Missing"/>
    <s v="Mid-Career"/>
    <n v="7"/>
    <s v="High"/>
    <x v="0"/>
    <n v="5"/>
  </r>
  <r>
    <s v="Jack"/>
    <x v="0"/>
    <n v="60000"/>
    <x v="2"/>
    <x v="3"/>
    <s v="Director"/>
    <d v="2018-04-05T00:00:00"/>
    <x v="3"/>
    <s v="Missing"/>
    <s v="123-456-7890"/>
    <s v="Young"/>
    <n v="7"/>
    <s v="Medium"/>
    <x v="0"/>
    <n v="5"/>
  </r>
  <r>
    <s v="Eve"/>
    <x v="4"/>
    <n v="60000"/>
    <x v="1"/>
    <x v="0"/>
    <s v="Director"/>
    <d v="2019-03-25T00:00:00"/>
    <x v="1"/>
    <s v="user@domain.com"/>
    <s v="Missing"/>
    <s v="Mid-Career"/>
    <n v="6"/>
    <s v="Medium"/>
    <x v="2"/>
    <n v="1"/>
  </r>
  <r>
    <s v="Jack"/>
    <x v="3"/>
    <n v="65000"/>
    <x v="0"/>
    <x v="3"/>
    <s v="Clerk"/>
    <d v="2019-12-01T00:00:00"/>
    <x v="2"/>
    <s v="email@example.com"/>
    <s v="123-456-7890"/>
    <s v="Mid-Career"/>
    <n v="6"/>
    <s v="Medium"/>
    <x v="2"/>
    <n v="3"/>
  </r>
  <r>
    <s v="Alice"/>
    <x v="0"/>
    <n v="55000"/>
    <x v="1"/>
    <x v="2"/>
    <s v="Clerk"/>
    <d v="2020-02-20T00:00:00"/>
    <x v="4"/>
    <s v="Missing"/>
    <s v="Missing"/>
    <s v="Young"/>
    <n v="6"/>
    <s v="Medium"/>
    <x v="1"/>
    <n v="4"/>
  </r>
  <r>
    <s v="Frank"/>
    <x v="2"/>
    <n v="65000"/>
    <x v="1"/>
    <x v="3"/>
    <s v="Analyst"/>
    <d v="2020-02-20T00:00:00"/>
    <x v="2"/>
    <s v="user@domain.com"/>
    <s v="Missing"/>
    <s v="Mid-Career"/>
    <n v="6"/>
    <s v="Medium"/>
    <x v="1"/>
    <n v="3"/>
  </r>
  <r>
    <s v="Frank"/>
    <x v="4"/>
    <n v="65000"/>
    <x v="2"/>
    <x v="0"/>
    <s v="Assistant"/>
    <d v="2019-12-01T00:00:00"/>
    <x v="0"/>
    <s v="Missing"/>
    <s v="555-555-5555"/>
    <s v="Mid-Career"/>
    <n v="6"/>
    <s v="Medium"/>
    <x v="2"/>
    <n v="2"/>
  </r>
  <r>
    <s v="David"/>
    <x v="1"/>
    <n v="50000"/>
    <x v="1"/>
    <x v="2"/>
    <s v="Assistant"/>
    <d v="2020-02-20T00:00:00"/>
    <x v="0"/>
    <s v="Missing"/>
    <s v="555-555-5555"/>
    <s v="Mid-Career"/>
    <n v="6"/>
    <s v="Low"/>
    <x v="1"/>
    <n v="2"/>
  </r>
  <r>
    <s v="Hannah"/>
    <x v="5"/>
    <n v="65000"/>
    <x v="2"/>
    <x v="0"/>
    <s v="Clerk"/>
    <d v="2019-12-01T00:00:00"/>
    <x v="0"/>
    <s v="Missing"/>
    <s v="098-765-4321"/>
    <s v="Senior"/>
    <n v="6"/>
    <s v="Medium"/>
    <x v="2"/>
    <n v="2"/>
  </r>
  <r>
    <s v="David"/>
    <x v="1"/>
    <n v="70000"/>
    <x v="0"/>
    <x v="3"/>
    <s v="Director"/>
    <d v="2020-02-20T00:00:00"/>
    <x v="1"/>
    <s v="user@domain.com"/>
    <s v="098-765-4321"/>
    <s v="Mid-Career"/>
    <n v="6"/>
    <s v="High"/>
    <x v="1"/>
    <n v="1"/>
  </r>
  <r>
    <s v="Hannah"/>
    <x v="5"/>
    <n v="70000"/>
    <x v="1"/>
    <x v="1"/>
    <s v="Clerk"/>
    <d v="2019-03-25T00:00:00"/>
    <x v="3"/>
    <s v="Missing"/>
    <s v="Missing"/>
    <s v="Senior"/>
    <n v="6"/>
    <s v="High"/>
    <x v="2"/>
    <n v="5"/>
  </r>
  <r>
    <s v="Hannah"/>
    <x v="3"/>
    <n v="50000"/>
    <x v="0"/>
    <x v="4"/>
    <s v="Director"/>
    <d v="2020-02-20T00:00:00"/>
    <x v="2"/>
    <s v="Missing"/>
    <s v="123-456-7890"/>
    <s v="Mid-Career"/>
    <n v="6"/>
    <s v="Low"/>
    <x v="1"/>
    <n v="3"/>
  </r>
  <r>
    <s v="Eve"/>
    <x v="1"/>
    <s v=""/>
    <x v="1"/>
    <x v="0"/>
    <s v="Director"/>
    <d v="2018-04-05T00:00:00"/>
    <x v="4"/>
    <s v="Missing"/>
    <s v="Missing"/>
    <s v="Mid-Career"/>
    <n v="7"/>
    <s v="High"/>
    <x v="0"/>
    <n v="4"/>
  </r>
  <r>
    <s v="David"/>
    <x v="4"/>
    <n v="55000"/>
    <x v="0"/>
    <x v="3"/>
    <s v="Clerk"/>
    <d v="2019-12-01T00:00:00"/>
    <x v="0"/>
    <s v="Missing"/>
    <s v="Missing"/>
    <s v="Mid-Career"/>
    <n v="6"/>
    <s v="Medium"/>
    <x v="2"/>
    <n v="2"/>
  </r>
  <r>
    <s v="Bob"/>
    <x v="4"/>
    <n v="55000"/>
    <x v="1"/>
    <x v="2"/>
    <s v="Manager"/>
    <d v="2020-01-15T00:00:00"/>
    <x v="2"/>
    <s v="Missing"/>
    <s v="123-456-7890"/>
    <s v="Mid-Career"/>
    <n v="6"/>
    <s v="Medium"/>
    <x v="1"/>
    <n v="3"/>
  </r>
  <r>
    <s v="Charlie"/>
    <x v="1"/>
    <n v="65000"/>
    <x v="1"/>
    <x v="0"/>
    <s v="Assistant"/>
    <d v="2020-01-15T00:00:00"/>
    <x v="0"/>
    <s v="name@company.org"/>
    <s v="123-456-7890"/>
    <s v="Mid-Career"/>
    <n v="6"/>
    <s v="Medium"/>
    <x v="1"/>
    <n v="2"/>
  </r>
  <r>
    <s v="Charlie"/>
    <x v="4"/>
    <n v="65000"/>
    <x v="1"/>
    <x v="0"/>
    <s v="Director"/>
    <d v="2019-12-01T00:00:00"/>
    <x v="0"/>
    <s v="user@domain.com"/>
    <s v="555-555-5555"/>
    <s v="Mid-Career"/>
    <n v="6"/>
    <s v="Medium"/>
    <x v="2"/>
    <n v="2"/>
  </r>
  <r>
    <s v="David"/>
    <x v="3"/>
    <s v=""/>
    <x v="1"/>
    <x v="4"/>
    <s v="Director"/>
    <d v="2019-03-25T00:00:00"/>
    <x v="4"/>
    <s v="Missing"/>
    <s v="Missing"/>
    <s v="Mid-Career"/>
    <n v="6"/>
    <s v="High"/>
    <x v="2"/>
    <n v="4"/>
  </r>
  <r>
    <s v="David"/>
    <x v="0"/>
    <n v="65000"/>
    <x v="1"/>
    <x v="3"/>
    <s v="Manager"/>
    <d v="2020-02-20T00:00:00"/>
    <x v="1"/>
    <s v="Missing"/>
    <s v="Missing"/>
    <s v="Young"/>
    <n v="6"/>
    <s v="Medium"/>
    <x v="1"/>
    <n v="1"/>
  </r>
  <r>
    <s v="Jack"/>
    <x v="3"/>
    <n v="55000"/>
    <x v="1"/>
    <x v="1"/>
    <s v="Analyst"/>
    <d v="2019-03-25T00:00:00"/>
    <x v="3"/>
    <s v="user@domain.com"/>
    <s v="098-765-4321"/>
    <s v="Mid-Career"/>
    <n v="6"/>
    <s v="Medium"/>
    <x v="2"/>
    <n v="5"/>
  </r>
  <r>
    <s v="Eve"/>
    <x v="5"/>
    <n v="60000"/>
    <x v="1"/>
    <x v="2"/>
    <s v="Manager"/>
    <d v="2020-01-15T00:00:00"/>
    <x v="1"/>
    <s v="user@domain.com"/>
    <s v="555-555-5555"/>
    <s v="Senior"/>
    <n v="6"/>
    <s v="Medium"/>
    <x v="1"/>
    <n v="1"/>
  </r>
  <r>
    <s v="David"/>
    <x v="3"/>
    <n v="70000"/>
    <x v="1"/>
    <x v="3"/>
    <s v="Manager"/>
    <d v="2019-12-01T00:00:00"/>
    <x v="2"/>
    <s v="user@domain.com"/>
    <s v="Missing"/>
    <s v="Mid-Career"/>
    <n v="6"/>
    <s v="High"/>
    <x v="2"/>
    <n v="3"/>
  </r>
  <r>
    <s v="Jack"/>
    <x v="5"/>
    <n v="60000"/>
    <x v="1"/>
    <x v="2"/>
    <s v="Director"/>
    <d v="2019-12-01T00:00:00"/>
    <x v="1"/>
    <s v="user@domain.com"/>
    <s v="123-456-7890"/>
    <s v="Senior"/>
    <n v="6"/>
    <s v="Medium"/>
    <x v="2"/>
    <n v="1"/>
  </r>
  <r>
    <s v="Hannah"/>
    <x v="4"/>
    <n v="60000"/>
    <x v="0"/>
    <x v="0"/>
    <s v="Assistant"/>
    <d v="2019-03-25T00:00:00"/>
    <x v="2"/>
    <s v="email@example.com"/>
    <s v="Missing"/>
    <s v="Mid-Career"/>
    <n v="6"/>
    <s v="Medium"/>
    <x v="2"/>
    <n v="3"/>
  </r>
  <r>
    <s v="Frank"/>
    <x v="0"/>
    <n v="55000"/>
    <x v="2"/>
    <x v="4"/>
    <s v="Manager"/>
    <d v="2019-03-25T00:00:00"/>
    <x v="2"/>
    <s v="Missing"/>
    <s v="Missing"/>
    <s v="Young"/>
    <n v="6"/>
    <s v="Medium"/>
    <x v="2"/>
    <n v="3"/>
  </r>
  <r>
    <s v="Frank"/>
    <x v="4"/>
    <n v="60000"/>
    <x v="1"/>
    <x v="4"/>
    <s v="Analyst"/>
    <d v="2020-02-20T00:00:00"/>
    <x v="3"/>
    <s v="email@example.com"/>
    <s v="555-555-5555"/>
    <s v="Mid-Career"/>
    <n v="6"/>
    <s v="Medium"/>
    <x v="1"/>
    <n v="5"/>
  </r>
  <r>
    <s v="Hannah"/>
    <x v="2"/>
    <s v=""/>
    <x v="2"/>
    <x v="1"/>
    <s v="Clerk"/>
    <d v="2018-04-05T00:00:00"/>
    <x v="4"/>
    <s v="Missing"/>
    <s v="123-456-7890"/>
    <s v="Mid-Career"/>
    <n v="7"/>
    <s v="High"/>
    <x v="0"/>
    <n v="4"/>
  </r>
  <r>
    <s v="Grace"/>
    <x v="4"/>
    <n v="50000"/>
    <x v="1"/>
    <x v="4"/>
    <s v="Manager"/>
    <d v="2018-04-05T00:00:00"/>
    <x v="3"/>
    <s v="Missing"/>
    <s v="Missing"/>
    <s v="Mid-Career"/>
    <n v="7"/>
    <s v="Low"/>
    <x v="0"/>
    <n v="5"/>
  </r>
  <r>
    <s v="Jack"/>
    <x v="5"/>
    <n v="65000"/>
    <x v="1"/>
    <x v="0"/>
    <s v="Manager"/>
    <d v="2020-02-20T00:00:00"/>
    <x v="1"/>
    <s v="Missing"/>
    <s v="098-765-4321"/>
    <s v="Senior"/>
    <n v="6"/>
    <s v="Medium"/>
    <x v="1"/>
    <n v="1"/>
  </r>
  <r>
    <s v="Jack"/>
    <x v="4"/>
    <n v="50000"/>
    <x v="0"/>
    <x v="1"/>
    <s v="Analyst"/>
    <d v="2018-04-05T00:00:00"/>
    <x v="2"/>
    <s v="Missing"/>
    <s v="555-555-5555"/>
    <s v="Mid-Career"/>
    <n v="7"/>
    <s v="Low"/>
    <x v="0"/>
    <n v="3"/>
  </r>
  <r>
    <s v="Hannah"/>
    <x v="4"/>
    <n v="70000"/>
    <x v="0"/>
    <x v="3"/>
    <s v="Assistant"/>
    <d v="2020-01-15T00:00:00"/>
    <x v="0"/>
    <s v="user@domain.com"/>
    <s v="Missing"/>
    <s v="Mid-Career"/>
    <n v="6"/>
    <s v="High"/>
    <x v="1"/>
    <n v="2"/>
  </r>
  <r>
    <s v="Bob"/>
    <x v="0"/>
    <n v="65000"/>
    <x v="2"/>
    <x v="4"/>
    <s v="Manager"/>
    <d v="2018-04-05T00:00:00"/>
    <x v="0"/>
    <s v="email@example.com"/>
    <s v="Missing"/>
    <s v="Young"/>
    <n v="7"/>
    <s v="Medium"/>
    <x v="0"/>
    <n v="2"/>
  </r>
  <r>
    <s v="Ivy"/>
    <x v="4"/>
    <n v="60000"/>
    <x v="0"/>
    <x v="1"/>
    <s v="Manager"/>
    <d v="2020-02-20T00:00:00"/>
    <x v="2"/>
    <s v="user@domain.com"/>
    <s v="123-456-7890"/>
    <s v="Mid-Career"/>
    <n v="6"/>
    <s v="Medium"/>
    <x v="1"/>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2000000}" name="PivotTable6" cacheId="12" dataOnRows="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23:B34" firstHeaderRow="1" firstDataRow="1" firstDataCol="1"/>
  <pivotFields count="15">
    <pivotField dataField="1" showAll="0"/>
    <pivotField showAll="0"/>
    <pivotField dataField="1" showAll="0"/>
    <pivotField showAll="0"/>
    <pivotField showAll="0"/>
    <pivotField showAll="0"/>
    <pivotField numFmtId="166" showAll="0"/>
    <pivotField showAll="0"/>
    <pivotField showAll="0"/>
    <pivotField showAll="0"/>
    <pivotField showAll="0"/>
    <pivotField showAll="0"/>
    <pivotField showAll="0"/>
    <pivotField axis="axisRow" showAll="0">
      <items count="4">
        <item x="0"/>
        <item x="2"/>
        <item x="1"/>
        <item t="default"/>
      </items>
    </pivotField>
    <pivotField showAll="0"/>
  </pivotFields>
  <rowFields count="2">
    <field x="13"/>
    <field x="-2"/>
  </rowFields>
  <rowItems count="11">
    <i>
      <x/>
    </i>
    <i r="1">
      <x/>
    </i>
    <i r="1" i="1">
      <x v="1"/>
    </i>
    <i>
      <x v="1"/>
    </i>
    <i r="1">
      <x/>
    </i>
    <i r="1" i="1">
      <x v="1"/>
    </i>
    <i>
      <x v="2"/>
    </i>
    <i r="1">
      <x/>
    </i>
    <i r="1" i="1">
      <x v="1"/>
    </i>
    <i t="grand">
      <x/>
    </i>
    <i t="grand" i="1">
      <x/>
    </i>
  </rowItems>
  <colItems count="1">
    <i/>
  </colItems>
  <dataFields count="2">
    <dataField name="Count of Name" fld="0" subtotal="count" baseField="0" baseItem="0"/>
    <dataField name="Average of Salary" fld="2" subtotal="average" baseField="1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Average Salary by Department" cacheId="12"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4">
  <location ref="A11:G19" firstHeaderRow="1" firstDataRow="2" firstDataCol="1"/>
  <pivotFields count="15">
    <pivotField dataField="1" compact="0" outline="0" showAll="0"/>
    <pivotField axis="axisRow" compact="0" outline="0" showAll="0">
      <items count="7">
        <item x="0"/>
        <item x="4"/>
        <item x="2"/>
        <item x="1"/>
        <item x="3"/>
        <item x="5"/>
        <item t="default"/>
      </items>
    </pivotField>
    <pivotField compact="0" outline="0" showAll="0"/>
    <pivotField compact="0" outline="0" showAll="0">
      <items count="4">
        <item x="1"/>
        <item x="0"/>
        <item x="2"/>
        <item t="default"/>
      </items>
    </pivotField>
    <pivotField compact="0" outline="0" showAll="0"/>
    <pivotField compact="0" outline="0" showAll="0"/>
    <pivotField compact="0" numFmtId="166" outline="0" showAll="0"/>
    <pivotField axis="axisCol" compact="0" outline="0" showAll="0">
      <items count="6">
        <item x="3"/>
        <item x="4"/>
        <item x="2"/>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
  </rowFields>
  <rowItems count="7">
    <i>
      <x/>
    </i>
    <i>
      <x v="1"/>
    </i>
    <i>
      <x v="2"/>
    </i>
    <i>
      <x v="3"/>
    </i>
    <i>
      <x v="4"/>
    </i>
    <i>
      <x v="5"/>
    </i>
    <i t="grand">
      <x/>
    </i>
  </rowItems>
  <colFields count="1">
    <field x="7"/>
  </colFields>
  <colItems count="6">
    <i>
      <x/>
    </i>
    <i>
      <x v="1"/>
    </i>
    <i>
      <x v="2"/>
    </i>
    <i>
      <x v="3"/>
    </i>
    <i>
      <x v="4"/>
    </i>
    <i t="grand">
      <x/>
    </i>
  </colItems>
  <dataFields count="1">
    <dataField name="Count of Name" fld="0" subtotal="count" baseField="0" baseItem="0"/>
  </dataFields>
  <chartFormats count="10">
    <chartFormat chart="1" format="0" series="1">
      <pivotArea type="data" outline="0" fieldPosition="0">
        <references count="2">
          <reference field="4294967294" count="1" selected="0">
            <x v="0"/>
          </reference>
          <reference field="7" count="1" selected="0">
            <x v="0"/>
          </reference>
        </references>
      </pivotArea>
    </chartFormat>
    <chartFormat chart="1" format="1" series="1">
      <pivotArea type="data" outline="0" fieldPosition="0">
        <references count="2">
          <reference field="4294967294" count="1" selected="0">
            <x v="0"/>
          </reference>
          <reference field="7" count="1" selected="0">
            <x v="1"/>
          </reference>
        </references>
      </pivotArea>
    </chartFormat>
    <chartFormat chart="1" format="2" series="1">
      <pivotArea type="data" outline="0" fieldPosition="0">
        <references count="2">
          <reference field="4294967294" count="1" selected="0">
            <x v="0"/>
          </reference>
          <reference field="7" count="1" selected="0">
            <x v="2"/>
          </reference>
        </references>
      </pivotArea>
    </chartFormat>
    <chartFormat chart="1" format="3" series="1">
      <pivotArea type="data" outline="0" fieldPosition="0">
        <references count="2">
          <reference field="4294967294" count="1" selected="0">
            <x v="0"/>
          </reference>
          <reference field="7" count="1" selected="0">
            <x v="3"/>
          </reference>
        </references>
      </pivotArea>
    </chartFormat>
    <chartFormat chart="1" format="4" series="1">
      <pivotArea type="data" outline="0" fieldPosition="0">
        <references count="2">
          <reference field="4294967294" count="1" selected="0">
            <x v="0"/>
          </reference>
          <reference field="7" count="1" selected="0">
            <x v="4"/>
          </reference>
        </references>
      </pivotArea>
    </chartFormat>
    <chartFormat chart="3" format="10" series="1">
      <pivotArea type="data" outline="0" fieldPosition="0">
        <references count="2">
          <reference field="4294967294" count="1" selected="0">
            <x v="0"/>
          </reference>
          <reference field="7" count="1" selected="0">
            <x v="0"/>
          </reference>
        </references>
      </pivotArea>
    </chartFormat>
    <chartFormat chart="3" format="11" series="1">
      <pivotArea type="data" outline="0" fieldPosition="0">
        <references count="2">
          <reference field="4294967294" count="1" selected="0">
            <x v="0"/>
          </reference>
          <reference field="7" count="1" selected="0">
            <x v="1"/>
          </reference>
        </references>
      </pivotArea>
    </chartFormat>
    <chartFormat chart="3" format="12" series="1">
      <pivotArea type="data" outline="0" fieldPosition="0">
        <references count="2">
          <reference field="4294967294" count="1" selected="0">
            <x v="0"/>
          </reference>
          <reference field="7" count="1" selected="0">
            <x v="2"/>
          </reference>
        </references>
      </pivotArea>
    </chartFormat>
    <chartFormat chart="3" format="13" series="1">
      <pivotArea type="data" outline="0" fieldPosition="0">
        <references count="2">
          <reference field="4294967294" count="1" selected="0">
            <x v="0"/>
          </reference>
          <reference field="7" count="1" selected="0">
            <x v="3"/>
          </reference>
        </references>
      </pivotArea>
    </chartFormat>
    <chartFormat chart="3" format="14" series="1">
      <pivotArea type="data" outline="0" fieldPosition="0">
        <references count="2">
          <reference field="4294967294" count="1" selected="0">
            <x v="0"/>
          </reference>
          <reference field="7" count="1" selected="0">
            <x v="4"/>
          </reference>
        </references>
      </pivotArea>
    </chartFormat>
  </chartFormat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Employees by Department" cacheId="1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rowHeaderCaption="Departament">
  <location ref="A2:E8" firstHeaderRow="1" firstDataRow="2" firstDataCol="1"/>
  <pivotFields count="15">
    <pivotField showAll="0"/>
    <pivotField showAll="0"/>
    <pivotField dataField="1" showAll="0"/>
    <pivotField axis="axisCol" showAll="0">
      <items count="4">
        <item x="1"/>
        <item x="0"/>
        <item x="2"/>
        <item t="default"/>
      </items>
    </pivotField>
    <pivotField axis="axisRow" showAll="0">
      <items count="6">
        <item h="1" x="1"/>
        <item x="0"/>
        <item x="3"/>
        <item x="4"/>
        <item x="2"/>
        <item t="default"/>
      </items>
    </pivotField>
    <pivotField showAll="0"/>
    <pivotField numFmtId="166" showAll="0"/>
    <pivotField showAll="0"/>
    <pivotField showAll="0"/>
    <pivotField showAll="0"/>
    <pivotField showAll="0"/>
    <pivotField showAll="0"/>
    <pivotField showAll="0"/>
    <pivotField showAll="0"/>
    <pivotField showAll="0"/>
  </pivotFields>
  <rowFields count="1">
    <field x="4"/>
  </rowFields>
  <rowItems count="5">
    <i>
      <x v="1"/>
    </i>
    <i>
      <x v="2"/>
    </i>
    <i>
      <x v="3"/>
    </i>
    <i>
      <x v="4"/>
    </i>
    <i t="grand">
      <x/>
    </i>
  </rowItems>
  <colFields count="1">
    <field x="3"/>
  </colFields>
  <colItems count="4">
    <i>
      <x/>
    </i>
    <i>
      <x v="1"/>
    </i>
    <i>
      <x v="2"/>
    </i>
    <i t="grand">
      <x/>
    </i>
  </colItems>
  <dataFields count="1">
    <dataField name="Average of Salary" fld="2" subtotal="average" baseField="4" baseItem="1" numFmtId="165"/>
  </dataFields>
  <chartFormats count="6">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2"/>
          </reference>
        </references>
      </pivotArea>
    </chartFormat>
    <chartFormat chart="6" format="6" series="1">
      <pivotArea type="data" outline="0" fieldPosition="0">
        <references count="2">
          <reference field="4294967294" count="1" selected="0">
            <x v="0"/>
          </reference>
          <reference field="3" count="1" selected="0">
            <x v="0"/>
          </reference>
        </references>
      </pivotArea>
    </chartFormat>
    <chartFormat chart="6" format="7" series="1">
      <pivotArea type="data" outline="0" fieldPosition="0">
        <references count="2">
          <reference field="4294967294" count="1" selected="0">
            <x v="0"/>
          </reference>
          <reference field="3" count="1" selected="0">
            <x v="1"/>
          </reference>
        </references>
      </pivotArea>
    </chartFormat>
    <chartFormat chart="6" format="8" series="1">
      <pivotArea type="data" outline="0" fieldPosition="0">
        <references count="2">
          <reference field="4294967294" count="1" selected="0">
            <x v="0"/>
          </reference>
          <reference field="3" count="1" selected="0">
            <x v="2"/>
          </reference>
        </references>
      </pivotArea>
    </chartFormat>
  </chartFormat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KpiAvgSalary" cacheId="1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A7:AA8" firstHeaderRow="1" firstDataRow="1" firstDataCol="0"/>
  <pivotFields count="15">
    <pivotField showAll="0"/>
    <pivotField showAll="0"/>
    <pivotField dataField="1" showAll="0"/>
    <pivotField showAll="0">
      <items count="4">
        <item x="1"/>
        <item x="0"/>
        <item x="2"/>
        <item t="default"/>
      </items>
    </pivotField>
    <pivotField showAll="0"/>
    <pivotField showAll="0"/>
    <pivotField numFmtId="166" showAll="0"/>
    <pivotField showAll="0"/>
    <pivotField showAll="0"/>
    <pivotField showAll="0"/>
    <pivotField showAll="0"/>
    <pivotField showAll="0"/>
    <pivotField showAll="0"/>
    <pivotField showAll="0"/>
    <pivotField showAll="0"/>
  </pivotFields>
  <rowItems count="1">
    <i/>
  </rowItems>
  <colItems count="1">
    <i/>
  </colItems>
  <dataFields count="1">
    <dataField name="Average of Salary" fld="2" subtotal="average" baseField="0" baseItem="9"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countName" cacheId="1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A2:AA3" firstHeaderRow="1" firstDataRow="1" firstDataCol="0"/>
  <pivotFields count="15">
    <pivotField dataField="1" showAll="0"/>
    <pivotField showAll="0"/>
    <pivotField showAll="0"/>
    <pivotField showAll="0">
      <items count="4">
        <item x="1"/>
        <item x="0"/>
        <item x="2"/>
        <item t="default"/>
      </items>
    </pivotField>
    <pivotField showAll="0"/>
    <pivotField showAll="0"/>
    <pivotField numFmtId="166" showAll="0"/>
    <pivotField showAll="0"/>
    <pivotField showAll="0"/>
    <pivotField showAll="0"/>
    <pivotField showAll="0"/>
    <pivotField showAll="0"/>
    <pivotField showAll="0"/>
    <pivotField showAll="0"/>
    <pivotField showAll="0"/>
  </pivotFields>
  <rowItems count="1">
    <i/>
  </rowItems>
  <colItems count="1">
    <i/>
  </colItems>
  <dataFields count="1">
    <dataField name="Count of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800-000004000000}" name="PivotTable24" cacheId="1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X23:Y27" firstHeaderRow="1" firstDataRow="1" firstDataCol="1"/>
  <pivotFields count="15">
    <pivotField dataField="1" showAll="0"/>
    <pivotField showAll="0"/>
    <pivotField showAll="0"/>
    <pivotField showAll="0">
      <items count="4">
        <item x="1"/>
        <item x="0"/>
        <item x="2"/>
        <item t="default"/>
      </items>
    </pivotField>
    <pivotField showAll="0">
      <items count="6">
        <item x="1"/>
        <item x="0"/>
        <item x="3"/>
        <item x="4"/>
        <item x="2"/>
        <item t="default"/>
      </items>
    </pivotField>
    <pivotField showAll="0"/>
    <pivotField numFmtId="166" showAll="0"/>
    <pivotField showAll="0"/>
    <pivotField showAll="0"/>
    <pivotField showAll="0"/>
    <pivotField showAll="0"/>
    <pivotField showAll="0"/>
    <pivotField showAll="0"/>
    <pivotField axis="axisRow" showAll="0">
      <items count="4">
        <item x="0"/>
        <item x="2"/>
        <item x="1"/>
        <item t="default"/>
      </items>
    </pivotField>
    <pivotField showAll="0"/>
  </pivotFields>
  <rowFields count="1">
    <field x="13"/>
  </rowFields>
  <rowItems count="4">
    <i>
      <x/>
    </i>
    <i>
      <x v="1"/>
    </i>
    <i>
      <x v="2"/>
    </i>
    <i t="grand">
      <x/>
    </i>
  </rowItems>
  <colItems count="1">
    <i/>
  </colItems>
  <dataFields count="1">
    <dataField name="Count of Nam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PivotTable23" cacheId="1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X14:Y20" firstHeaderRow="1" firstDataRow="1" firstDataCol="1"/>
  <pivotFields count="15">
    <pivotField dataField="1" showAll="0"/>
    <pivotField showAll="0"/>
    <pivotField showAll="0"/>
    <pivotField showAll="0"/>
    <pivotField axis="axisRow" showAll="0">
      <items count="6">
        <item x="1"/>
        <item x="0"/>
        <item x="3"/>
        <item x="4"/>
        <item x="2"/>
        <item t="default"/>
      </items>
    </pivotField>
    <pivotField showAll="0"/>
    <pivotField numFmtId="166" showAll="0"/>
    <pivotField showAll="0"/>
    <pivotField showAll="0"/>
    <pivotField showAll="0"/>
    <pivotField showAll="0"/>
    <pivotField showAll="0"/>
    <pivotField showAll="0"/>
    <pivotField showAll="0"/>
    <pivotField showAll="0"/>
  </pivotFields>
  <rowFields count="1">
    <field x="4"/>
  </rowFields>
  <rowItems count="6">
    <i>
      <x/>
    </i>
    <i>
      <x v="1"/>
    </i>
    <i>
      <x v="2"/>
    </i>
    <i>
      <x v="3"/>
    </i>
    <i>
      <x v="4"/>
    </i>
    <i t="grand">
      <x/>
    </i>
  </rowItems>
  <colItems count="1">
    <i/>
  </colItems>
  <dataFields count="1">
    <dataField name="Count of Name"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 chart="0" format="5">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KpiAverageAge" cacheId="1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A14:AA15" firstHeaderRow="1" firstDataRow="1" firstDataCol="0"/>
  <pivotFields count="15">
    <pivotField showAll="0"/>
    <pivotField dataField="1" showAll="0"/>
    <pivotField showAll="0"/>
    <pivotField showAll="0">
      <items count="4">
        <item x="1"/>
        <item x="0"/>
        <item x="2"/>
        <item t="default"/>
      </items>
    </pivotField>
    <pivotField showAll="0"/>
    <pivotField showAll="0"/>
    <pivotField numFmtId="166" showAll="0"/>
    <pivotField showAll="0"/>
    <pivotField showAll="0"/>
    <pivotField showAll="0"/>
    <pivotField showAll="0"/>
    <pivotField showAll="0"/>
    <pivotField showAll="0"/>
    <pivotField showAll="0"/>
    <pivotField showAll="0"/>
  </pivotFields>
  <rowItems count="1">
    <i/>
  </rowItems>
  <colItems count="1">
    <i/>
  </colItems>
  <dataFields count="1">
    <dataField name="Average of Age" fld="1" subtotal="average" baseField="0" baseItem="9"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00000000-0013-0000-FFFF-FFFF01000000}" sourceName="Department">
  <pivotTables>
    <pivotTable tabId="8" name="Employees by Department"/>
  </pivotTables>
  <data>
    <tabular pivotCacheId="1619385490">
      <items count="5">
        <i x="1"/>
        <i x="0" s="1"/>
        <i x="3"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0000000-0013-0000-FFFF-FFFF02000000}" sourceName="Gender">
  <pivotTables>
    <pivotTable tabId="8" name="Average Salary by Department"/>
  </pivotTables>
  <data>
    <tabular pivotCacheId="1619385490">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00000000-0013-0000-FFFF-FFFF03000000}" sourceName="Gender">
  <pivotTables>
    <pivotTable tabId="9" name="PivotTable24"/>
    <pivotTable tabId="9" name="countName"/>
    <pivotTable tabId="9" name="KpiAvgSalary"/>
    <pivotTable tabId="9" name="KpiAverageAge"/>
  </pivotTables>
  <data>
    <tabular pivotCacheId="1619385490">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00000000-0013-0000-FFFF-FFFF04000000}" sourceName="Department">
  <pivotTables>
    <pivotTable tabId="9" name="PivotTable24"/>
  </pivotTables>
  <data>
    <tabular pivotCacheId="1619385490">
      <items count="5">
        <i x="1" s="1"/>
        <i x="0" s="1"/>
        <i x="3" s="1"/>
        <i x="4"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00000000-0014-0000-FFFF-FFFF01000000}" cache="Slicer_Department" caption="Department" style="SlicerStyleDark3" rowHeight="234950"/>
  <slicer name="Gender" xr10:uid="{00000000-0014-0000-FFFF-FFFF02000000}" cache="Slicer_Gender" caption="Gender" style="SlicerStyleDark3"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00000000-0014-0000-FFFF-FFFF03000000}" cache="Slicer_Gender1" caption="Gender" columnCount="3" style="SlicerStyleLight3" rowHeight="234950"/>
  <slicer name="Department 1" xr10:uid="{00000000-0014-0000-FFFF-FFFF04000000}" cache="Slicer_Department1" caption="Department" columnCount="2" style="SlicerStyleLight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R_Data" displayName="HR_Data" ref="A1:J1001" totalsRowShown="0">
  <autoFilter ref="A1:J1001" xr:uid="{00000000-0009-0000-0100-000001000000}"/>
  <tableColumns count="10">
    <tableColumn id="1" xr3:uid="{00000000-0010-0000-0000-000001000000}" name="Name"/>
    <tableColumn id="13" xr3:uid="{00000000-0010-0000-0000-00000D000000}" name="Age" dataDxfId="40"/>
    <tableColumn id="15" xr3:uid="{00000000-0010-0000-0000-00000F000000}" name="Salary" dataDxfId="39"/>
    <tableColumn id="4" xr3:uid="{00000000-0010-0000-0000-000004000000}" name="Gender"/>
    <tableColumn id="5" xr3:uid="{00000000-0010-0000-0000-000005000000}" name="Department"/>
    <tableColumn id="6" xr3:uid="{00000000-0010-0000-0000-000006000000}" name="Position"/>
    <tableColumn id="7" xr3:uid="{00000000-0010-0000-0000-000007000000}" name="Joining Date" dataDxfId="38"/>
    <tableColumn id="8" xr3:uid="{00000000-0010-0000-0000-000008000000}" name="Performance Score"/>
    <tableColumn id="16" xr3:uid="{00000000-0010-0000-0000-000010000000}" name="Email" dataDxfId="37"/>
    <tableColumn id="17" xr3:uid="{00000000-0010-0000-0000-000011000000}" name="Phone" dataDxfId="36"/>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ge_map" displayName="Age_map" ref="A1:B7" totalsRowShown="0" headerRowDxfId="35" dataDxfId="34">
  <autoFilter ref="A1:B7" xr:uid="{00000000-0009-0000-0100-000002000000}">
    <filterColumn colId="0" hiddenButton="1"/>
    <filterColumn colId="1" hiddenButton="1"/>
  </autoFilter>
  <tableColumns count="2">
    <tableColumn id="1" xr3:uid="{00000000-0010-0000-0100-000001000000}" name="Text_Age" dataDxfId="33"/>
    <tableColumn id="2" xr3:uid="{00000000-0010-0000-0100-000002000000}" name="Numeric_Age" dataDxfId="32"/>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HR_Data4" displayName="HR_Data4" ref="A1:K1001" totalsRowShown="0">
  <autoFilter ref="A1:K1001"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200-000001000000}" name="Name"/>
    <tableColumn id="13" xr3:uid="{00000000-0010-0000-0200-00000D000000}" name="Age" dataDxfId="17"/>
    <tableColumn id="15" xr3:uid="{00000000-0010-0000-0200-00000F000000}" name="Salary" dataDxfId="16"/>
    <tableColumn id="4" xr3:uid="{00000000-0010-0000-0200-000004000000}" name="Gender"/>
    <tableColumn id="5" xr3:uid="{00000000-0010-0000-0200-000005000000}" name="Department"/>
    <tableColumn id="6" xr3:uid="{00000000-0010-0000-0200-000006000000}" name="Position"/>
    <tableColumn id="7" xr3:uid="{00000000-0010-0000-0200-000007000000}" name="Joining Date" dataDxfId="15"/>
    <tableColumn id="8" xr3:uid="{00000000-0010-0000-0200-000008000000}" name="Performance Score"/>
    <tableColumn id="16" xr3:uid="{00000000-0010-0000-0200-000010000000}" name="Email" dataDxfId="14"/>
    <tableColumn id="17" xr3:uid="{00000000-0010-0000-0200-000011000000}" name="Phone" dataDxfId="13"/>
    <tableColumn id="18" xr3:uid="{00000000-0010-0000-0200-000012000000}" name="Column1" dataDxfId="12">
      <calculatedColumnFormula>IF(HR_Data4[[#This Row],[Phone]]="Missing",0,1)</calculatedColumnFormula>
    </tableColumn>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HR_Data5" displayName="HR_Data5" ref="A1:O1001" totalsRowShown="0">
  <autoFilter ref="A1:O1001" xr:uid="{00000000-0009-0000-0100-000004000000}"/>
  <tableColumns count="15">
    <tableColumn id="1" xr3:uid="{00000000-0010-0000-0300-000001000000}" name="Name"/>
    <tableColumn id="13" xr3:uid="{00000000-0010-0000-0300-00000D000000}" name="Age" dataDxfId="11"/>
    <tableColumn id="15" xr3:uid="{00000000-0010-0000-0300-00000F000000}" name="Salary" dataDxfId="10"/>
    <tableColumn id="4" xr3:uid="{00000000-0010-0000-0300-000004000000}" name="Gender"/>
    <tableColumn id="5" xr3:uid="{00000000-0010-0000-0300-000005000000}" name="Department"/>
    <tableColumn id="6" xr3:uid="{00000000-0010-0000-0300-000006000000}" name="Position"/>
    <tableColumn id="7" xr3:uid="{00000000-0010-0000-0300-000007000000}" name="Joining Date" dataDxfId="9"/>
    <tableColumn id="8" xr3:uid="{00000000-0010-0000-0300-000008000000}" name="Performance Score"/>
    <tableColumn id="16" xr3:uid="{00000000-0010-0000-0300-000010000000}" name="Email" dataDxfId="8"/>
    <tableColumn id="17" xr3:uid="{00000000-0010-0000-0300-000011000000}" name="Phone" dataDxfId="7"/>
    <tableColumn id="18" xr3:uid="{00000000-0010-0000-0300-000012000000}" name="Age_Group" dataDxfId="6">
      <calculatedColumnFormula>IF(HR_Data5[[#This Row],[Age]]&lt;30,"Young",IF(HR_Data5[[#This Row],[Age]]&lt;=45,"Mid-Career","Senior"))</calculatedColumnFormula>
    </tableColumn>
    <tableColumn id="19" xr3:uid="{00000000-0010-0000-0300-000013000000}" name="Tenure_Years" dataDxfId="5">
      <calculatedColumnFormula>DATEDIF(HR_Data5[[#This Row],[Joining Date]],TODAY(),"Y")</calculatedColumnFormula>
    </tableColumn>
    <tableColumn id="20" xr3:uid="{00000000-0010-0000-0300-000014000000}" name="Salary_Band" dataDxfId="4">
      <calculatedColumnFormula>IF(HR_Data5[[#This Row],[Salary]]&lt;55000,"Low",IF(HR_Data5[[#This Row],[Salary]]&lt;=65000,"Medium","High"))</calculatedColumnFormula>
    </tableColumn>
    <tableColumn id="21" xr3:uid="{00000000-0010-0000-0300-000015000000}" name="Hire_Year" dataDxfId="3">
      <calculatedColumnFormula>YEAR(HR_Data5[[#This Row],[Joining Date]])</calculatedColumnFormula>
    </tableColumn>
    <tableColumn id="22" xr3:uid="{00000000-0010-0000-0300-000016000000}" name="Performance_Score_Num" dataDxfId="2">
      <calculatedColumnFormula array="1">_xlfn.SWITCH(HR_Data5[[#This Row],[Performance Score]],
"A",5,
"B",4,
"C",3,
"D",2,
"F",1)</calculatedColumnFormula>
    </tableColumn>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B12:D17" totalsRowShown="0">
  <autoFilter ref="B12:D17" xr:uid="{00000000-0009-0000-0100-000005000000}"/>
  <tableColumns count="3">
    <tableColumn id="1" xr3:uid="{00000000-0010-0000-0400-000001000000}" name="Employee"/>
    <tableColumn id="2" xr3:uid="{00000000-0010-0000-0400-000002000000}" name="Salary" dataDxfId="1" dataCellStyle="Currency"/>
    <tableColumn id="3" xr3:uid="{00000000-0010-0000-0400-000003000000}" name="New Salary" dataDxfId="0" dataCellStyle="Currency">
      <calculatedColumnFormula>Table5[[#This Row],[Salary]]*$D$8+Table5[[#This Row],[Salary]]</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6.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ivotTable" Target="../pivotTables/pivotTable6.xml"/><Relationship Id="rId7" Type="http://schemas.openxmlformats.org/officeDocument/2006/relationships/drawing" Target="../drawings/drawing7.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5.bin"/><Relationship Id="rId5" Type="http://schemas.openxmlformats.org/officeDocument/2006/relationships/pivotTable" Target="../pivotTables/pivotTable8.xml"/><Relationship Id="rId10" Type="http://schemas.microsoft.com/office/2007/relationships/slicer" Target="../slicers/slicer2.xml"/><Relationship Id="rId4" Type="http://schemas.openxmlformats.org/officeDocument/2006/relationships/pivotTable" Target="../pivotTables/pivotTable7.xml"/><Relationship Id="rId9"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sheetPr>
  <dimension ref="A1"/>
  <sheetViews>
    <sheetView showGridLines="0" topLeftCell="A58" workbookViewId="0">
      <selection activeCell="K71" sqref="K71"/>
    </sheetView>
  </sheetViews>
  <sheetFormatPr defaultRowHeight="14.4"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sheetPr>
  <dimension ref="A1:J1001"/>
  <sheetViews>
    <sheetView workbookViewId="0"/>
  </sheetViews>
  <sheetFormatPr defaultRowHeight="14.4" x14ac:dyDescent="0.3"/>
  <cols>
    <col min="7" max="7" width="20.88671875" customWidth="1"/>
    <col min="9" max="9" width="21.109375" customWidth="1"/>
    <col min="10" max="10" width="21.88671875" customWidth="1"/>
  </cols>
  <sheetData>
    <row r="1" spans="1:10" x14ac:dyDescent="0.3">
      <c r="A1" t="s">
        <v>0</v>
      </c>
      <c r="B1" t="s">
        <v>1</v>
      </c>
      <c r="C1" t="s">
        <v>2</v>
      </c>
      <c r="D1" t="s">
        <v>3</v>
      </c>
      <c r="E1" t="s">
        <v>4</v>
      </c>
      <c r="F1" t="s">
        <v>5</v>
      </c>
      <c r="G1" t="s">
        <v>6</v>
      </c>
      <c r="H1" t="s">
        <v>7</v>
      </c>
      <c r="I1" t="s">
        <v>8</v>
      </c>
      <c r="J1" t="s">
        <v>9</v>
      </c>
    </row>
    <row r="2" spans="1:10" x14ac:dyDescent="0.3">
      <c r="A2" t="s">
        <v>10</v>
      </c>
      <c r="B2">
        <v>25</v>
      </c>
      <c r="C2">
        <v>50000</v>
      </c>
      <c r="D2" t="s">
        <v>11</v>
      </c>
      <c r="E2" t="s">
        <v>12</v>
      </c>
      <c r="F2" t="s">
        <v>13</v>
      </c>
      <c r="G2" s="1">
        <v>43195</v>
      </c>
      <c r="H2" t="s">
        <v>14</v>
      </c>
      <c r="I2" t="s">
        <v>15</v>
      </c>
      <c r="J2" t="s">
        <v>16</v>
      </c>
    </row>
    <row r="3" spans="1:10" x14ac:dyDescent="0.3">
      <c r="A3" t="s">
        <v>17</v>
      </c>
      <c r="B3" t="s">
        <v>16</v>
      </c>
      <c r="C3">
        <v>65000</v>
      </c>
      <c r="D3" t="s">
        <v>18</v>
      </c>
      <c r="E3" t="s">
        <v>19</v>
      </c>
      <c r="F3" t="s">
        <v>20</v>
      </c>
      <c r="G3" s="2">
        <v>43881</v>
      </c>
      <c r="H3" t="s">
        <v>21</v>
      </c>
      <c r="I3" t="s">
        <v>22</v>
      </c>
      <c r="J3" t="s">
        <v>23</v>
      </c>
    </row>
    <row r="4" spans="1:10" x14ac:dyDescent="0.3">
      <c r="A4" t="s">
        <v>24</v>
      </c>
      <c r="B4">
        <v>35</v>
      </c>
      <c r="C4" t="s">
        <v>25</v>
      </c>
      <c r="D4" t="s">
        <v>18</v>
      </c>
      <c r="E4" t="s">
        <v>26</v>
      </c>
      <c r="F4" t="s">
        <v>20</v>
      </c>
      <c r="G4" s="2">
        <v>43845</v>
      </c>
      <c r="H4" t="s">
        <v>27</v>
      </c>
      <c r="I4" t="s">
        <v>15</v>
      </c>
      <c r="J4" t="s">
        <v>28</v>
      </c>
    </row>
    <row r="5" spans="1:10" x14ac:dyDescent="0.3">
      <c r="A5" t="s">
        <v>29</v>
      </c>
      <c r="B5" t="s">
        <v>16</v>
      </c>
      <c r="C5">
        <v>50000</v>
      </c>
      <c r="D5" t="s">
        <v>18</v>
      </c>
      <c r="E5" t="s">
        <v>30</v>
      </c>
      <c r="F5" t="s">
        <v>13</v>
      </c>
      <c r="G5" s="1">
        <v>43195</v>
      </c>
      <c r="H5" t="s">
        <v>31</v>
      </c>
      <c r="I5" t="s">
        <v>32</v>
      </c>
      <c r="J5" t="s">
        <v>33</v>
      </c>
    </row>
    <row r="6" spans="1:10" x14ac:dyDescent="0.3">
      <c r="A6" t="s">
        <v>10</v>
      </c>
      <c r="B6" t="s">
        <v>16</v>
      </c>
      <c r="C6" t="s">
        <v>34</v>
      </c>
      <c r="D6" t="s">
        <v>18</v>
      </c>
      <c r="E6" t="s">
        <v>19</v>
      </c>
      <c r="F6" t="s">
        <v>13</v>
      </c>
      <c r="G6" s="2">
        <v>43845</v>
      </c>
      <c r="H6" t="s">
        <v>21</v>
      </c>
      <c r="I6" t="s">
        <v>32</v>
      </c>
      <c r="J6" t="s">
        <v>28</v>
      </c>
    </row>
    <row r="7" spans="1:10" x14ac:dyDescent="0.3">
      <c r="A7" t="s">
        <v>35</v>
      </c>
      <c r="B7" t="s">
        <v>16</v>
      </c>
      <c r="C7">
        <v>65000</v>
      </c>
      <c r="D7" t="s">
        <v>36</v>
      </c>
      <c r="E7" t="s">
        <v>37</v>
      </c>
      <c r="F7" t="s">
        <v>20</v>
      </c>
      <c r="G7" s="2">
        <v>43549</v>
      </c>
      <c r="H7" t="s">
        <v>21</v>
      </c>
      <c r="I7" t="s">
        <v>22</v>
      </c>
      <c r="J7" t="s">
        <v>16</v>
      </c>
    </row>
    <row r="8" spans="1:10" x14ac:dyDescent="0.3">
      <c r="A8" t="s">
        <v>38</v>
      </c>
      <c r="B8" t="s">
        <v>16</v>
      </c>
      <c r="C8">
        <v>50000</v>
      </c>
      <c r="D8" t="s">
        <v>11</v>
      </c>
      <c r="E8" t="s">
        <v>37</v>
      </c>
      <c r="F8" t="s">
        <v>39</v>
      </c>
      <c r="G8" t="s">
        <v>40</v>
      </c>
      <c r="H8" t="s">
        <v>41</v>
      </c>
      <c r="J8" t="s">
        <v>23</v>
      </c>
    </row>
    <row r="9" spans="1:10" x14ac:dyDescent="0.3">
      <c r="A9" t="s">
        <v>10</v>
      </c>
      <c r="B9">
        <v>40</v>
      </c>
      <c r="C9">
        <v>50000</v>
      </c>
      <c r="D9" t="s">
        <v>36</v>
      </c>
      <c r="E9" t="s">
        <v>12</v>
      </c>
      <c r="F9" t="s">
        <v>20</v>
      </c>
      <c r="G9" s="2">
        <v>43549</v>
      </c>
      <c r="H9" t="s">
        <v>27</v>
      </c>
      <c r="J9" t="s">
        <v>33</v>
      </c>
    </row>
    <row r="10" spans="1:10" x14ac:dyDescent="0.3">
      <c r="A10" t="s">
        <v>24</v>
      </c>
      <c r="B10">
        <v>40</v>
      </c>
      <c r="C10" t="s">
        <v>25</v>
      </c>
      <c r="D10" t="s">
        <v>18</v>
      </c>
      <c r="E10" t="s">
        <v>37</v>
      </c>
      <c r="F10" t="s">
        <v>13</v>
      </c>
      <c r="G10" s="2">
        <v>43845</v>
      </c>
      <c r="H10" t="s">
        <v>27</v>
      </c>
      <c r="I10" t="s">
        <v>22</v>
      </c>
      <c r="J10" t="s">
        <v>23</v>
      </c>
    </row>
    <row r="11" spans="1:10" x14ac:dyDescent="0.3">
      <c r="A11" t="s">
        <v>29</v>
      </c>
      <c r="B11" t="s">
        <v>42</v>
      </c>
      <c r="C11" t="s">
        <v>34</v>
      </c>
      <c r="D11" t="s">
        <v>36</v>
      </c>
      <c r="E11" t="s">
        <v>19</v>
      </c>
      <c r="F11" t="s">
        <v>43</v>
      </c>
      <c r="G11" s="2">
        <v>43881</v>
      </c>
      <c r="H11" t="s">
        <v>31</v>
      </c>
      <c r="J11" t="s">
        <v>33</v>
      </c>
    </row>
    <row r="12" spans="1:10" x14ac:dyDescent="0.3">
      <c r="A12" t="s">
        <v>17</v>
      </c>
      <c r="B12">
        <v>25</v>
      </c>
      <c r="C12">
        <v>70000</v>
      </c>
      <c r="D12" t="s">
        <v>11</v>
      </c>
      <c r="E12" t="s">
        <v>37</v>
      </c>
      <c r="F12" t="s">
        <v>44</v>
      </c>
      <c r="G12" t="s">
        <v>40</v>
      </c>
      <c r="H12" t="s">
        <v>41</v>
      </c>
      <c r="I12" t="s">
        <v>16</v>
      </c>
      <c r="J12" t="s">
        <v>23</v>
      </c>
    </row>
    <row r="13" spans="1:10" x14ac:dyDescent="0.3">
      <c r="A13" t="s">
        <v>24</v>
      </c>
      <c r="B13" t="s">
        <v>16</v>
      </c>
      <c r="C13">
        <v>70000</v>
      </c>
      <c r="D13" t="s">
        <v>36</v>
      </c>
      <c r="E13" t="s">
        <v>19</v>
      </c>
      <c r="F13" t="s">
        <v>43</v>
      </c>
      <c r="G13" s="2">
        <v>43549</v>
      </c>
      <c r="H13" t="s">
        <v>31</v>
      </c>
      <c r="J13" t="s">
        <v>16</v>
      </c>
    </row>
    <row r="14" spans="1:10" x14ac:dyDescent="0.3">
      <c r="A14" t="s">
        <v>24</v>
      </c>
      <c r="B14" t="s">
        <v>42</v>
      </c>
      <c r="C14">
        <v>50000</v>
      </c>
      <c r="D14" t="s">
        <v>11</v>
      </c>
      <c r="E14" t="s">
        <v>30</v>
      </c>
      <c r="F14" t="s">
        <v>43</v>
      </c>
      <c r="G14" s="1">
        <v>43195</v>
      </c>
      <c r="H14" t="s">
        <v>14</v>
      </c>
      <c r="J14" t="s">
        <v>33</v>
      </c>
    </row>
    <row r="15" spans="1:10" x14ac:dyDescent="0.3">
      <c r="A15" t="s">
        <v>38</v>
      </c>
      <c r="B15">
        <v>25</v>
      </c>
      <c r="C15">
        <v>55000</v>
      </c>
      <c r="D15" t="s">
        <v>36</v>
      </c>
      <c r="E15" t="s">
        <v>12</v>
      </c>
      <c r="F15" t="s">
        <v>13</v>
      </c>
      <c r="G15" s="2">
        <v>43881</v>
      </c>
      <c r="H15" t="s">
        <v>21</v>
      </c>
      <c r="J15" t="s">
        <v>45</v>
      </c>
    </row>
    <row r="16" spans="1:10" x14ac:dyDescent="0.3">
      <c r="A16" t="s">
        <v>46</v>
      </c>
      <c r="B16">
        <v>50</v>
      </c>
      <c r="C16" t="s">
        <v>34</v>
      </c>
      <c r="D16" t="s">
        <v>11</v>
      </c>
      <c r="E16" t="s">
        <v>37</v>
      </c>
      <c r="F16" t="s">
        <v>20</v>
      </c>
      <c r="G16" s="2">
        <v>43549</v>
      </c>
      <c r="H16" t="s">
        <v>31</v>
      </c>
      <c r="I16" t="s">
        <v>16</v>
      </c>
      <c r="J16" t="s">
        <v>23</v>
      </c>
    </row>
    <row r="17" spans="1:10" x14ac:dyDescent="0.3">
      <c r="A17" t="s">
        <v>29</v>
      </c>
      <c r="B17">
        <v>35</v>
      </c>
      <c r="C17">
        <v>65000</v>
      </c>
      <c r="D17" t="s">
        <v>11</v>
      </c>
      <c r="E17" t="s">
        <v>19</v>
      </c>
      <c r="F17" t="s">
        <v>39</v>
      </c>
      <c r="G17" s="1">
        <v>43195</v>
      </c>
      <c r="H17" t="s">
        <v>21</v>
      </c>
      <c r="J17" t="s">
        <v>23</v>
      </c>
    </row>
    <row r="18" spans="1:10" x14ac:dyDescent="0.3">
      <c r="A18" t="s">
        <v>47</v>
      </c>
      <c r="B18">
        <v>40</v>
      </c>
      <c r="C18">
        <v>55000</v>
      </c>
      <c r="D18" t="s">
        <v>18</v>
      </c>
      <c r="E18" t="s">
        <v>26</v>
      </c>
      <c r="F18" t="s">
        <v>43</v>
      </c>
      <c r="G18" s="2">
        <v>43845</v>
      </c>
      <c r="H18" t="s">
        <v>41</v>
      </c>
      <c r="I18" t="s">
        <v>16</v>
      </c>
      <c r="J18" t="s">
        <v>28</v>
      </c>
    </row>
    <row r="19" spans="1:10" x14ac:dyDescent="0.3">
      <c r="A19" t="s">
        <v>24</v>
      </c>
      <c r="B19">
        <v>50</v>
      </c>
      <c r="C19">
        <v>55000</v>
      </c>
      <c r="D19" t="s">
        <v>11</v>
      </c>
      <c r="E19" t="s">
        <v>12</v>
      </c>
      <c r="F19" t="s">
        <v>20</v>
      </c>
      <c r="G19" s="1">
        <v>43195</v>
      </c>
      <c r="H19" t="s">
        <v>14</v>
      </c>
      <c r="I19" t="s">
        <v>22</v>
      </c>
      <c r="J19" t="s">
        <v>33</v>
      </c>
    </row>
    <row r="20" spans="1:10" x14ac:dyDescent="0.3">
      <c r="A20" t="s">
        <v>46</v>
      </c>
      <c r="B20">
        <v>25</v>
      </c>
      <c r="C20" t="s">
        <v>34</v>
      </c>
      <c r="D20" t="s">
        <v>18</v>
      </c>
      <c r="E20" t="s">
        <v>30</v>
      </c>
      <c r="F20" t="s">
        <v>39</v>
      </c>
      <c r="G20" s="2">
        <v>43549</v>
      </c>
      <c r="H20" t="s">
        <v>41</v>
      </c>
      <c r="I20" t="s">
        <v>15</v>
      </c>
      <c r="J20" t="s">
        <v>45</v>
      </c>
    </row>
    <row r="21" spans="1:10" x14ac:dyDescent="0.3">
      <c r="A21" t="s">
        <v>47</v>
      </c>
      <c r="B21">
        <v>50</v>
      </c>
      <c r="C21">
        <v>50000</v>
      </c>
      <c r="D21" t="s">
        <v>18</v>
      </c>
      <c r="E21" t="s">
        <v>19</v>
      </c>
      <c r="F21" t="s">
        <v>43</v>
      </c>
      <c r="G21" s="2">
        <v>43549</v>
      </c>
      <c r="H21" t="s">
        <v>14</v>
      </c>
      <c r="I21" t="s">
        <v>22</v>
      </c>
      <c r="J21" t="s">
        <v>16</v>
      </c>
    </row>
    <row r="22" spans="1:10" x14ac:dyDescent="0.3">
      <c r="A22" t="s">
        <v>29</v>
      </c>
      <c r="B22">
        <v>35</v>
      </c>
      <c r="C22">
        <v>50000</v>
      </c>
      <c r="D22" t="s">
        <v>18</v>
      </c>
      <c r="E22" t="s">
        <v>30</v>
      </c>
      <c r="F22" t="s">
        <v>39</v>
      </c>
      <c r="G22" s="2">
        <v>43845</v>
      </c>
      <c r="H22" t="s">
        <v>14</v>
      </c>
      <c r="I22" t="s">
        <v>15</v>
      </c>
      <c r="J22" t="s">
        <v>28</v>
      </c>
    </row>
    <row r="23" spans="1:10" x14ac:dyDescent="0.3">
      <c r="A23" t="s">
        <v>48</v>
      </c>
      <c r="B23">
        <v>25</v>
      </c>
      <c r="C23">
        <v>50000</v>
      </c>
      <c r="D23" t="s">
        <v>36</v>
      </c>
      <c r="E23" t="s">
        <v>30</v>
      </c>
      <c r="F23" t="s">
        <v>20</v>
      </c>
      <c r="G23" s="1">
        <v>43195</v>
      </c>
      <c r="H23" t="s">
        <v>21</v>
      </c>
      <c r="I23" t="s">
        <v>22</v>
      </c>
      <c r="J23" t="s">
        <v>45</v>
      </c>
    </row>
    <row r="24" spans="1:10" x14ac:dyDescent="0.3">
      <c r="A24" t="s">
        <v>35</v>
      </c>
      <c r="B24">
        <v>50</v>
      </c>
      <c r="C24">
        <v>50000</v>
      </c>
      <c r="D24" t="s">
        <v>36</v>
      </c>
      <c r="E24" t="s">
        <v>37</v>
      </c>
      <c r="F24" t="s">
        <v>44</v>
      </c>
      <c r="G24" s="1">
        <v>43195</v>
      </c>
      <c r="H24" t="s">
        <v>41</v>
      </c>
      <c r="I24" t="s">
        <v>15</v>
      </c>
      <c r="J24" t="s">
        <v>33</v>
      </c>
    </row>
    <row r="25" spans="1:10" x14ac:dyDescent="0.3">
      <c r="A25" t="s">
        <v>46</v>
      </c>
      <c r="B25">
        <v>40</v>
      </c>
      <c r="C25">
        <v>70000</v>
      </c>
      <c r="D25" t="s">
        <v>36</v>
      </c>
      <c r="E25" t="s">
        <v>37</v>
      </c>
      <c r="F25" t="s">
        <v>20</v>
      </c>
      <c r="G25" s="2">
        <v>43845</v>
      </c>
      <c r="H25" t="s">
        <v>41</v>
      </c>
      <c r="I25" t="s">
        <v>15</v>
      </c>
      <c r="J25" t="s">
        <v>45</v>
      </c>
    </row>
    <row r="26" spans="1:10" x14ac:dyDescent="0.3">
      <c r="A26" t="s">
        <v>49</v>
      </c>
      <c r="B26">
        <v>40</v>
      </c>
      <c r="C26">
        <v>50000</v>
      </c>
      <c r="D26" t="s">
        <v>36</v>
      </c>
      <c r="E26" t="s">
        <v>19</v>
      </c>
      <c r="F26" t="s">
        <v>13</v>
      </c>
      <c r="G26" s="1">
        <v>43195</v>
      </c>
      <c r="H26" t="s">
        <v>31</v>
      </c>
      <c r="I26" t="s">
        <v>32</v>
      </c>
      <c r="J26" t="s">
        <v>23</v>
      </c>
    </row>
    <row r="27" spans="1:10" x14ac:dyDescent="0.3">
      <c r="A27" t="s">
        <v>48</v>
      </c>
      <c r="B27" t="s">
        <v>42</v>
      </c>
      <c r="C27">
        <v>70000</v>
      </c>
      <c r="D27" t="s">
        <v>11</v>
      </c>
      <c r="E27" t="s">
        <v>26</v>
      </c>
      <c r="F27" t="s">
        <v>39</v>
      </c>
      <c r="G27" s="2">
        <v>43845</v>
      </c>
      <c r="H27" t="s">
        <v>41</v>
      </c>
      <c r="I27" t="s">
        <v>15</v>
      </c>
      <c r="J27" t="s">
        <v>23</v>
      </c>
    </row>
    <row r="28" spans="1:10" x14ac:dyDescent="0.3">
      <c r="A28" t="s">
        <v>35</v>
      </c>
      <c r="B28">
        <v>50</v>
      </c>
      <c r="C28">
        <v>70000</v>
      </c>
      <c r="D28" t="s">
        <v>11</v>
      </c>
      <c r="E28" t="s">
        <v>19</v>
      </c>
      <c r="F28" t="s">
        <v>44</v>
      </c>
      <c r="G28" s="2">
        <v>43881</v>
      </c>
      <c r="H28" t="s">
        <v>31</v>
      </c>
      <c r="I28" t="s">
        <v>15</v>
      </c>
      <c r="J28" t="s">
        <v>28</v>
      </c>
    </row>
    <row r="29" spans="1:10" x14ac:dyDescent="0.3">
      <c r="A29" t="s">
        <v>38</v>
      </c>
      <c r="B29" t="s">
        <v>16</v>
      </c>
      <c r="C29">
        <v>50000</v>
      </c>
      <c r="D29" t="s">
        <v>36</v>
      </c>
      <c r="E29" t="s">
        <v>26</v>
      </c>
      <c r="F29" t="s">
        <v>39</v>
      </c>
      <c r="G29" s="2">
        <v>43549</v>
      </c>
      <c r="H29" t="s">
        <v>27</v>
      </c>
      <c r="I29" t="s">
        <v>32</v>
      </c>
      <c r="J29" t="s">
        <v>33</v>
      </c>
    </row>
    <row r="30" spans="1:10" x14ac:dyDescent="0.3">
      <c r="A30" t="s">
        <v>10</v>
      </c>
      <c r="B30">
        <v>50</v>
      </c>
      <c r="C30" t="s">
        <v>25</v>
      </c>
      <c r="D30" t="s">
        <v>11</v>
      </c>
      <c r="E30" t="s">
        <v>30</v>
      </c>
      <c r="F30" t="s">
        <v>39</v>
      </c>
      <c r="G30" s="2">
        <v>43881</v>
      </c>
      <c r="H30" t="s">
        <v>27</v>
      </c>
      <c r="J30" t="s">
        <v>33</v>
      </c>
    </row>
    <row r="31" spans="1:10" x14ac:dyDescent="0.3">
      <c r="A31" t="s">
        <v>17</v>
      </c>
      <c r="B31">
        <v>25</v>
      </c>
      <c r="C31">
        <v>65000</v>
      </c>
      <c r="D31" t="s">
        <v>11</v>
      </c>
      <c r="E31" t="s">
        <v>12</v>
      </c>
      <c r="F31" t="s">
        <v>43</v>
      </c>
      <c r="G31" t="s">
        <v>40</v>
      </c>
      <c r="H31" t="s">
        <v>27</v>
      </c>
      <c r="J31" t="s">
        <v>45</v>
      </c>
    </row>
    <row r="32" spans="1:10" x14ac:dyDescent="0.3">
      <c r="A32" t="s">
        <v>49</v>
      </c>
      <c r="B32">
        <v>25</v>
      </c>
      <c r="C32">
        <v>55000</v>
      </c>
      <c r="D32" t="s">
        <v>18</v>
      </c>
      <c r="E32" t="s">
        <v>19</v>
      </c>
      <c r="F32" t="s">
        <v>13</v>
      </c>
      <c r="G32" t="s">
        <v>40</v>
      </c>
      <c r="H32" t="s">
        <v>41</v>
      </c>
      <c r="I32" t="s">
        <v>32</v>
      </c>
      <c r="J32" t="s">
        <v>28</v>
      </c>
    </row>
    <row r="33" spans="1:10" x14ac:dyDescent="0.3">
      <c r="A33" t="s">
        <v>38</v>
      </c>
      <c r="B33">
        <v>50</v>
      </c>
      <c r="C33">
        <v>70000</v>
      </c>
      <c r="D33" t="s">
        <v>18</v>
      </c>
      <c r="E33" t="s">
        <v>19</v>
      </c>
      <c r="F33" t="s">
        <v>39</v>
      </c>
      <c r="G33" t="s">
        <v>40</v>
      </c>
      <c r="H33" t="s">
        <v>41</v>
      </c>
      <c r="I33" t="s">
        <v>16</v>
      </c>
      <c r="J33" t="s">
        <v>33</v>
      </c>
    </row>
    <row r="34" spans="1:10" x14ac:dyDescent="0.3">
      <c r="A34" t="s">
        <v>29</v>
      </c>
      <c r="B34">
        <v>35</v>
      </c>
      <c r="C34" t="s">
        <v>34</v>
      </c>
      <c r="D34" t="s">
        <v>18</v>
      </c>
      <c r="E34" t="s">
        <v>26</v>
      </c>
      <c r="F34" t="s">
        <v>20</v>
      </c>
      <c r="G34" s="2">
        <v>43845</v>
      </c>
      <c r="H34" t="s">
        <v>31</v>
      </c>
      <c r="I34" t="s">
        <v>15</v>
      </c>
      <c r="J34" t="s">
        <v>23</v>
      </c>
    </row>
    <row r="35" spans="1:10" x14ac:dyDescent="0.3">
      <c r="A35" t="s">
        <v>38</v>
      </c>
      <c r="B35">
        <v>40</v>
      </c>
      <c r="C35" t="s">
        <v>34</v>
      </c>
      <c r="D35" t="s">
        <v>18</v>
      </c>
      <c r="E35" t="s">
        <v>30</v>
      </c>
      <c r="F35" t="s">
        <v>20</v>
      </c>
      <c r="G35" s="1">
        <v>43195</v>
      </c>
      <c r="H35" t="s">
        <v>14</v>
      </c>
      <c r="I35" t="s">
        <v>15</v>
      </c>
      <c r="J35" t="s">
        <v>45</v>
      </c>
    </row>
    <row r="36" spans="1:10" x14ac:dyDescent="0.3">
      <c r="A36" t="s">
        <v>10</v>
      </c>
      <c r="B36">
        <v>25</v>
      </c>
      <c r="C36">
        <v>65000</v>
      </c>
      <c r="D36" t="s">
        <v>11</v>
      </c>
      <c r="E36" t="s">
        <v>30</v>
      </c>
      <c r="F36" t="s">
        <v>43</v>
      </c>
      <c r="G36" s="2">
        <v>43881</v>
      </c>
      <c r="H36" t="s">
        <v>31</v>
      </c>
      <c r="I36" t="s">
        <v>32</v>
      </c>
      <c r="J36" t="s">
        <v>16</v>
      </c>
    </row>
    <row r="37" spans="1:10" x14ac:dyDescent="0.3">
      <c r="A37" t="s">
        <v>29</v>
      </c>
      <c r="B37">
        <v>40</v>
      </c>
      <c r="C37" t="s">
        <v>34</v>
      </c>
      <c r="D37" t="s">
        <v>36</v>
      </c>
      <c r="E37" t="s">
        <v>26</v>
      </c>
      <c r="F37" t="s">
        <v>13</v>
      </c>
      <c r="G37" s="2">
        <v>43881</v>
      </c>
      <c r="H37" t="s">
        <v>27</v>
      </c>
      <c r="I37" t="s">
        <v>32</v>
      </c>
      <c r="J37" t="s">
        <v>23</v>
      </c>
    </row>
    <row r="38" spans="1:10" x14ac:dyDescent="0.3">
      <c r="A38" t="s">
        <v>49</v>
      </c>
      <c r="B38">
        <v>25</v>
      </c>
      <c r="C38" t="s">
        <v>25</v>
      </c>
      <c r="D38" t="s">
        <v>11</v>
      </c>
      <c r="E38" t="s">
        <v>30</v>
      </c>
      <c r="F38" t="s">
        <v>13</v>
      </c>
      <c r="G38" s="2">
        <v>43881</v>
      </c>
      <c r="H38" t="s">
        <v>31</v>
      </c>
      <c r="I38" t="s">
        <v>16</v>
      </c>
      <c r="J38" t="s">
        <v>28</v>
      </c>
    </row>
    <row r="39" spans="1:10" x14ac:dyDescent="0.3">
      <c r="A39" t="s">
        <v>10</v>
      </c>
      <c r="B39" t="s">
        <v>42</v>
      </c>
      <c r="C39" t="s">
        <v>34</v>
      </c>
      <c r="D39" t="s">
        <v>11</v>
      </c>
      <c r="E39" t="s">
        <v>37</v>
      </c>
      <c r="F39" t="s">
        <v>20</v>
      </c>
      <c r="G39" s="2">
        <v>43881</v>
      </c>
      <c r="H39" t="s">
        <v>14</v>
      </c>
      <c r="J39" t="s">
        <v>33</v>
      </c>
    </row>
    <row r="40" spans="1:10" x14ac:dyDescent="0.3">
      <c r="A40" t="s">
        <v>47</v>
      </c>
      <c r="B40" t="s">
        <v>16</v>
      </c>
      <c r="C40">
        <v>55000</v>
      </c>
      <c r="D40" t="s">
        <v>11</v>
      </c>
      <c r="E40" t="s">
        <v>12</v>
      </c>
      <c r="F40" t="s">
        <v>44</v>
      </c>
      <c r="G40" t="s">
        <v>40</v>
      </c>
      <c r="H40" t="s">
        <v>41</v>
      </c>
      <c r="I40" t="s">
        <v>22</v>
      </c>
      <c r="J40" t="s">
        <v>23</v>
      </c>
    </row>
    <row r="41" spans="1:10" x14ac:dyDescent="0.3">
      <c r="A41" t="s">
        <v>17</v>
      </c>
      <c r="B41">
        <v>25</v>
      </c>
      <c r="C41">
        <v>55000</v>
      </c>
      <c r="D41" t="s">
        <v>18</v>
      </c>
      <c r="E41" t="s">
        <v>19</v>
      </c>
      <c r="F41" t="s">
        <v>43</v>
      </c>
      <c r="G41" s="2">
        <v>43881</v>
      </c>
      <c r="H41" t="s">
        <v>31</v>
      </c>
      <c r="J41" t="s">
        <v>16</v>
      </c>
    </row>
    <row r="42" spans="1:10" x14ac:dyDescent="0.3">
      <c r="A42" t="s">
        <v>49</v>
      </c>
      <c r="B42">
        <v>40</v>
      </c>
      <c r="C42">
        <v>70000</v>
      </c>
      <c r="D42" t="s">
        <v>18</v>
      </c>
      <c r="E42" t="s">
        <v>12</v>
      </c>
      <c r="F42" t="s">
        <v>43</v>
      </c>
      <c r="G42" s="1">
        <v>43195</v>
      </c>
      <c r="H42" t="s">
        <v>27</v>
      </c>
      <c r="I42" t="s">
        <v>15</v>
      </c>
      <c r="J42" t="s">
        <v>16</v>
      </c>
    </row>
    <row r="43" spans="1:10" x14ac:dyDescent="0.3">
      <c r="A43" t="s">
        <v>47</v>
      </c>
      <c r="B43" t="s">
        <v>42</v>
      </c>
      <c r="C43">
        <v>50000</v>
      </c>
      <c r="D43" t="s">
        <v>18</v>
      </c>
      <c r="E43" t="s">
        <v>19</v>
      </c>
      <c r="F43" t="s">
        <v>20</v>
      </c>
      <c r="G43" t="s">
        <v>40</v>
      </c>
      <c r="H43" t="s">
        <v>27</v>
      </c>
      <c r="I43" t="s">
        <v>32</v>
      </c>
      <c r="J43" t="s">
        <v>28</v>
      </c>
    </row>
    <row r="44" spans="1:10" x14ac:dyDescent="0.3">
      <c r="A44" t="s">
        <v>35</v>
      </c>
      <c r="B44">
        <v>25</v>
      </c>
      <c r="C44" t="s">
        <v>25</v>
      </c>
      <c r="D44" t="s">
        <v>36</v>
      </c>
      <c r="E44" t="s">
        <v>37</v>
      </c>
      <c r="F44" t="s">
        <v>20</v>
      </c>
      <c r="G44" s="2">
        <v>43881</v>
      </c>
      <c r="H44" t="s">
        <v>41</v>
      </c>
      <c r="I44" t="s">
        <v>16</v>
      </c>
      <c r="J44" t="s">
        <v>23</v>
      </c>
    </row>
    <row r="45" spans="1:10" x14ac:dyDescent="0.3">
      <c r="A45" t="s">
        <v>49</v>
      </c>
      <c r="B45">
        <v>35</v>
      </c>
      <c r="C45">
        <v>70000</v>
      </c>
      <c r="D45" t="s">
        <v>11</v>
      </c>
      <c r="E45" t="s">
        <v>30</v>
      </c>
      <c r="F45" t="s">
        <v>44</v>
      </c>
      <c r="G45" s="2">
        <v>43845</v>
      </c>
      <c r="H45" t="s">
        <v>31</v>
      </c>
      <c r="J45" t="s">
        <v>45</v>
      </c>
    </row>
    <row r="46" spans="1:10" x14ac:dyDescent="0.3">
      <c r="A46" t="s">
        <v>35</v>
      </c>
      <c r="B46" t="s">
        <v>16</v>
      </c>
      <c r="C46" t="s">
        <v>25</v>
      </c>
      <c r="D46" t="s">
        <v>36</v>
      </c>
      <c r="E46" t="s">
        <v>26</v>
      </c>
      <c r="F46" t="s">
        <v>44</v>
      </c>
      <c r="G46" s="2">
        <v>43549</v>
      </c>
      <c r="H46" t="s">
        <v>14</v>
      </c>
      <c r="I46" t="s">
        <v>16</v>
      </c>
      <c r="J46" t="s">
        <v>23</v>
      </c>
    </row>
    <row r="47" spans="1:10" x14ac:dyDescent="0.3">
      <c r="A47" t="s">
        <v>29</v>
      </c>
      <c r="B47">
        <v>25</v>
      </c>
      <c r="C47">
        <v>50000</v>
      </c>
      <c r="D47" t="s">
        <v>18</v>
      </c>
      <c r="E47" t="s">
        <v>37</v>
      </c>
      <c r="F47" t="s">
        <v>13</v>
      </c>
      <c r="G47" s="2">
        <v>43549</v>
      </c>
      <c r="H47" t="s">
        <v>41</v>
      </c>
      <c r="J47" t="s">
        <v>16</v>
      </c>
    </row>
    <row r="48" spans="1:10" x14ac:dyDescent="0.3">
      <c r="A48" t="s">
        <v>47</v>
      </c>
      <c r="B48" t="s">
        <v>42</v>
      </c>
      <c r="C48" t="s">
        <v>34</v>
      </c>
      <c r="D48" t="s">
        <v>36</v>
      </c>
      <c r="E48" t="s">
        <v>12</v>
      </c>
      <c r="F48" t="s">
        <v>43</v>
      </c>
      <c r="G48" s="2">
        <v>43549</v>
      </c>
      <c r="H48" t="s">
        <v>31</v>
      </c>
      <c r="I48" t="s">
        <v>15</v>
      </c>
      <c r="J48" t="s">
        <v>28</v>
      </c>
    </row>
    <row r="49" spans="1:10" x14ac:dyDescent="0.3">
      <c r="A49" t="s">
        <v>17</v>
      </c>
      <c r="B49">
        <v>35</v>
      </c>
      <c r="C49" t="s">
        <v>34</v>
      </c>
      <c r="D49" t="s">
        <v>11</v>
      </c>
      <c r="E49" t="s">
        <v>26</v>
      </c>
      <c r="F49" t="s">
        <v>43</v>
      </c>
      <c r="G49" t="s">
        <v>40</v>
      </c>
      <c r="H49" t="s">
        <v>21</v>
      </c>
      <c r="I49" t="s">
        <v>22</v>
      </c>
      <c r="J49" t="s">
        <v>28</v>
      </c>
    </row>
    <row r="50" spans="1:10" x14ac:dyDescent="0.3">
      <c r="A50" t="s">
        <v>10</v>
      </c>
      <c r="B50">
        <v>50</v>
      </c>
      <c r="C50">
        <v>50000</v>
      </c>
      <c r="D50" t="s">
        <v>11</v>
      </c>
      <c r="E50" t="s">
        <v>30</v>
      </c>
      <c r="F50" t="s">
        <v>20</v>
      </c>
      <c r="G50" s="2">
        <v>43881</v>
      </c>
      <c r="H50" t="s">
        <v>27</v>
      </c>
      <c r="I50" t="s">
        <v>16</v>
      </c>
      <c r="J50" t="s">
        <v>45</v>
      </c>
    </row>
    <row r="51" spans="1:10" x14ac:dyDescent="0.3">
      <c r="A51" t="s">
        <v>24</v>
      </c>
      <c r="B51" t="s">
        <v>42</v>
      </c>
      <c r="C51">
        <v>70000</v>
      </c>
      <c r="D51" t="s">
        <v>18</v>
      </c>
      <c r="E51" t="s">
        <v>37</v>
      </c>
      <c r="F51" t="s">
        <v>13</v>
      </c>
      <c r="G51" t="s">
        <v>40</v>
      </c>
      <c r="H51" t="s">
        <v>14</v>
      </c>
      <c r="I51" t="s">
        <v>16</v>
      </c>
      <c r="J51" t="s">
        <v>28</v>
      </c>
    </row>
    <row r="52" spans="1:10" x14ac:dyDescent="0.3">
      <c r="A52" t="s">
        <v>38</v>
      </c>
      <c r="B52" t="s">
        <v>42</v>
      </c>
      <c r="C52">
        <v>50000</v>
      </c>
      <c r="D52" t="s">
        <v>18</v>
      </c>
      <c r="E52" t="s">
        <v>26</v>
      </c>
      <c r="F52" t="s">
        <v>43</v>
      </c>
      <c r="G52" s="1">
        <v>43195</v>
      </c>
      <c r="H52" t="s">
        <v>14</v>
      </c>
      <c r="I52" t="s">
        <v>22</v>
      </c>
      <c r="J52" t="s">
        <v>28</v>
      </c>
    </row>
    <row r="53" spans="1:10" x14ac:dyDescent="0.3">
      <c r="A53" t="s">
        <v>48</v>
      </c>
      <c r="B53">
        <v>35</v>
      </c>
      <c r="C53">
        <v>65000</v>
      </c>
      <c r="D53" t="s">
        <v>36</v>
      </c>
      <c r="E53" t="s">
        <v>37</v>
      </c>
      <c r="F53" t="s">
        <v>13</v>
      </c>
      <c r="G53" s="2">
        <v>43845</v>
      </c>
      <c r="H53" t="s">
        <v>14</v>
      </c>
      <c r="I53" t="s">
        <v>16</v>
      </c>
      <c r="J53" t="s">
        <v>28</v>
      </c>
    </row>
    <row r="54" spans="1:10" x14ac:dyDescent="0.3">
      <c r="A54" t="s">
        <v>17</v>
      </c>
      <c r="B54" t="s">
        <v>42</v>
      </c>
      <c r="C54">
        <v>55000</v>
      </c>
      <c r="D54" t="s">
        <v>18</v>
      </c>
      <c r="E54" t="s">
        <v>37</v>
      </c>
      <c r="F54" t="s">
        <v>13</v>
      </c>
      <c r="G54" s="2">
        <v>43845</v>
      </c>
      <c r="H54" t="s">
        <v>27</v>
      </c>
      <c r="I54" t="s">
        <v>16</v>
      </c>
      <c r="J54" t="s">
        <v>28</v>
      </c>
    </row>
    <row r="55" spans="1:10" x14ac:dyDescent="0.3">
      <c r="A55" t="s">
        <v>47</v>
      </c>
      <c r="B55">
        <v>35</v>
      </c>
      <c r="C55">
        <v>70000</v>
      </c>
      <c r="D55" t="s">
        <v>18</v>
      </c>
      <c r="E55" t="s">
        <v>30</v>
      </c>
      <c r="F55" t="s">
        <v>20</v>
      </c>
      <c r="G55" s="2">
        <v>43549</v>
      </c>
      <c r="H55" t="s">
        <v>31</v>
      </c>
      <c r="J55" t="s">
        <v>28</v>
      </c>
    </row>
    <row r="56" spans="1:10" x14ac:dyDescent="0.3">
      <c r="A56" t="s">
        <v>24</v>
      </c>
      <c r="B56">
        <v>25</v>
      </c>
      <c r="C56" t="s">
        <v>25</v>
      </c>
      <c r="D56" t="s">
        <v>11</v>
      </c>
      <c r="E56" t="s">
        <v>19</v>
      </c>
      <c r="F56" t="s">
        <v>13</v>
      </c>
      <c r="G56" s="2">
        <v>43549</v>
      </c>
      <c r="H56" t="s">
        <v>41</v>
      </c>
      <c r="J56" t="s">
        <v>16</v>
      </c>
    </row>
    <row r="57" spans="1:10" x14ac:dyDescent="0.3">
      <c r="A57" t="s">
        <v>17</v>
      </c>
      <c r="B57">
        <v>35</v>
      </c>
      <c r="C57">
        <v>65000</v>
      </c>
      <c r="D57" t="s">
        <v>18</v>
      </c>
      <c r="E57" t="s">
        <v>26</v>
      </c>
      <c r="F57" t="s">
        <v>44</v>
      </c>
      <c r="G57" s="2">
        <v>43549</v>
      </c>
      <c r="H57" t="s">
        <v>31</v>
      </c>
      <c r="I57" t="s">
        <v>22</v>
      </c>
      <c r="J57" t="s">
        <v>23</v>
      </c>
    </row>
    <row r="58" spans="1:10" x14ac:dyDescent="0.3">
      <c r="A58" t="s">
        <v>47</v>
      </c>
      <c r="B58">
        <v>35</v>
      </c>
      <c r="C58">
        <v>70000</v>
      </c>
      <c r="D58" t="s">
        <v>18</v>
      </c>
      <c r="E58" t="s">
        <v>30</v>
      </c>
      <c r="F58" t="s">
        <v>44</v>
      </c>
      <c r="G58" s="2">
        <v>43881</v>
      </c>
      <c r="H58" t="s">
        <v>41</v>
      </c>
      <c r="I58" t="s">
        <v>15</v>
      </c>
      <c r="J58" t="s">
        <v>33</v>
      </c>
    </row>
    <row r="59" spans="1:10" x14ac:dyDescent="0.3">
      <c r="A59" t="s">
        <v>46</v>
      </c>
      <c r="B59" t="s">
        <v>16</v>
      </c>
      <c r="C59">
        <v>50000</v>
      </c>
      <c r="D59" t="s">
        <v>11</v>
      </c>
      <c r="E59" t="s">
        <v>37</v>
      </c>
      <c r="F59" t="s">
        <v>39</v>
      </c>
      <c r="G59" s="1">
        <v>43195</v>
      </c>
      <c r="H59" t="s">
        <v>14</v>
      </c>
      <c r="I59" t="s">
        <v>16</v>
      </c>
      <c r="J59" t="s">
        <v>28</v>
      </c>
    </row>
    <row r="60" spans="1:10" x14ac:dyDescent="0.3">
      <c r="A60" t="s">
        <v>46</v>
      </c>
      <c r="B60">
        <v>35</v>
      </c>
      <c r="C60">
        <v>50000</v>
      </c>
      <c r="D60" t="s">
        <v>11</v>
      </c>
      <c r="E60" t="s">
        <v>30</v>
      </c>
      <c r="F60" t="s">
        <v>20</v>
      </c>
      <c r="G60" s="1">
        <v>43195</v>
      </c>
      <c r="H60" t="s">
        <v>31</v>
      </c>
      <c r="I60" t="s">
        <v>15</v>
      </c>
      <c r="J60" t="s">
        <v>33</v>
      </c>
    </row>
    <row r="61" spans="1:10" x14ac:dyDescent="0.3">
      <c r="A61" t="s">
        <v>35</v>
      </c>
      <c r="B61">
        <v>35</v>
      </c>
      <c r="C61">
        <v>50000</v>
      </c>
      <c r="D61" t="s">
        <v>36</v>
      </c>
      <c r="E61" t="s">
        <v>19</v>
      </c>
      <c r="F61" t="s">
        <v>39</v>
      </c>
      <c r="G61" s="1">
        <v>43195</v>
      </c>
      <c r="H61" t="s">
        <v>14</v>
      </c>
      <c r="I61" t="s">
        <v>22</v>
      </c>
      <c r="J61" t="s">
        <v>33</v>
      </c>
    </row>
    <row r="62" spans="1:10" x14ac:dyDescent="0.3">
      <c r="A62" t="s">
        <v>17</v>
      </c>
      <c r="B62">
        <v>50</v>
      </c>
      <c r="C62">
        <v>50000</v>
      </c>
      <c r="D62" t="s">
        <v>18</v>
      </c>
      <c r="E62" t="s">
        <v>26</v>
      </c>
      <c r="F62" t="s">
        <v>44</v>
      </c>
      <c r="G62" s="1">
        <v>43195</v>
      </c>
      <c r="H62" t="s">
        <v>21</v>
      </c>
      <c r="I62" t="s">
        <v>22</v>
      </c>
      <c r="J62" t="s">
        <v>16</v>
      </c>
    </row>
    <row r="63" spans="1:10" x14ac:dyDescent="0.3">
      <c r="A63" t="s">
        <v>46</v>
      </c>
      <c r="B63">
        <v>25</v>
      </c>
      <c r="C63" t="s">
        <v>25</v>
      </c>
      <c r="D63" t="s">
        <v>11</v>
      </c>
      <c r="E63" t="s">
        <v>19</v>
      </c>
      <c r="F63" t="s">
        <v>39</v>
      </c>
      <c r="G63" s="2">
        <v>43549</v>
      </c>
      <c r="H63" t="s">
        <v>14</v>
      </c>
      <c r="J63" t="s">
        <v>28</v>
      </c>
    </row>
    <row r="64" spans="1:10" x14ac:dyDescent="0.3">
      <c r="A64" t="s">
        <v>47</v>
      </c>
      <c r="B64" t="s">
        <v>16</v>
      </c>
      <c r="C64">
        <v>65000</v>
      </c>
      <c r="D64" t="s">
        <v>36</v>
      </c>
      <c r="E64" t="s">
        <v>12</v>
      </c>
      <c r="F64" t="s">
        <v>20</v>
      </c>
      <c r="G64" s="2">
        <v>43845</v>
      </c>
      <c r="H64" t="s">
        <v>14</v>
      </c>
      <c r="I64" t="s">
        <v>16</v>
      </c>
      <c r="J64" t="s">
        <v>33</v>
      </c>
    </row>
    <row r="65" spans="1:10" x14ac:dyDescent="0.3">
      <c r="A65" t="s">
        <v>35</v>
      </c>
      <c r="B65">
        <v>50</v>
      </c>
      <c r="C65" t="s">
        <v>34</v>
      </c>
      <c r="D65" t="s">
        <v>36</v>
      </c>
      <c r="E65" t="s">
        <v>26</v>
      </c>
      <c r="F65" t="s">
        <v>20</v>
      </c>
      <c r="G65" s="2">
        <v>43549</v>
      </c>
      <c r="H65" t="s">
        <v>41</v>
      </c>
      <c r="I65" t="s">
        <v>32</v>
      </c>
      <c r="J65" t="s">
        <v>28</v>
      </c>
    </row>
    <row r="66" spans="1:10" x14ac:dyDescent="0.3">
      <c r="A66" t="s">
        <v>47</v>
      </c>
      <c r="B66">
        <v>40</v>
      </c>
      <c r="C66">
        <v>55000</v>
      </c>
      <c r="D66" t="s">
        <v>18</v>
      </c>
      <c r="E66" t="s">
        <v>19</v>
      </c>
      <c r="F66" t="s">
        <v>13</v>
      </c>
      <c r="G66" s="1">
        <v>43195</v>
      </c>
      <c r="H66" t="s">
        <v>21</v>
      </c>
      <c r="I66" t="s">
        <v>22</v>
      </c>
      <c r="J66" t="s">
        <v>45</v>
      </c>
    </row>
    <row r="67" spans="1:10" x14ac:dyDescent="0.3">
      <c r="A67" t="s">
        <v>35</v>
      </c>
      <c r="B67">
        <v>25</v>
      </c>
      <c r="C67" t="s">
        <v>25</v>
      </c>
      <c r="D67" t="s">
        <v>18</v>
      </c>
      <c r="E67" t="s">
        <v>37</v>
      </c>
      <c r="F67" t="s">
        <v>43</v>
      </c>
      <c r="G67" s="2">
        <v>43549</v>
      </c>
      <c r="H67" t="s">
        <v>14</v>
      </c>
      <c r="I67" t="s">
        <v>16</v>
      </c>
      <c r="J67" t="s">
        <v>45</v>
      </c>
    </row>
    <row r="68" spans="1:10" x14ac:dyDescent="0.3">
      <c r="A68" t="s">
        <v>17</v>
      </c>
      <c r="B68">
        <v>25</v>
      </c>
      <c r="C68" t="s">
        <v>25</v>
      </c>
      <c r="D68" t="s">
        <v>36</v>
      </c>
      <c r="E68" t="s">
        <v>26</v>
      </c>
      <c r="F68" t="s">
        <v>13</v>
      </c>
      <c r="G68" s="1">
        <v>43195</v>
      </c>
      <c r="H68" t="s">
        <v>14</v>
      </c>
      <c r="I68" t="s">
        <v>15</v>
      </c>
      <c r="J68" t="s">
        <v>45</v>
      </c>
    </row>
    <row r="69" spans="1:10" x14ac:dyDescent="0.3">
      <c r="A69" t="s">
        <v>24</v>
      </c>
      <c r="B69">
        <v>40</v>
      </c>
      <c r="C69" t="s">
        <v>34</v>
      </c>
      <c r="D69" t="s">
        <v>11</v>
      </c>
      <c r="E69" t="s">
        <v>26</v>
      </c>
      <c r="F69" t="s">
        <v>20</v>
      </c>
      <c r="G69" t="s">
        <v>40</v>
      </c>
      <c r="H69" t="s">
        <v>21</v>
      </c>
      <c r="J69" t="s">
        <v>33</v>
      </c>
    </row>
    <row r="70" spans="1:10" x14ac:dyDescent="0.3">
      <c r="A70" t="s">
        <v>10</v>
      </c>
      <c r="B70">
        <v>35</v>
      </c>
      <c r="C70" t="s">
        <v>34</v>
      </c>
      <c r="D70" t="s">
        <v>36</v>
      </c>
      <c r="E70" t="s">
        <v>30</v>
      </c>
      <c r="F70" t="s">
        <v>44</v>
      </c>
      <c r="G70" s="2">
        <v>43845</v>
      </c>
      <c r="H70" t="s">
        <v>21</v>
      </c>
      <c r="I70" t="s">
        <v>15</v>
      </c>
      <c r="J70" t="s">
        <v>45</v>
      </c>
    </row>
    <row r="71" spans="1:10" x14ac:dyDescent="0.3">
      <c r="A71" t="s">
        <v>49</v>
      </c>
      <c r="B71">
        <v>50</v>
      </c>
      <c r="C71">
        <v>55000</v>
      </c>
      <c r="D71" t="s">
        <v>18</v>
      </c>
      <c r="E71" t="s">
        <v>37</v>
      </c>
      <c r="F71" t="s">
        <v>44</v>
      </c>
      <c r="G71" t="s">
        <v>40</v>
      </c>
      <c r="H71" t="s">
        <v>31</v>
      </c>
      <c r="I71" t="s">
        <v>22</v>
      </c>
      <c r="J71" t="s">
        <v>16</v>
      </c>
    </row>
    <row r="72" spans="1:10" x14ac:dyDescent="0.3">
      <c r="A72" t="s">
        <v>24</v>
      </c>
      <c r="B72" t="s">
        <v>42</v>
      </c>
      <c r="C72">
        <v>55000</v>
      </c>
      <c r="D72" t="s">
        <v>11</v>
      </c>
      <c r="E72" t="s">
        <v>12</v>
      </c>
      <c r="F72" t="s">
        <v>13</v>
      </c>
      <c r="G72" s="2">
        <v>43881</v>
      </c>
      <c r="H72" t="s">
        <v>41</v>
      </c>
      <c r="I72" t="s">
        <v>22</v>
      </c>
      <c r="J72" t="s">
        <v>16</v>
      </c>
    </row>
    <row r="73" spans="1:10" x14ac:dyDescent="0.3">
      <c r="A73" t="s">
        <v>29</v>
      </c>
      <c r="B73" t="s">
        <v>16</v>
      </c>
      <c r="C73" t="s">
        <v>34</v>
      </c>
      <c r="D73" t="s">
        <v>11</v>
      </c>
      <c r="E73" t="s">
        <v>19</v>
      </c>
      <c r="F73" t="s">
        <v>20</v>
      </c>
      <c r="G73" s="2">
        <v>43549</v>
      </c>
      <c r="H73" t="s">
        <v>21</v>
      </c>
      <c r="I73" t="s">
        <v>15</v>
      </c>
      <c r="J73" t="s">
        <v>33</v>
      </c>
    </row>
    <row r="74" spans="1:10" x14ac:dyDescent="0.3">
      <c r="A74" t="s">
        <v>47</v>
      </c>
      <c r="B74" t="s">
        <v>42</v>
      </c>
      <c r="C74">
        <v>50000</v>
      </c>
      <c r="D74" t="s">
        <v>36</v>
      </c>
      <c r="E74" t="s">
        <v>30</v>
      </c>
      <c r="F74" t="s">
        <v>44</v>
      </c>
      <c r="G74" s="2">
        <v>43881</v>
      </c>
      <c r="H74" t="s">
        <v>21</v>
      </c>
      <c r="I74" t="s">
        <v>22</v>
      </c>
      <c r="J74" t="s">
        <v>28</v>
      </c>
    </row>
    <row r="75" spans="1:10" x14ac:dyDescent="0.3">
      <c r="A75" t="s">
        <v>29</v>
      </c>
      <c r="B75">
        <v>40</v>
      </c>
      <c r="C75" t="s">
        <v>25</v>
      </c>
      <c r="D75" t="s">
        <v>18</v>
      </c>
      <c r="E75" t="s">
        <v>19</v>
      </c>
      <c r="F75" t="s">
        <v>20</v>
      </c>
      <c r="G75" s="2">
        <v>43549</v>
      </c>
      <c r="H75" t="s">
        <v>27</v>
      </c>
      <c r="I75" t="s">
        <v>16</v>
      </c>
      <c r="J75" t="s">
        <v>23</v>
      </c>
    </row>
    <row r="76" spans="1:10" x14ac:dyDescent="0.3">
      <c r="A76" t="s">
        <v>24</v>
      </c>
      <c r="B76">
        <v>25</v>
      </c>
      <c r="C76">
        <v>70000</v>
      </c>
      <c r="D76" t="s">
        <v>36</v>
      </c>
      <c r="E76" t="s">
        <v>12</v>
      </c>
      <c r="F76" t="s">
        <v>44</v>
      </c>
      <c r="G76" t="s">
        <v>40</v>
      </c>
      <c r="H76" t="s">
        <v>21</v>
      </c>
      <c r="I76" t="s">
        <v>22</v>
      </c>
      <c r="J76" t="s">
        <v>28</v>
      </c>
    </row>
    <row r="77" spans="1:10" x14ac:dyDescent="0.3">
      <c r="A77" t="s">
        <v>35</v>
      </c>
      <c r="B77">
        <v>25</v>
      </c>
      <c r="C77">
        <v>55000</v>
      </c>
      <c r="D77" t="s">
        <v>36</v>
      </c>
      <c r="E77" t="s">
        <v>12</v>
      </c>
      <c r="F77" t="s">
        <v>20</v>
      </c>
      <c r="G77" s="1">
        <v>43195</v>
      </c>
      <c r="H77" t="s">
        <v>41</v>
      </c>
      <c r="J77" t="s">
        <v>28</v>
      </c>
    </row>
    <row r="78" spans="1:10" x14ac:dyDescent="0.3">
      <c r="A78" t="s">
        <v>49</v>
      </c>
      <c r="B78" t="s">
        <v>16</v>
      </c>
      <c r="C78">
        <v>55000</v>
      </c>
      <c r="D78" t="s">
        <v>36</v>
      </c>
      <c r="E78" t="s">
        <v>26</v>
      </c>
      <c r="F78" t="s">
        <v>39</v>
      </c>
      <c r="G78" s="1">
        <v>43195</v>
      </c>
      <c r="H78" t="s">
        <v>14</v>
      </c>
      <c r="I78" t="s">
        <v>16</v>
      </c>
      <c r="J78" t="s">
        <v>28</v>
      </c>
    </row>
    <row r="79" spans="1:10" x14ac:dyDescent="0.3">
      <c r="A79" t="s">
        <v>49</v>
      </c>
      <c r="B79">
        <v>25</v>
      </c>
      <c r="C79" t="s">
        <v>34</v>
      </c>
      <c r="D79" t="s">
        <v>11</v>
      </c>
      <c r="E79" t="s">
        <v>12</v>
      </c>
      <c r="F79" t="s">
        <v>20</v>
      </c>
      <c r="G79" s="2">
        <v>43549</v>
      </c>
      <c r="H79" t="s">
        <v>14</v>
      </c>
      <c r="I79" t="s">
        <v>32</v>
      </c>
      <c r="J79" t="s">
        <v>28</v>
      </c>
    </row>
    <row r="80" spans="1:10" x14ac:dyDescent="0.3">
      <c r="A80" t="s">
        <v>48</v>
      </c>
      <c r="B80">
        <v>25</v>
      </c>
      <c r="C80">
        <v>65000</v>
      </c>
      <c r="D80" t="s">
        <v>11</v>
      </c>
      <c r="E80" t="s">
        <v>19</v>
      </c>
      <c r="F80" t="s">
        <v>20</v>
      </c>
      <c r="G80" s="1">
        <v>43195</v>
      </c>
      <c r="H80" t="s">
        <v>14</v>
      </c>
      <c r="I80" t="s">
        <v>22</v>
      </c>
      <c r="J80" t="s">
        <v>23</v>
      </c>
    </row>
    <row r="81" spans="1:10" x14ac:dyDescent="0.3">
      <c r="A81" t="s">
        <v>49</v>
      </c>
      <c r="B81" t="s">
        <v>16</v>
      </c>
      <c r="C81">
        <v>70000</v>
      </c>
      <c r="D81" t="s">
        <v>18</v>
      </c>
      <c r="E81" t="s">
        <v>37</v>
      </c>
      <c r="F81" t="s">
        <v>13</v>
      </c>
      <c r="G81" t="s">
        <v>40</v>
      </c>
      <c r="H81" t="s">
        <v>14</v>
      </c>
      <c r="I81" t="s">
        <v>22</v>
      </c>
      <c r="J81" t="s">
        <v>45</v>
      </c>
    </row>
    <row r="82" spans="1:10" x14ac:dyDescent="0.3">
      <c r="A82" t="s">
        <v>10</v>
      </c>
      <c r="B82">
        <v>50</v>
      </c>
      <c r="C82">
        <v>70000</v>
      </c>
      <c r="D82" t="s">
        <v>18</v>
      </c>
      <c r="E82" t="s">
        <v>37</v>
      </c>
      <c r="F82" t="s">
        <v>39</v>
      </c>
      <c r="G82" s="1">
        <v>43195</v>
      </c>
      <c r="H82" t="s">
        <v>27</v>
      </c>
      <c r="J82" t="s">
        <v>28</v>
      </c>
    </row>
    <row r="83" spans="1:10" x14ac:dyDescent="0.3">
      <c r="A83" t="s">
        <v>49</v>
      </c>
      <c r="B83">
        <v>50</v>
      </c>
      <c r="C83">
        <v>55000</v>
      </c>
      <c r="D83" t="s">
        <v>36</v>
      </c>
      <c r="E83" t="s">
        <v>26</v>
      </c>
      <c r="F83" t="s">
        <v>43</v>
      </c>
      <c r="G83" t="s">
        <v>40</v>
      </c>
      <c r="H83" t="s">
        <v>21</v>
      </c>
      <c r="J83" t="s">
        <v>16</v>
      </c>
    </row>
    <row r="84" spans="1:10" x14ac:dyDescent="0.3">
      <c r="A84" t="s">
        <v>24</v>
      </c>
      <c r="B84" t="s">
        <v>16</v>
      </c>
      <c r="C84">
        <v>50000</v>
      </c>
      <c r="D84" t="s">
        <v>36</v>
      </c>
      <c r="E84" t="s">
        <v>19</v>
      </c>
      <c r="F84" t="s">
        <v>13</v>
      </c>
      <c r="G84" s="2">
        <v>43881</v>
      </c>
      <c r="H84" t="s">
        <v>14</v>
      </c>
      <c r="I84" t="s">
        <v>15</v>
      </c>
      <c r="J84" t="s">
        <v>33</v>
      </c>
    </row>
    <row r="85" spans="1:10" x14ac:dyDescent="0.3">
      <c r="A85" t="s">
        <v>48</v>
      </c>
      <c r="B85">
        <v>40</v>
      </c>
      <c r="C85">
        <v>65000</v>
      </c>
      <c r="D85" t="s">
        <v>36</v>
      </c>
      <c r="E85" t="s">
        <v>19</v>
      </c>
      <c r="F85" t="s">
        <v>43</v>
      </c>
      <c r="G85" t="s">
        <v>40</v>
      </c>
      <c r="H85" t="s">
        <v>31</v>
      </c>
      <c r="I85" t="s">
        <v>15</v>
      </c>
      <c r="J85" t="s">
        <v>33</v>
      </c>
    </row>
    <row r="86" spans="1:10" x14ac:dyDescent="0.3">
      <c r="A86" t="s">
        <v>24</v>
      </c>
      <c r="B86">
        <v>25</v>
      </c>
      <c r="C86">
        <v>70000</v>
      </c>
      <c r="D86" t="s">
        <v>18</v>
      </c>
      <c r="E86" t="s">
        <v>12</v>
      </c>
      <c r="F86" t="s">
        <v>44</v>
      </c>
      <c r="G86" s="2">
        <v>43845</v>
      </c>
      <c r="H86" t="s">
        <v>14</v>
      </c>
      <c r="I86" t="s">
        <v>15</v>
      </c>
      <c r="J86" t="s">
        <v>16</v>
      </c>
    </row>
    <row r="87" spans="1:10" x14ac:dyDescent="0.3">
      <c r="A87" t="s">
        <v>24</v>
      </c>
      <c r="B87">
        <v>25</v>
      </c>
      <c r="C87">
        <v>55000</v>
      </c>
      <c r="D87" t="s">
        <v>11</v>
      </c>
      <c r="E87" t="s">
        <v>19</v>
      </c>
      <c r="F87" t="s">
        <v>43</v>
      </c>
      <c r="G87" s="2">
        <v>43845</v>
      </c>
      <c r="H87" t="s">
        <v>21</v>
      </c>
      <c r="J87" t="s">
        <v>28</v>
      </c>
    </row>
    <row r="88" spans="1:10" x14ac:dyDescent="0.3">
      <c r="A88" t="s">
        <v>38</v>
      </c>
      <c r="B88">
        <v>40</v>
      </c>
      <c r="C88">
        <v>70000</v>
      </c>
      <c r="D88" t="s">
        <v>11</v>
      </c>
      <c r="E88" t="s">
        <v>30</v>
      </c>
      <c r="F88" t="s">
        <v>20</v>
      </c>
      <c r="G88" s="2">
        <v>43845</v>
      </c>
      <c r="H88" t="s">
        <v>14</v>
      </c>
      <c r="I88" t="s">
        <v>15</v>
      </c>
      <c r="J88" t="s">
        <v>23</v>
      </c>
    </row>
    <row r="89" spans="1:10" x14ac:dyDescent="0.3">
      <c r="A89" t="s">
        <v>48</v>
      </c>
      <c r="B89">
        <v>50</v>
      </c>
      <c r="C89">
        <v>65000</v>
      </c>
      <c r="D89" t="s">
        <v>36</v>
      </c>
      <c r="E89" t="s">
        <v>12</v>
      </c>
      <c r="F89" t="s">
        <v>43</v>
      </c>
      <c r="G89" s="2">
        <v>43549</v>
      </c>
      <c r="H89" t="s">
        <v>27</v>
      </c>
      <c r="I89" t="s">
        <v>15</v>
      </c>
      <c r="J89" t="s">
        <v>45</v>
      </c>
    </row>
    <row r="90" spans="1:10" x14ac:dyDescent="0.3">
      <c r="A90" t="s">
        <v>24</v>
      </c>
      <c r="B90">
        <v>35</v>
      </c>
      <c r="C90">
        <v>65000</v>
      </c>
      <c r="D90" t="s">
        <v>36</v>
      </c>
      <c r="E90" t="s">
        <v>30</v>
      </c>
      <c r="F90" t="s">
        <v>13</v>
      </c>
      <c r="G90" s="2">
        <v>43549</v>
      </c>
      <c r="H90" t="s">
        <v>41</v>
      </c>
      <c r="I90" t="s">
        <v>32</v>
      </c>
      <c r="J90" t="s">
        <v>33</v>
      </c>
    </row>
    <row r="91" spans="1:10" x14ac:dyDescent="0.3">
      <c r="A91" t="s">
        <v>38</v>
      </c>
      <c r="B91">
        <v>35</v>
      </c>
      <c r="C91" t="s">
        <v>25</v>
      </c>
      <c r="D91" t="s">
        <v>36</v>
      </c>
      <c r="E91" t="s">
        <v>26</v>
      </c>
      <c r="F91" t="s">
        <v>13</v>
      </c>
      <c r="G91" s="2">
        <v>43549</v>
      </c>
      <c r="H91" t="s">
        <v>41</v>
      </c>
      <c r="I91" t="s">
        <v>15</v>
      </c>
      <c r="J91" t="s">
        <v>45</v>
      </c>
    </row>
    <row r="92" spans="1:10" x14ac:dyDescent="0.3">
      <c r="A92" t="s">
        <v>38</v>
      </c>
      <c r="B92">
        <v>35</v>
      </c>
      <c r="C92" t="s">
        <v>34</v>
      </c>
      <c r="D92" t="s">
        <v>36</v>
      </c>
      <c r="E92" t="s">
        <v>37</v>
      </c>
      <c r="F92" t="s">
        <v>43</v>
      </c>
      <c r="G92" t="s">
        <v>40</v>
      </c>
      <c r="H92" t="s">
        <v>21</v>
      </c>
      <c r="I92" t="s">
        <v>22</v>
      </c>
      <c r="J92" t="s">
        <v>23</v>
      </c>
    </row>
    <row r="93" spans="1:10" x14ac:dyDescent="0.3">
      <c r="A93" t="s">
        <v>48</v>
      </c>
      <c r="B93">
        <v>50</v>
      </c>
      <c r="C93" t="s">
        <v>34</v>
      </c>
      <c r="D93" t="s">
        <v>18</v>
      </c>
      <c r="E93" t="s">
        <v>26</v>
      </c>
      <c r="F93" t="s">
        <v>13</v>
      </c>
      <c r="G93" s="2">
        <v>43549</v>
      </c>
      <c r="H93" t="s">
        <v>41</v>
      </c>
      <c r="J93" t="s">
        <v>33</v>
      </c>
    </row>
    <row r="94" spans="1:10" x14ac:dyDescent="0.3">
      <c r="A94" t="s">
        <v>29</v>
      </c>
      <c r="B94">
        <v>50</v>
      </c>
      <c r="C94">
        <v>55000</v>
      </c>
      <c r="D94" t="s">
        <v>11</v>
      </c>
      <c r="E94" t="s">
        <v>37</v>
      </c>
      <c r="F94" t="s">
        <v>13</v>
      </c>
      <c r="G94" s="2">
        <v>43881</v>
      </c>
      <c r="H94" t="s">
        <v>41</v>
      </c>
      <c r="I94" t="s">
        <v>16</v>
      </c>
      <c r="J94" t="s">
        <v>45</v>
      </c>
    </row>
    <row r="95" spans="1:10" x14ac:dyDescent="0.3">
      <c r="A95" t="s">
        <v>35</v>
      </c>
      <c r="B95">
        <v>40</v>
      </c>
      <c r="C95">
        <v>65000</v>
      </c>
      <c r="D95" t="s">
        <v>36</v>
      </c>
      <c r="E95" t="s">
        <v>26</v>
      </c>
      <c r="F95" t="s">
        <v>43</v>
      </c>
      <c r="G95" s="2">
        <v>43845</v>
      </c>
      <c r="H95" t="s">
        <v>31</v>
      </c>
      <c r="I95" t="s">
        <v>32</v>
      </c>
      <c r="J95" t="s">
        <v>23</v>
      </c>
    </row>
    <row r="96" spans="1:10" x14ac:dyDescent="0.3">
      <c r="A96" t="s">
        <v>10</v>
      </c>
      <c r="B96">
        <v>25</v>
      </c>
      <c r="C96" t="s">
        <v>25</v>
      </c>
      <c r="D96" t="s">
        <v>18</v>
      </c>
      <c r="E96" t="s">
        <v>19</v>
      </c>
      <c r="F96" t="s">
        <v>39</v>
      </c>
      <c r="G96" t="s">
        <v>40</v>
      </c>
      <c r="H96" t="s">
        <v>21</v>
      </c>
      <c r="J96" t="s">
        <v>45</v>
      </c>
    </row>
    <row r="97" spans="1:10" x14ac:dyDescent="0.3">
      <c r="A97" t="s">
        <v>35</v>
      </c>
      <c r="B97">
        <v>40</v>
      </c>
      <c r="C97" t="s">
        <v>25</v>
      </c>
      <c r="D97" t="s">
        <v>36</v>
      </c>
      <c r="E97" t="s">
        <v>30</v>
      </c>
      <c r="F97" t="s">
        <v>39</v>
      </c>
      <c r="G97" s="2">
        <v>43845</v>
      </c>
      <c r="H97" t="s">
        <v>21</v>
      </c>
      <c r="J97" t="s">
        <v>28</v>
      </c>
    </row>
    <row r="98" spans="1:10" x14ac:dyDescent="0.3">
      <c r="A98" t="s">
        <v>49</v>
      </c>
      <c r="B98">
        <v>40</v>
      </c>
      <c r="C98">
        <v>70000</v>
      </c>
      <c r="D98" t="s">
        <v>36</v>
      </c>
      <c r="E98" t="s">
        <v>37</v>
      </c>
      <c r="F98" t="s">
        <v>44</v>
      </c>
      <c r="G98" s="2">
        <v>43549</v>
      </c>
      <c r="H98" t="s">
        <v>41</v>
      </c>
      <c r="I98" t="s">
        <v>22</v>
      </c>
      <c r="J98" t="s">
        <v>23</v>
      </c>
    </row>
    <row r="99" spans="1:10" x14ac:dyDescent="0.3">
      <c r="A99" t="s">
        <v>10</v>
      </c>
      <c r="B99">
        <v>50</v>
      </c>
      <c r="C99">
        <v>70000</v>
      </c>
      <c r="D99" t="s">
        <v>11</v>
      </c>
      <c r="E99" t="s">
        <v>12</v>
      </c>
      <c r="F99" t="s">
        <v>13</v>
      </c>
      <c r="G99" t="s">
        <v>40</v>
      </c>
      <c r="H99" t="s">
        <v>41</v>
      </c>
      <c r="I99" t="s">
        <v>15</v>
      </c>
      <c r="J99" t="s">
        <v>45</v>
      </c>
    </row>
    <row r="100" spans="1:10" x14ac:dyDescent="0.3">
      <c r="A100" t="s">
        <v>49</v>
      </c>
      <c r="B100">
        <v>35</v>
      </c>
      <c r="C100" t="s">
        <v>25</v>
      </c>
      <c r="D100" t="s">
        <v>36</v>
      </c>
      <c r="E100" t="s">
        <v>30</v>
      </c>
      <c r="F100" t="s">
        <v>43</v>
      </c>
      <c r="G100" s="1">
        <v>43195</v>
      </c>
      <c r="H100" t="s">
        <v>41</v>
      </c>
      <c r="I100" t="s">
        <v>22</v>
      </c>
      <c r="J100" t="s">
        <v>28</v>
      </c>
    </row>
    <row r="101" spans="1:10" x14ac:dyDescent="0.3">
      <c r="A101" t="s">
        <v>24</v>
      </c>
      <c r="B101" t="s">
        <v>42</v>
      </c>
      <c r="C101">
        <v>70000</v>
      </c>
      <c r="D101" t="s">
        <v>11</v>
      </c>
      <c r="E101" t="s">
        <v>12</v>
      </c>
      <c r="F101" t="s">
        <v>13</v>
      </c>
      <c r="G101" s="2">
        <v>43881</v>
      </c>
      <c r="H101" t="s">
        <v>27</v>
      </c>
      <c r="I101" t="s">
        <v>15</v>
      </c>
      <c r="J101" t="s">
        <v>28</v>
      </c>
    </row>
    <row r="102" spans="1:10" x14ac:dyDescent="0.3">
      <c r="A102" t="s">
        <v>47</v>
      </c>
      <c r="B102">
        <v>25</v>
      </c>
      <c r="C102">
        <v>65000</v>
      </c>
      <c r="D102" t="s">
        <v>11</v>
      </c>
      <c r="E102" t="s">
        <v>30</v>
      </c>
      <c r="F102" t="s">
        <v>20</v>
      </c>
      <c r="G102" s="2">
        <v>43549</v>
      </c>
      <c r="H102" t="s">
        <v>14</v>
      </c>
      <c r="I102" t="s">
        <v>15</v>
      </c>
      <c r="J102" t="s">
        <v>23</v>
      </c>
    </row>
    <row r="103" spans="1:10" x14ac:dyDescent="0.3">
      <c r="A103" t="s">
        <v>48</v>
      </c>
      <c r="B103">
        <v>50</v>
      </c>
      <c r="C103">
        <v>50000</v>
      </c>
      <c r="D103" t="s">
        <v>11</v>
      </c>
      <c r="E103" t="s">
        <v>30</v>
      </c>
      <c r="F103" t="s">
        <v>13</v>
      </c>
      <c r="G103" s="2">
        <v>43549</v>
      </c>
      <c r="H103" t="s">
        <v>27</v>
      </c>
      <c r="J103" t="s">
        <v>16</v>
      </c>
    </row>
    <row r="104" spans="1:10" x14ac:dyDescent="0.3">
      <c r="A104" t="s">
        <v>10</v>
      </c>
      <c r="B104">
        <v>35</v>
      </c>
      <c r="C104">
        <v>65000</v>
      </c>
      <c r="D104" t="s">
        <v>18</v>
      </c>
      <c r="E104" t="s">
        <v>26</v>
      </c>
      <c r="F104" t="s">
        <v>13</v>
      </c>
      <c r="G104" s="2">
        <v>43881</v>
      </c>
      <c r="H104" t="s">
        <v>21</v>
      </c>
      <c r="I104" t="s">
        <v>15</v>
      </c>
      <c r="J104" t="s">
        <v>33</v>
      </c>
    </row>
    <row r="105" spans="1:10" x14ac:dyDescent="0.3">
      <c r="A105" t="s">
        <v>10</v>
      </c>
      <c r="B105" t="s">
        <v>42</v>
      </c>
      <c r="C105" t="s">
        <v>25</v>
      </c>
      <c r="D105" t="s">
        <v>18</v>
      </c>
      <c r="E105" t="s">
        <v>37</v>
      </c>
      <c r="F105" t="s">
        <v>39</v>
      </c>
      <c r="G105" s="2">
        <v>43881</v>
      </c>
      <c r="H105" t="s">
        <v>31</v>
      </c>
      <c r="I105" t="s">
        <v>32</v>
      </c>
      <c r="J105" t="s">
        <v>23</v>
      </c>
    </row>
    <row r="106" spans="1:10" x14ac:dyDescent="0.3">
      <c r="A106" t="s">
        <v>24</v>
      </c>
      <c r="B106" t="s">
        <v>42</v>
      </c>
      <c r="C106" t="s">
        <v>25</v>
      </c>
      <c r="D106" t="s">
        <v>11</v>
      </c>
      <c r="E106" t="s">
        <v>37</v>
      </c>
      <c r="F106" t="s">
        <v>43</v>
      </c>
      <c r="G106" s="1">
        <v>43195</v>
      </c>
      <c r="H106" t="s">
        <v>14</v>
      </c>
      <c r="I106" t="s">
        <v>32</v>
      </c>
      <c r="J106" t="s">
        <v>28</v>
      </c>
    </row>
    <row r="107" spans="1:10" x14ac:dyDescent="0.3">
      <c r="A107" t="s">
        <v>29</v>
      </c>
      <c r="B107">
        <v>50</v>
      </c>
      <c r="C107">
        <v>65000</v>
      </c>
      <c r="D107" t="s">
        <v>36</v>
      </c>
      <c r="E107" t="s">
        <v>30</v>
      </c>
      <c r="F107" t="s">
        <v>13</v>
      </c>
      <c r="G107" s="2">
        <v>43549</v>
      </c>
      <c r="H107" t="s">
        <v>31</v>
      </c>
      <c r="I107" t="s">
        <v>32</v>
      </c>
      <c r="J107" t="s">
        <v>28</v>
      </c>
    </row>
    <row r="108" spans="1:10" x14ac:dyDescent="0.3">
      <c r="A108" t="s">
        <v>38</v>
      </c>
      <c r="B108" t="s">
        <v>16</v>
      </c>
      <c r="C108">
        <v>70000</v>
      </c>
      <c r="D108" t="s">
        <v>11</v>
      </c>
      <c r="E108" t="s">
        <v>19</v>
      </c>
      <c r="F108" t="s">
        <v>39</v>
      </c>
      <c r="G108" s="2">
        <v>43549</v>
      </c>
      <c r="H108" t="s">
        <v>21</v>
      </c>
      <c r="J108" t="s">
        <v>23</v>
      </c>
    </row>
    <row r="109" spans="1:10" x14ac:dyDescent="0.3">
      <c r="A109" t="s">
        <v>24</v>
      </c>
      <c r="B109">
        <v>25</v>
      </c>
      <c r="C109">
        <v>70000</v>
      </c>
      <c r="D109" t="s">
        <v>36</v>
      </c>
      <c r="E109" t="s">
        <v>19</v>
      </c>
      <c r="F109" t="s">
        <v>44</v>
      </c>
      <c r="G109" s="2">
        <v>43845</v>
      </c>
      <c r="H109" t="s">
        <v>21</v>
      </c>
      <c r="I109" t="s">
        <v>22</v>
      </c>
      <c r="J109" t="s">
        <v>16</v>
      </c>
    </row>
    <row r="110" spans="1:10" x14ac:dyDescent="0.3">
      <c r="A110" t="s">
        <v>46</v>
      </c>
      <c r="B110" t="s">
        <v>42</v>
      </c>
      <c r="C110" t="s">
        <v>34</v>
      </c>
      <c r="D110" t="s">
        <v>11</v>
      </c>
      <c r="E110" t="s">
        <v>12</v>
      </c>
      <c r="F110" t="s">
        <v>39</v>
      </c>
      <c r="G110" t="s">
        <v>40</v>
      </c>
      <c r="H110" t="s">
        <v>31</v>
      </c>
      <c r="I110" t="s">
        <v>16</v>
      </c>
      <c r="J110" t="s">
        <v>33</v>
      </c>
    </row>
    <row r="111" spans="1:10" x14ac:dyDescent="0.3">
      <c r="A111" t="s">
        <v>38</v>
      </c>
      <c r="B111">
        <v>50</v>
      </c>
      <c r="C111" t="s">
        <v>25</v>
      </c>
      <c r="D111" t="s">
        <v>36</v>
      </c>
      <c r="E111" t="s">
        <v>12</v>
      </c>
      <c r="F111" t="s">
        <v>39</v>
      </c>
      <c r="G111" t="s">
        <v>40</v>
      </c>
      <c r="H111" t="s">
        <v>31</v>
      </c>
      <c r="I111" t="s">
        <v>15</v>
      </c>
      <c r="J111" t="s">
        <v>45</v>
      </c>
    </row>
    <row r="112" spans="1:10" x14ac:dyDescent="0.3">
      <c r="A112" t="s">
        <v>48</v>
      </c>
      <c r="B112">
        <v>50</v>
      </c>
      <c r="C112">
        <v>55000</v>
      </c>
      <c r="D112" t="s">
        <v>18</v>
      </c>
      <c r="E112" t="s">
        <v>26</v>
      </c>
      <c r="F112" t="s">
        <v>39</v>
      </c>
      <c r="G112" s="2">
        <v>43845</v>
      </c>
      <c r="H112" t="s">
        <v>31</v>
      </c>
      <c r="I112" t="s">
        <v>16</v>
      </c>
      <c r="J112" t="s">
        <v>23</v>
      </c>
    </row>
    <row r="113" spans="1:10" x14ac:dyDescent="0.3">
      <c r="A113" t="s">
        <v>38</v>
      </c>
      <c r="B113">
        <v>35</v>
      </c>
      <c r="C113" t="s">
        <v>34</v>
      </c>
      <c r="D113" t="s">
        <v>36</v>
      </c>
      <c r="E113" t="s">
        <v>30</v>
      </c>
      <c r="F113" t="s">
        <v>13</v>
      </c>
      <c r="G113" t="s">
        <v>40</v>
      </c>
      <c r="H113" t="s">
        <v>21</v>
      </c>
      <c r="I113" t="s">
        <v>22</v>
      </c>
      <c r="J113" t="s">
        <v>33</v>
      </c>
    </row>
    <row r="114" spans="1:10" x14ac:dyDescent="0.3">
      <c r="A114" t="s">
        <v>29</v>
      </c>
      <c r="B114" t="s">
        <v>16</v>
      </c>
      <c r="C114">
        <v>70000</v>
      </c>
      <c r="D114" t="s">
        <v>11</v>
      </c>
      <c r="E114" t="s">
        <v>12</v>
      </c>
      <c r="F114" t="s">
        <v>13</v>
      </c>
      <c r="G114" s="2">
        <v>43881</v>
      </c>
      <c r="H114" t="s">
        <v>41</v>
      </c>
      <c r="I114" t="s">
        <v>22</v>
      </c>
      <c r="J114" t="s">
        <v>33</v>
      </c>
    </row>
    <row r="115" spans="1:10" x14ac:dyDescent="0.3">
      <c r="A115" t="s">
        <v>38</v>
      </c>
      <c r="B115">
        <v>25</v>
      </c>
      <c r="C115">
        <v>65000</v>
      </c>
      <c r="D115" t="s">
        <v>18</v>
      </c>
      <c r="E115" t="s">
        <v>12</v>
      </c>
      <c r="F115" t="s">
        <v>44</v>
      </c>
      <c r="G115" t="s">
        <v>40</v>
      </c>
      <c r="H115" t="s">
        <v>31</v>
      </c>
      <c r="J115" t="s">
        <v>28</v>
      </c>
    </row>
    <row r="116" spans="1:10" x14ac:dyDescent="0.3">
      <c r="A116" t="s">
        <v>48</v>
      </c>
      <c r="B116">
        <v>40</v>
      </c>
      <c r="C116">
        <v>70000</v>
      </c>
      <c r="D116" t="s">
        <v>36</v>
      </c>
      <c r="E116" t="s">
        <v>30</v>
      </c>
      <c r="F116" t="s">
        <v>20</v>
      </c>
      <c r="G116" t="s">
        <v>40</v>
      </c>
      <c r="H116" t="s">
        <v>14</v>
      </c>
      <c r="I116" t="s">
        <v>32</v>
      </c>
      <c r="J116" t="s">
        <v>45</v>
      </c>
    </row>
    <row r="117" spans="1:10" x14ac:dyDescent="0.3">
      <c r="A117" t="s">
        <v>29</v>
      </c>
      <c r="B117">
        <v>35</v>
      </c>
      <c r="C117">
        <v>65000</v>
      </c>
      <c r="D117" t="s">
        <v>36</v>
      </c>
      <c r="E117" t="s">
        <v>26</v>
      </c>
      <c r="F117" t="s">
        <v>20</v>
      </c>
      <c r="G117" s="2">
        <v>43845</v>
      </c>
      <c r="H117" t="s">
        <v>21</v>
      </c>
      <c r="I117" t="s">
        <v>32</v>
      </c>
      <c r="J117" t="s">
        <v>23</v>
      </c>
    </row>
    <row r="118" spans="1:10" x14ac:dyDescent="0.3">
      <c r="A118" t="s">
        <v>35</v>
      </c>
      <c r="B118" t="s">
        <v>42</v>
      </c>
      <c r="C118" t="s">
        <v>34</v>
      </c>
      <c r="D118" t="s">
        <v>36</v>
      </c>
      <c r="E118" t="s">
        <v>12</v>
      </c>
      <c r="F118" t="s">
        <v>20</v>
      </c>
      <c r="G118" s="1">
        <v>43195</v>
      </c>
      <c r="H118" t="s">
        <v>27</v>
      </c>
      <c r="I118" t="s">
        <v>22</v>
      </c>
      <c r="J118" t="s">
        <v>28</v>
      </c>
    </row>
    <row r="119" spans="1:10" x14ac:dyDescent="0.3">
      <c r="A119" t="s">
        <v>10</v>
      </c>
      <c r="B119" t="s">
        <v>42</v>
      </c>
      <c r="C119" t="s">
        <v>25</v>
      </c>
      <c r="D119" t="s">
        <v>36</v>
      </c>
      <c r="E119" t="s">
        <v>26</v>
      </c>
      <c r="F119" t="s">
        <v>44</v>
      </c>
      <c r="G119" t="s">
        <v>40</v>
      </c>
      <c r="H119" t="s">
        <v>27</v>
      </c>
      <c r="J119" t="s">
        <v>28</v>
      </c>
    </row>
    <row r="120" spans="1:10" x14ac:dyDescent="0.3">
      <c r="A120" t="s">
        <v>10</v>
      </c>
      <c r="B120">
        <v>35</v>
      </c>
      <c r="C120">
        <v>70000</v>
      </c>
      <c r="D120" t="s">
        <v>36</v>
      </c>
      <c r="E120" t="s">
        <v>37</v>
      </c>
      <c r="F120" t="s">
        <v>20</v>
      </c>
      <c r="G120" t="s">
        <v>40</v>
      </c>
      <c r="H120" t="s">
        <v>14</v>
      </c>
      <c r="J120" t="s">
        <v>16</v>
      </c>
    </row>
    <row r="121" spans="1:10" x14ac:dyDescent="0.3">
      <c r="A121" t="s">
        <v>49</v>
      </c>
      <c r="B121">
        <v>50</v>
      </c>
      <c r="C121">
        <v>65000</v>
      </c>
      <c r="D121" t="s">
        <v>18</v>
      </c>
      <c r="E121" t="s">
        <v>26</v>
      </c>
      <c r="F121" t="s">
        <v>20</v>
      </c>
      <c r="G121" s="1">
        <v>43195</v>
      </c>
      <c r="H121" t="s">
        <v>41</v>
      </c>
      <c r="I121" t="s">
        <v>15</v>
      </c>
      <c r="J121" t="s">
        <v>33</v>
      </c>
    </row>
    <row r="122" spans="1:10" x14ac:dyDescent="0.3">
      <c r="A122" t="s">
        <v>35</v>
      </c>
      <c r="B122" t="s">
        <v>42</v>
      </c>
      <c r="C122" t="s">
        <v>25</v>
      </c>
      <c r="D122" t="s">
        <v>18</v>
      </c>
      <c r="E122" t="s">
        <v>19</v>
      </c>
      <c r="F122" t="s">
        <v>39</v>
      </c>
      <c r="G122" s="2">
        <v>43845</v>
      </c>
      <c r="H122" t="s">
        <v>31</v>
      </c>
      <c r="I122" t="s">
        <v>32</v>
      </c>
      <c r="J122" t="s">
        <v>23</v>
      </c>
    </row>
    <row r="123" spans="1:10" x14ac:dyDescent="0.3">
      <c r="A123" t="s">
        <v>35</v>
      </c>
      <c r="B123" t="s">
        <v>16</v>
      </c>
      <c r="C123">
        <v>55000</v>
      </c>
      <c r="D123" t="s">
        <v>18</v>
      </c>
      <c r="E123" t="s">
        <v>19</v>
      </c>
      <c r="F123" t="s">
        <v>13</v>
      </c>
      <c r="G123" s="1">
        <v>43195</v>
      </c>
      <c r="H123" t="s">
        <v>21</v>
      </c>
      <c r="I123" t="s">
        <v>22</v>
      </c>
      <c r="J123" t="s">
        <v>23</v>
      </c>
    </row>
    <row r="124" spans="1:10" x14ac:dyDescent="0.3">
      <c r="A124" t="s">
        <v>38</v>
      </c>
      <c r="B124">
        <v>25</v>
      </c>
      <c r="C124">
        <v>65000</v>
      </c>
      <c r="D124" t="s">
        <v>18</v>
      </c>
      <c r="E124" t="s">
        <v>26</v>
      </c>
      <c r="F124" t="s">
        <v>13</v>
      </c>
      <c r="G124" s="2">
        <v>43845</v>
      </c>
      <c r="H124" t="s">
        <v>31</v>
      </c>
      <c r="I124" t="s">
        <v>16</v>
      </c>
      <c r="J124" t="s">
        <v>23</v>
      </c>
    </row>
    <row r="125" spans="1:10" x14ac:dyDescent="0.3">
      <c r="A125" t="s">
        <v>10</v>
      </c>
      <c r="B125" t="s">
        <v>16</v>
      </c>
      <c r="C125" t="s">
        <v>34</v>
      </c>
      <c r="D125" t="s">
        <v>11</v>
      </c>
      <c r="E125" t="s">
        <v>19</v>
      </c>
      <c r="F125" t="s">
        <v>39</v>
      </c>
      <c r="G125" s="2">
        <v>43881</v>
      </c>
      <c r="H125" t="s">
        <v>21</v>
      </c>
      <c r="I125" t="s">
        <v>32</v>
      </c>
      <c r="J125" t="s">
        <v>28</v>
      </c>
    </row>
    <row r="126" spans="1:10" x14ac:dyDescent="0.3">
      <c r="A126" t="s">
        <v>48</v>
      </c>
      <c r="B126" t="s">
        <v>42</v>
      </c>
      <c r="C126">
        <v>55000</v>
      </c>
      <c r="D126" t="s">
        <v>18</v>
      </c>
      <c r="E126" t="s">
        <v>37</v>
      </c>
      <c r="F126" t="s">
        <v>39</v>
      </c>
      <c r="G126" s="2">
        <v>43845</v>
      </c>
      <c r="H126" t="s">
        <v>27</v>
      </c>
      <c r="I126" t="s">
        <v>15</v>
      </c>
      <c r="J126" t="s">
        <v>16</v>
      </c>
    </row>
    <row r="127" spans="1:10" x14ac:dyDescent="0.3">
      <c r="A127" t="s">
        <v>17</v>
      </c>
      <c r="B127">
        <v>40</v>
      </c>
      <c r="C127">
        <v>55000</v>
      </c>
      <c r="D127" t="s">
        <v>36</v>
      </c>
      <c r="E127" t="s">
        <v>30</v>
      </c>
      <c r="F127" t="s">
        <v>39</v>
      </c>
      <c r="G127" s="2">
        <v>43881</v>
      </c>
      <c r="H127" t="s">
        <v>31</v>
      </c>
      <c r="J127" t="s">
        <v>45</v>
      </c>
    </row>
    <row r="128" spans="1:10" x14ac:dyDescent="0.3">
      <c r="A128" t="s">
        <v>17</v>
      </c>
      <c r="B128">
        <v>25</v>
      </c>
      <c r="C128">
        <v>50000</v>
      </c>
      <c r="D128" t="s">
        <v>36</v>
      </c>
      <c r="E128" t="s">
        <v>19</v>
      </c>
      <c r="F128" t="s">
        <v>13</v>
      </c>
      <c r="G128" s="2">
        <v>43881</v>
      </c>
      <c r="H128" t="s">
        <v>14</v>
      </c>
      <c r="I128" t="s">
        <v>22</v>
      </c>
      <c r="J128" t="s">
        <v>28</v>
      </c>
    </row>
    <row r="129" spans="1:10" x14ac:dyDescent="0.3">
      <c r="A129" t="s">
        <v>29</v>
      </c>
      <c r="B129">
        <v>25</v>
      </c>
      <c r="C129">
        <v>70000</v>
      </c>
      <c r="D129" t="s">
        <v>18</v>
      </c>
      <c r="E129" t="s">
        <v>19</v>
      </c>
      <c r="F129" t="s">
        <v>20</v>
      </c>
      <c r="G129" s="2">
        <v>43845</v>
      </c>
      <c r="H129" t="s">
        <v>41</v>
      </c>
      <c r="I129" t="s">
        <v>32</v>
      </c>
      <c r="J129" t="s">
        <v>45</v>
      </c>
    </row>
    <row r="130" spans="1:10" x14ac:dyDescent="0.3">
      <c r="A130" t="s">
        <v>10</v>
      </c>
      <c r="B130">
        <v>35</v>
      </c>
      <c r="C130">
        <v>65000</v>
      </c>
      <c r="D130" t="s">
        <v>36</v>
      </c>
      <c r="E130" t="s">
        <v>26</v>
      </c>
      <c r="F130" t="s">
        <v>39</v>
      </c>
      <c r="G130" s="2">
        <v>43549</v>
      </c>
      <c r="H130" t="s">
        <v>14</v>
      </c>
      <c r="I130" t="s">
        <v>16</v>
      </c>
      <c r="J130" t="s">
        <v>16</v>
      </c>
    </row>
    <row r="131" spans="1:10" x14ac:dyDescent="0.3">
      <c r="A131" t="s">
        <v>10</v>
      </c>
      <c r="B131">
        <v>35</v>
      </c>
      <c r="C131">
        <v>55000</v>
      </c>
      <c r="D131" t="s">
        <v>18</v>
      </c>
      <c r="E131" t="s">
        <v>37</v>
      </c>
      <c r="F131" t="s">
        <v>44</v>
      </c>
      <c r="G131" s="2">
        <v>43845</v>
      </c>
      <c r="H131" t="s">
        <v>41</v>
      </c>
      <c r="I131" t="s">
        <v>15</v>
      </c>
      <c r="J131" t="s">
        <v>33</v>
      </c>
    </row>
    <row r="132" spans="1:10" x14ac:dyDescent="0.3">
      <c r="A132" t="s">
        <v>17</v>
      </c>
      <c r="B132">
        <v>40</v>
      </c>
      <c r="C132">
        <v>50000</v>
      </c>
      <c r="D132" t="s">
        <v>36</v>
      </c>
      <c r="E132" t="s">
        <v>30</v>
      </c>
      <c r="F132" t="s">
        <v>39</v>
      </c>
      <c r="G132" t="s">
        <v>40</v>
      </c>
      <c r="H132" t="s">
        <v>31</v>
      </c>
      <c r="I132" t="s">
        <v>15</v>
      </c>
      <c r="J132" t="s">
        <v>23</v>
      </c>
    </row>
    <row r="133" spans="1:10" x14ac:dyDescent="0.3">
      <c r="A133" t="s">
        <v>10</v>
      </c>
      <c r="B133">
        <v>50</v>
      </c>
      <c r="C133" t="s">
        <v>34</v>
      </c>
      <c r="D133" t="s">
        <v>11</v>
      </c>
      <c r="E133" t="s">
        <v>26</v>
      </c>
      <c r="F133" t="s">
        <v>43</v>
      </c>
      <c r="G133" t="s">
        <v>40</v>
      </c>
      <c r="H133" t="s">
        <v>31</v>
      </c>
      <c r="I133" t="s">
        <v>32</v>
      </c>
      <c r="J133" t="s">
        <v>45</v>
      </c>
    </row>
    <row r="134" spans="1:10" x14ac:dyDescent="0.3">
      <c r="A134" t="s">
        <v>38</v>
      </c>
      <c r="B134">
        <v>25</v>
      </c>
      <c r="C134" t="s">
        <v>25</v>
      </c>
      <c r="D134" t="s">
        <v>11</v>
      </c>
      <c r="E134" t="s">
        <v>26</v>
      </c>
      <c r="F134" t="s">
        <v>39</v>
      </c>
      <c r="G134" s="2">
        <v>43549</v>
      </c>
      <c r="H134" t="s">
        <v>41</v>
      </c>
      <c r="I134" t="s">
        <v>16</v>
      </c>
      <c r="J134" t="s">
        <v>28</v>
      </c>
    </row>
    <row r="135" spans="1:10" x14ac:dyDescent="0.3">
      <c r="A135" t="s">
        <v>46</v>
      </c>
      <c r="B135">
        <v>40</v>
      </c>
      <c r="C135">
        <v>65000</v>
      </c>
      <c r="D135" t="s">
        <v>18</v>
      </c>
      <c r="E135" t="s">
        <v>37</v>
      </c>
      <c r="F135" t="s">
        <v>13</v>
      </c>
      <c r="G135" s="2">
        <v>43881</v>
      </c>
      <c r="H135" t="s">
        <v>27</v>
      </c>
      <c r="I135" t="s">
        <v>15</v>
      </c>
      <c r="J135" t="s">
        <v>45</v>
      </c>
    </row>
    <row r="136" spans="1:10" x14ac:dyDescent="0.3">
      <c r="A136" t="s">
        <v>47</v>
      </c>
      <c r="B136">
        <v>35</v>
      </c>
      <c r="C136">
        <v>55000</v>
      </c>
      <c r="D136" t="s">
        <v>18</v>
      </c>
      <c r="E136" t="s">
        <v>30</v>
      </c>
      <c r="F136" t="s">
        <v>39</v>
      </c>
      <c r="G136" s="2">
        <v>43549</v>
      </c>
      <c r="H136" t="s">
        <v>21</v>
      </c>
      <c r="I136" t="s">
        <v>22</v>
      </c>
      <c r="J136" t="s">
        <v>33</v>
      </c>
    </row>
    <row r="137" spans="1:10" x14ac:dyDescent="0.3">
      <c r="A137" t="s">
        <v>35</v>
      </c>
      <c r="B137">
        <v>35</v>
      </c>
      <c r="C137">
        <v>70000</v>
      </c>
      <c r="D137" t="s">
        <v>18</v>
      </c>
      <c r="E137" t="s">
        <v>37</v>
      </c>
      <c r="F137" t="s">
        <v>43</v>
      </c>
      <c r="G137" t="s">
        <v>40</v>
      </c>
      <c r="H137" t="s">
        <v>14</v>
      </c>
      <c r="I137" t="s">
        <v>15</v>
      </c>
      <c r="J137" t="s">
        <v>23</v>
      </c>
    </row>
    <row r="138" spans="1:10" x14ac:dyDescent="0.3">
      <c r="A138" t="s">
        <v>49</v>
      </c>
      <c r="B138">
        <v>25</v>
      </c>
      <c r="C138">
        <v>50000</v>
      </c>
      <c r="D138" t="s">
        <v>36</v>
      </c>
      <c r="E138" t="s">
        <v>30</v>
      </c>
      <c r="F138" t="s">
        <v>44</v>
      </c>
      <c r="G138" s="2">
        <v>43549</v>
      </c>
      <c r="H138" t="s">
        <v>14</v>
      </c>
      <c r="I138" t="s">
        <v>16</v>
      </c>
      <c r="J138" t="s">
        <v>45</v>
      </c>
    </row>
    <row r="139" spans="1:10" x14ac:dyDescent="0.3">
      <c r="A139" t="s">
        <v>29</v>
      </c>
      <c r="B139" t="s">
        <v>16</v>
      </c>
      <c r="C139">
        <v>55000</v>
      </c>
      <c r="D139" t="s">
        <v>18</v>
      </c>
      <c r="E139" t="s">
        <v>37</v>
      </c>
      <c r="F139" t="s">
        <v>20</v>
      </c>
      <c r="G139" s="2">
        <v>43845</v>
      </c>
      <c r="H139" t="s">
        <v>14</v>
      </c>
      <c r="J139" t="s">
        <v>33</v>
      </c>
    </row>
    <row r="140" spans="1:10" x14ac:dyDescent="0.3">
      <c r="A140" t="s">
        <v>46</v>
      </c>
      <c r="B140" t="s">
        <v>42</v>
      </c>
      <c r="C140">
        <v>70000</v>
      </c>
      <c r="D140" t="s">
        <v>11</v>
      </c>
      <c r="E140" t="s">
        <v>26</v>
      </c>
      <c r="F140" t="s">
        <v>39</v>
      </c>
      <c r="G140" s="2">
        <v>43549</v>
      </c>
      <c r="H140" t="s">
        <v>31</v>
      </c>
      <c r="J140" t="s">
        <v>28</v>
      </c>
    </row>
    <row r="141" spans="1:10" x14ac:dyDescent="0.3">
      <c r="A141" t="s">
        <v>17</v>
      </c>
      <c r="B141">
        <v>35</v>
      </c>
      <c r="C141">
        <v>55000</v>
      </c>
      <c r="D141" t="s">
        <v>36</v>
      </c>
      <c r="E141" t="s">
        <v>26</v>
      </c>
      <c r="F141" t="s">
        <v>43</v>
      </c>
      <c r="G141" s="2">
        <v>43881</v>
      </c>
      <c r="H141" t="s">
        <v>14</v>
      </c>
      <c r="I141" t="s">
        <v>32</v>
      </c>
      <c r="J141" t="s">
        <v>16</v>
      </c>
    </row>
    <row r="142" spans="1:10" x14ac:dyDescent="0.3">
      <c r="A142" t="s">
        <v>35</v>
      </c>
      <c r="B142">
        <v>50</v>
      </c>
      <c r="C142">
        <v>65000</v>
      </c>
      <c r="D142" t="s">
        <v>18</v>
      </c>
      <c r="E142" t="s">
        <v>12</v>
      </c>
      <c r="F142" t="s">
        <v>43</v>
      </c>
      <c r="G142" s="2">
        <v>43845</v>
      </c>
      <c r="H142" t="s">
        <v>21</v>
      </c>
      <c r="I142" t="s">
        <v>16</v>
      </c>
      <c r="J142" t="s">
        <v>28</v>
      </c>
    </row>
    <row r="143" spans="1:10" x14ac:dyDescent="0.3">
      <c r="A143" t="s">
        <v>10</v>
      </c>
      <c r="B143">
        <v>50</v>
      </c>
      <c r="C143">
        <v>65000</v>
      </c>
      <c r="D143" t="s">
        <v>36</v>
      </c>
      <c r="E143" t="s">
        <v>19</v>
      </c>
      <c r="F143" t="s">
        <v>44</v>
      </c>
      <c r="G143" s="1">
        <v>43195</v>
      </c>
      <c r="H143" t="s">
        <v>21</v>
      </c>
      <c r="I143" t="s">
        <v>15</v>
      </c>
      <c r="J143" t="s">
        <v>23</v>
      </c>
    </row>
    <row r="144" spans="1:10" x14ac:dyDescent="0.3">
      <c r="A144" t="s">
        <v>49</v>
      </c>
      <c r="B144">
        <v>35</v>
      </c>
      <c r="C144">
        <v>65000</v>
      </c>
      <c r="D144" t="s">
        <v>36</v>
      </c>
      <c r="E144" t="s">
        <v>37</v>
      </c>
      <c r="F144" t="s">
        <v>13</v>
      </c>
      <c r="G144" t="s">
        <v>40</v>
      </c>
      <c r="H144" t="s">
        <v>41</v>
      </c>
      <c r="I144" t="s">
        <v>15</v>
      </c>
      <c r="J144" t="s">
        <v>28</v>
      </c>
    </row>
    <row r="145" spans="1:10" x14ac:dyDescent="0.3">
      <c r="A145" t="s">
        <v>10</v>
      </c>
      <c r="B145" t="s">
        <v>16</v>
      </c>
      <c r="C145" t="s">
        <v>34</v>
      </c>
      <c r="D145" t="s">
        <v>18</v>
      </c>
      <c r="E145" t="s">
        <v>12</v>
      </c>
      <c r="F145" t="s">
        <v>39</v>
      </c>
      <c r="G145" t="s">
        <v>40</v>
      </c>
      <c r="H145" t="s">
        <v>31</v>
      </c>
      <c r="J145" t="s">
        <v>28</v>
      </c>
    </row>
    <row r="146" spans="1:10" x14ac:dyDescent="0.3">
      <c r="A146" t="s">
        <v>48</v>
      </c>
      <c r="B146" t="s">
        <v>16</v>
      </c>
      <c r="C146" t="s">
        <v>34</v>
      </c>
      <c r="D146" t="s">
        <v>36</v>
      </c>
      <c r="E146" t="s">
        <v>19</v>
      </c>
      <c r="F146" t="s">
        <v>43</v>
      </c>
      <c r="G146" s="2">
        <v>43549</v>
      </c>
      <c r="H146" t="s">
        <v>21</v>
      </c>
      <c r="J146" t="s">
        <v>28</v>
      </c>
    </row>
    <row r="147" spans="1:10" x14ac:dyDescent="0.3">
      <c r="A147" t="s">
        <v>48</v>
      </c>
      <c r="B147">
        <v>40</v>
      </c>
      <c r="C147">
        <v>50000</v>
      </c>
      <c r="D147" t="s">
        <v>11</v>
      </c>
      <c r="E147" t="s">
        <v>37</v>
      </c>
      <c r="F147" t="s">
        <v>44</v>
      </c>
      <c r="G147" s="2">
        <v>43845</v>
      </c>
      <c r="H147" t="s">
        <v>27</v>
      </c>
      <c r="I147" t="s">
        <v>22</v>
      </c>
      <c r="J147" t="s">
        <v>28</v>
      </c>
    </row>
    <row r="148" spans="1:10" x14ac:dyDescent="0.3">
      <c r="A148" t="s">
        <v>49</v>
      </c>
      <c r="B148">
        <v>50</v>
      </c>
      <c r="C148">
        <v>65000</v>
      </c>
      <c r="D148" t="s">
        <v>11</v>
      </c>
      <c r="E148" t="s">
        <v>30</v>
      </c>
      <c r="F148" t="s">
        <v>20</v>
      </c>
      <c r="G148" s="1">
        <v>43195</v>
      </c>
      <c r="H148" t="s">
        <v>31</v>
      </c>
      <c r="J148" t="s">
        <v>23</v>
      </c>
    </row>
    <row r="149" spans="1:10" x14ac:dyDescent="0.3">
      <c r="A149" t="s">
        <v>49</v>
      </c>
      <c r="B149">
        <v>40</v>
      </c>
      <c r="C149">
        <v>70000</v>
      </c>
      <c r="D149" t="s">
        <v>36</v>
      </c>
      <c r="E149" t="s">
        <v>19</v>
      </c>
      <c r="F149" t="s">
        <v>43</v>
      </c>
      <c r="G149" s="2">
        <v>43845</v>
      </c>
      <c r="H149" t="s">
        <v>31</v>
      </c>
      <c r="I149" t="s">
        <v>22</v>
      </c>
      <c r="J149" t="s">
        <v>33</v>
      </c>
    </row>
    <row r="150" spans="1:10" x14ac:dyDescent="0.3">
      <c r="A150" t="s">
        <v>17</v>
      </c>
      <c r="B150">
        <v>50</v>
      </c>
      <c r="C150">
        <v>55000</v>
      </c>
      <c r="D150" t="s">
        <v>18</v>
      </c>
      <c r="E150" t="s">
        <v>26</v>
      </c>
      <c r="F150" t="s">
        <v>44</v>
      </c>
      <c r="G150" t="s">
        <v>40</v>
      </c>
      <c r="H150" t="s">
        <v>21</v>
      </c>
      <c r="I150" t="s">
        <v>15</v>
      </c>
      <c r="J150" t="s">
        <v>45</v>
      </c>
    </row>
    <row r="151" spans="1:10" x14ac:dyDescent="0.3">
      <c r="A151" t="s">
        <v>49</v>
      </c>
      <c r="B151" t="s">
        <v>42</v>
      </c>
      <c r="C151" t="s">
        <v>25</v>
      </c>
      <c r="D151" t="s">
        <v>36</v>
      </c>
      <c r="E151" t="s">
        <v>12</v>
      </c>
      <c r="F151" t="s">
        <v>13</v>
      </c>
      <c r="G151" s="2">
        <v>43845</v>
      </c>
      <c r="H151" t="s">
        <v>27</v>
      </c>
      <c r="I151" t="s">
        <v>22</v>
      </c>
      <c r="J151" t="s">
        <v>16</v>
      </c>
    </row>
    <row r="152" spans="1:10" x14ac:dyDescent="0.3">
      <c r="A152" t="s">
        <v>38</v>
      </c>
      <c r="B152" t="s">
        <v>42</v>
      </c>
      <c r="C152">
        <v>70000</v>
      </c>
      <c r="D152" t="s">
        <v>11</v>
      </c>
      <c r="E152" t="s">
        <v>19</v>
      </c>
      <c r="F152" t="s">
        <v>13</v>
      </c>
      <c r="G152" s="1">
        <v>43195</v>
      </c>
      <c r="H152" t="s">
        <v>41</v>
      </c>
      <c r="I152" t="s">
        <v>22</v>
      </c>
      <c r="J152" t="s">
        <v>45</v>
      </c>
    </row>
    <row r="153" spans="1:10" x14ac:dyDescent="0.3">
      <c r="A153" t="s">
        <v>10</v>
      </c>
      <c r="B153">
        <v>25</v>
      </c>
      <c r="C153" t="s">
        <v>34</v>
      </c>
      <c r="D153" t="s">
        <v>36</v>
      </c>
      <c r="E153" t="s">
        <v>19</v>
      </c>
      <c r="F153" t="s">
        <v>43</v>
      </c>
      <c r="G153" s="2">
        <v>43549</v>
      </c>
      <c r="H153" t="s">
        <v>21</v>
      </c>
      <c r="I153" t="s">
        <v>32</v>
      </c>
      <c r="J153" t="s">
        <v>45</v>
      </c>
    </row>
    <row r="154" spans="1:10" x14ac:dyDescent="0.3">
      <c r="A154" t="s">
        <v>46</v>
      </c>
      <c r="B154">
        <v>40</v>
      </c>
      <c r="C154" t="s">
        <v>34</v>
      </c>
      <c r="D154" t="s">
        <v>36</v>
      </c>
      <c r="E154" t="s">
        <v>26</v>
      </c>
      <c r="F154" t="s">
        <v>43</v>
      </c>
      <c r="G154" s="2">
        <v>43881</v>
      </c>
      <c r="H154" t="s">
        <v>27</v>
      </c>
      <c r="J154" t="s">
        <v>16</v>
      </c>
    </row>
    <row r="155" spans="1:10" x14ac:dyDescent="0.3">
      <c r="A155" t="s">
        <v>24</v>
      </c>
      <c r="B155">
        <v>35</v>
      </c>
      <c r="C155">
        <v>70000</v>
      </c>
      <c r="D155" t="s">
        <v>11</v>
      </c>
      <c r="E155" t="s">
        <v>37</v>
      </c>
      <c r="F155" t="s">
        <v>39</v>
      </c>
      <c r="G155" s="2">
        <v>43845</v>
      </c>
      <c r="H155" t="s">
        <v>31</v>
      </c>
      <c r="I155" t="s">
        <v>22</v>
      </c>
      <c r="J155" t="s">
        <v>23</v>
      </c>
    </row>
    <row r="156" spans="1:10" x14ac:dyDescent="0.3">
      <c r="A156" t="s">
        <v>49</v>
      </c>
      <c r="B156">
        <v>40</v>
      </c>
      <c r="C156" t="s">
        <v>34</v>
      </c>
      <c r="D156" t="s">
        <v>36</v>
      </c>
      <c r="E156" t="s">
        <v>30</v>
      </c>
      <c r="F156" t="s">
        <v>44</v>
      </c>
      <c r="G156" s="2">
        <v>43881</v>
      </c>
      <c r="H156" t="s">
        <v>27</v>
      </c>
      <c r="I156" t="s">
        <v>15</v>
      </c>
      <c r="J156" t="s">
        <v>16</v>
      </c>
    </row>
    <row r="157" spans="1:10" x14ac:dyDescent="0.3">
      <c r="A157" t="s">
        <v>29</v>
      </c>
      <c r="B157">
        <v>35</v>
      </c>
      <c r="C157">
        <v>65000</v>
      </c>
      <c r="D157" t="s">
        <v>36</v>
      </c>
      <c r="E157" t="s">
        <v>26</v>
      </c>
      <c r="F157" t="s">
        <v>43</v>
      </c>
      <c r="G157" t="s">
        <v>40</v>
      </c>
      <c r="H157" t="s">
        <v>31</v>
      </c>
      <c r="I157" t="s">
        <v>16</v>
      </c>
      <c r="J157" t="s">
        <v>23</v>
      </c>
    </row>
    <row r="158" spans="1:10" x14ac:dyDescent="0.3">
      <c r="A158" t="s">
        <v>48</v>
      </c>
      <c r="B158" t="s">
        <v>16</v>
      </c>
      <c r="C158">
        <v>50000</v>
      </c>
      <c r="D158" t="s">
        <v>18</v>
      </c>
      <c r="E158" t="s">
        <v>30</v>
      </c>
      <c r="F158" t="s">
        <v>39</v>
      </c>
      <c r="G158" s="2">
        <v>43549</v>
      </c>
      <c r="H158" t="s">
        <v>21</v>
      </c>
      <c r="I158" t="s">
        <v>22</v>
      </c>
      <c r="J158" t="s">
        <v>45</v>
      </c>
    </row>
    <row r="159" spans="1:10" x14ac:dyDescent="0.3">
      <c r="A159" t="s">
        <v>38</v>
      </c>
      <c r="B159">
        <v>40</v>
      </c>
      <c r="C159">
        <v>55000</v>
      </c>
      <c r="D159" t="s">
        <v>18</v>
      </c>
      <c r="E159" t="s">
        <v>37</v>
      </c>
      <c r="F159" t="s">
        <v>39</v>
      </c>
      <c r="G159" s="2">
        <v>43549</v>
      </c>
      <c r="H159" t="s">
        <v>21</v>
      </c>
      <c r="J159" t="s">
        <v>23</v>
      </c>
    </row>
    <row r="160" spans="1:10" x14ac:dyDescent="0.3">
      <c r="A160" t="s">
        <v>35</v>
      </c>
      <c r="B160" t="s">
        <v>16</v>
      </c>
      <c r="C160">
        <v>50000</v>
      </c>
      <c r="D160" t="s">
        <v>11</v>
      </c>
      <c r="E160" t="s">
        <v>19</v>
      </c>
      <c r="F160" t="s">
        <v>43</v>
      </c>
      <c r="G160" s="2">
        <v>43845</v>
      </c>
      <c r="H160" t="s">
        <v>14</v>
      </c>
      <c r="I160" t="s">
        <v>32</v>
      </c>
      <c r="J160" t="s">
        <v>33</v>
      </c>
    </row>
    <row r="161" spans="1:10" x14ac:dyDescent="0.3">
      <c r="A161" t="s">
        <v>24</v>
      </c>
      <c r="B161" t="s">
        <v>42</v>
      </c>
      <c r="C161">
        <v>55000</v>
      </c>
      <c r="D161" t="s">
        <v>11</v>
      </c>
      <c r="E161" t="s">
        <v>30</v>
      </c>
      <c r="F161" t="s">
        <v>13</v>
      </c>
      <c r="G161" s="2">
        <v>43549</v>
      </c>
      <c r="H161" t="s">
        <v>14</v>
      </c>
      <c r="I161" t="s">
        <v>15</v>
      </c>
      <c r="J161" t="s">
        <v>16</v>
      </c>
    </row>
    <row r="162" spans="1:10" x14ac:dyDescent="0.3">
      <c r="A162" t="s">
        <v>46</v>
      </c>
      <c r="B162" t="s">
        <v>42</v>
      </c>
      <c r="C162">
        <v>55000</v>
      </c>
      <c r="D162" t="s">
        <v>11</v>
      </c>
      <c r="E162" t="s">
        <v>12</v>
      </c>
      <c r="F162" t="s">
        <v>44</v>
      </c>
      <c r="G162" s="2">
        <v>43845</v>
      </c>
      <c r="H162" t="s">
        <v>14</v>
      </c>
      <c r="I162" t="s">
        <v>32</v>
      </c>
      <c r="J162" t="s">
        <v>33</v>
      </c>
    </row>
    <row r="163" spans="1:10" x14ac:dyDescent="0.3">
      <c r="A163" t="s">
        <v>24</v>
      </c>
      <c r="B163">
        <v>25</v>
      </c>
      <c r="C163">
        <v>50000</v>
      </c>
      <c r="D163" t="s">
        <v>18</v>
      </c>
      <c r="E163" t="s">
        <v>12</v>
      </c>
      <c r="F163" t="s">
        <v>44</v>
      </c>
      <c r="G163" s="2">
        <v>43845</v>
      </c>
      <c r="H163" t="s">
        <v>21</v>
      </c>
      <c r="I163" t="s">
        <v>16</v>
      </c>
      <c r="J163" t="s">
        <v>45</v>
      </c>
    </row>
    <row r="164" spans="1:10" x14ac:dyDescent="0.3">
      <c r="A164" t="s">
        <v>49</v>
      </c>
      <c r="B164">
        <v>40</v>
      </c>
      <c r="C164">
        <v>70000</v>
      </c>
      <c r="D164" t="s">
        <v>11</v>
      </c>
      <c r="E164" t="s">
        <v>26</v>
      </c>
      <c r="F164" t="s">
        <v>13</v>
      </c>
      <c r="G164" s="2">
        <v>43881</v>
      </c>
      <c r="H164" t="s">
        <v>41</v>
      </c>
      <c r="I164" t="s">
        <v>22</v>
      </c>
      <c r="J164" t="s">
        <v>16</v>
      </c>
    </row>
    <row r="165" spans="1:10" x14ac:dyDescent="0.3">
      <c r="A165" t="s">
        <v>17</v>
      </c>
      <c r="B165" t="s">
        <v>16</v>
      </c>
      <c r="C165">
        <v>55000</v>
      </c>
      <c r="D165" t="s">
        <v>11</v>
      </c>
      <c r="E165" t="s">
        <v>37</v>
      </c>
      <c r="F165" t="s">
        <v>43</v>
      </c>
      <c r="G165" s="2">
        <v>43549</v>
      </c>
      <c r="H165" t="s">
        <v>21</v>
      </c>
      <c r="I165" t="s">
        <v>22</v>
      </c>
      <c r="J165" t="s">
        <v>45</v>
      </c>
    </row>
    <row r="166" spans="1:10" x14ac:dyDescent="0.3">
      <c r="A166" t="s">
        <v>48</v>
      </c>
      <c r="B166">
        <v>35</v>
      </c>
      <c r="C166">
        <v>50000</v>
      </c>
      <c r="D166" t="s">
        <v>11</v>
      </c>
      <c r="E166" t="s">
        <v>26</v>
      </c>
      <c r="F166" t="s">
        <v>44</v>
      </c>
      <c r="G166" s="2">
        <v>43845</v>
      </c>
      <c r="H166" t="s">
        <v>27</v>
      </c>
      <c r="J166" t="s">
        <v>33</v>
      </c>
    </row>
    <row r="167" spans="1:10" x14ac:dyDescent="0.3">
      <c r="A167" t="s">
        <v>48</v>
      </c>
      <c r="B167" t="s">
        <v>42</v>
      </c>
      <c r="C167">
        <v>55000</v>
      </c>
      <c r="D167" t="s">
        <v>18</v>
      </c>
      <c r="E167" t="s">
        <v>26</v>
      </c>
      <c r="F167" t="s">
        <v>43</v>
      </c>
      <c r="G167" s="2">
        <v>43881</v>
      </c>
      <c r="H167" t="s">
        <v>21</v>
      </c>
      <c r="I167" t="s">
        <v>22</v>
      </c>
      <c r="J167" t="s">
        <v>45</v>
      </c>
    </row>
    <row r="168" spans="1:10" x14ac:dyDescent="0.3">
      <c r="A168" t="s">
        <v>35</v>
      </c>
      <c r="B168" t="s">
        <v>42</v>
      </c>
      <c r="C168" t="s">
        <v>25</v>
      </c>
      <c r="D168" t="s">
        <v>36</v>
      </c>
      <c r="E168" t="s">
        <v>26</v>
      </c>
      <c r="F168" t="s">
        <v>43</v>
      </c>
      <c r="G168" s="1">
        <v>43195</v>
      </c>
      <c r="H168" t="s">
        <v>21</v>
      </c>
      <c r="I168" t="s">
        <v>15</v>
      </c>
      <c r="J168" t="s">
        <v>16</v>
      </c>
    </row>
    <row r="169" spans="1:10" x14ac:dyDescent="0.3">
      <c r="A169" t="s">
        <v>17</v>
      </c>
      <c r="B169">
        <v>35</v>
      </c>
      <c r="C169">
        <v>70000</v>
      </c>
      <c r="D169" t="s">
        <v>11</v>
      </c>
      <c r="E169" t="s">
        <v>12</v>
      </c>
      <c r="F169" t="s">
        <v>39</v>
      </c>
      <c r="G169" s="2">
        <v>43881</v>
      </c>
      <c r="H169" t="s">
        <v>31</v>
      </c>
      <c r="I169" t="s">
        <v>16</v>
      </c>
      <c r="J169" t="s">
        <v>16</v>
      </c>
    </row>
    <row r="170" spans="1:10" x14ac:dyDescent="0.3">
      <c r="A170" t="s">
        <v>10</v>
      </c>
      <c r="B170" t="s">
        <v>16</v>
      </c>
      <c r="C170">
        <v>65000</v>
      </c>
      <c r="D170" t="s">
        <v>36</v>
      </c>
      <c r="E170" t="s">
        <v>12</v>
      </c>
      <c r="F170" t="s">
        <v>13</v>
      </c>
      <c r="G170" s="2">
        <v>43881</v>
      </c>
      <c r="H170" t="s">
        <v>31</v>
      </c>
      <c r="I170" t="s">
        <v>32</v>
      </c>
      <c r="J170" t="s">
        <v>45</v>
      </c>
    </row>
    <row r="171" spans="1:10" x14ac:dyDescent="0.3">
      <c r="A171" t="s">
        <v>47</v>
      </c>
      <c r="B171" t="s">
        <v>16</v>
      </c>
      <c r="C171">
        <v>55000</v>
      </c>
      <c r="D171" t="s">
        <v>11</v>
      </c>
      <c r="E171" t="s">
        <v>26</v>
      </c>
      <c r="F171" t="s">
        <v>43</v>
      </c>
      <c r="G171" s="2">
        <v>43845</v>
      </c>
      <c r="H171" t="s">
        <v>31</v>
      </c>
      <c r="I171" t="s">
        <v>16</v>
      </c>
      <c r="J171" t="s">
        <v>16</v>
      </c>
    </row>
    <row r="172" spans="1:10" x14ac:dyDescent="0.3">
      <c r="A172" t="s">
        <v>38</v>
      </c>
      <c r="B172">
        <v>40</v>
      </c>
      <c r="C172" t="s">
        <v>25</v>
      </c>
      <c r="D172" t="s">
        <v>36</v>
      </c>
      <c r="E172" t="s">
        <v>12</v>
      </c>
      <c r="F172" t="s">
        <v>20</v>
      </c>
      <c r="G172" t="s">
        <v>40</v>
      </c>
      <c r="H172" t="s">
        <v>21</v>
      </c>
      <c r="I172" t="s">
        <v>22</v>
      </c>
      <c r="J172" t="s">
        <v>16</v>
      </c>
    </row>
    <row r="173" spans="1:10" x14ac:dyDescent="0.3">
      <c r="A173" t="s">
        <v>48</v>
      </c>
      <c r="B173">
        <v>40</v>
      </c>
      <c r="C173">
        <v>65000</v>
      </c>
      <c r="D173" t="s">
        <v>18</v>
      </c>
      <c r="E173" t="s">
        <v>37</v>
      </c>
      <c r="F173" t="s">
        <v>13</v>
      </c>
      <c r="G173" t="s">
        <v>40</v>
      </c>
      <c r="H173" t="s">
        <v>41</v>
      </c>
      <c r="I173" t="s">
        <v>32</v>
      </c>
      <c r="J173" t="s">
        <v>45</v>
      </c>
    </row>
    <row r="174" spans="1:10" x14ac:dyDescent="0.3">
      <c r="A174" t="s">
        <v>29</v>
      </c>
      <c r="B174">
        <v>50</v>
      </c>
      <c r="C174">
        <v>65000</v>
      </c>
      <c r="D174" t="s">
        <v>18</v>
      </c>
      <c r="E174" t="s">
        <v>26</v>
      </c>
      <c r="F174" t="s">
        <v>44</v>
      </c>
      <c r="G174" t="s">
        <v>40</v>
      </c>
      <c r="H174" t="s">
        <v>27</v>
      </c>
      <c r="J174" t="s">
        <v>33</v>
      </c>
    </row>
    <row r="175" spans="1:10" x14ac:dyDescent="0.3">
      <c r="A175" t="s">
        <v>48</v>
      </c>
      <c r="B175">
        <v>50</v>
      </c>
      <c r="C175">
        <v>55000</v>
      </c>
      <c r="D175" t="s">
        <v>11</v>
      </c>
      <c r="E175" t="s">
        <v>12</v>
      </c>
      <c r="F175" t="s">
        <v>39</v>
      </c>
      <c r="G175" s="2">
        <v>43881</v>
      </c>
      <c r="H175" t="s">
        <v>27</v>
      </c>
      <c r="I175" t="s">
        <v>16</v>
      </c>
      <c r="J175" t="s">
        <v>16</v>
      </c>
    </row>
    <row r="176" spans="1:10" x14ac:dyDescent="0.3">
      <c r="A176" t="s">
        <v>24</v>
      </c>
      <c r="B176">
        <v>25</v>
      </c>
      <c r="C176">
        <v>50000</v>
      </c>
      <c r="D176" t="s">
        <v>36</v>
      </c>
      <c r="E176" t="s">
        <v>30</v>
      </c>
      <c r="F176" t="s">
        <v>44</v>
      </c>
      <c r="G176" s="2">
        <v>43845</v>
      </c>
      <c r="H176" t="s">
        <v>41</v>
      </c>
      <c r="I176" t="s">
        <v>32</v>
      </c>
      <c r="J176" t="s">
        <v>16</v>
      </c>
    </row>
    <row r="177" spans="1:10" x14ac:dyDescent="0.3">
      <c r="A177" t="s">
        <v>48</v>
      </c>
      <c r="B177" t="s">
        <v>42</v>
      </c>
      <c r="C177">
        <v>55000</v>
      </c>
      <c r="D177" t="s">
        <v>18</v>
      </c>
      <c r="E177" t="s">
        <v>26</v>
      </c>
      <c r="F177" t="s">
        <v>44</v>
      </c>
      <c r="G177" s="2">
        <v>43549</v>
      </c>
      <c r="H177" t="s">
        <v>41</v>
      </c>
      <c r="I177" t="s">
        <v>32</v>
      </c>
      <c r="J177" t="s">
        <v>16</v>
      </c>
    </row>
    <row r="178" spans="1:10" x14ac:dyDescent="0.3">
      <c r="A178" t="s">
        <v>48</v>
      </c>
      <c r="B178">
        <v>40</v>
      </c>
      <c r="C178" t="s">
        <v>25</v>
      </c>
      <c r="D178" t="s">
        <v>11</v>
      </c>
      <c r="E178" t="s">
        <v>26</v>
      </c>
      <c r="F178" t="s">
        <v>13</v>
      </c>
      <c r="G178" s="2">
        <v>43881</v>
      </c>
      <c r="H178" t="s">
        <v>27</v>
      </c>
      <c r="I178" t="s">
        <v>32</v>
      </c>
      <c r="J178" t="s">
        <v>16</v>
      </c>
    </row>
    <row r="179" spans="1:10" x14ac:dyDescent="0.3">
      <c r="A179" t="s">
        <v>47</v>
      </c>
      <c r="B179" t="s">
        <v>16</v>
      </c>
      <c r="C179">
        <v>65000</v>
      </c>
      <c r="D179" t="s">
        <v>11</v>
      </c>
      <c r="E179" t="s">
        <v>37</v>
      </c>
      <c r="F179" t="s">
        <v>44</v>
      </c>
      <c r="G179" s="2">
        <v>43881</v>
      </c>
      <c r="H179" t="s">
        <v>14</v>
      </c>
      <c r="I179" t="s">
        <v>15</v>
      </c>
      <c r="J179" t="s">
        <v>45</v>
      </c>
    </row>
    <row r="180" spans="1:10" x14ac:dyDescent="0.3">
      <c r="A180" t="s">
        <v>47</v>
      </c>
      <c r="B180">
        <v>35</v>
      </c>
      <c r="C180">
        <v>55000</v>
      </c>
      <c r="D180" t="s">
        <v>18</v>
      </c>
      <c r="E180" t="s">
        <v>19</v>
      </c>
      <c r="F180" t="s">
        <v>43</v>
      </c>
      <c r="G180" s="2">
        <v>43845</v>
      </c>
      <c r="H180" t="s">
        <v>31</v>
      </c>
      <c r="I180" t="s">
        <v>16</v>
      </c>
      <c r="J180" t="s">
        <v>33</v>
      </c>
    </row>
    <row r="181" spans="1:10" x14ac:dyDescent="0.3">
      <c r="A181" t="s">
        <v>46</v>
      </c>
      <c r="B181" t="s">
        <v>16</v>
      </c>
      <c r="C181">
        <v>50000</v>
      </c>
      <c r="D181" t="s">
        <v>18</v>
      </c>
      <c r="E181" t="s">
        <v>19</v>
      </c>
      <c r="F181" t="s">
        <v>44</v>
      </c>
      <c r="G181" s="1">
        <v>43195</v>
      </c>
      <c r="H181" t="s">
        <v>31</v>
      </c>
      <c r="I181" t="s">
        <v>32</v>
      </c>
      <c r="J181" t="s">
        <v>33</v>
      </c>
    </row>
    <row r="182" spans="1:10" x14ac:dyDescent="0.3">
      <c r="A182" t="s">
        <v>10</v>
      </c>
      <c r="B182" t="s">
        <v>42</v>
      </c>
      <c r="C182">
        <v>55000</v>
      </c>
      <c r="D182" t="s">
        <v>11</v>
      </c>
      <c r="E182" t="s">
        <v>37</v>
      </c>
      <c r="F182" t="s">
        <v>39</v>
      </c>
      <c r="G182" s="2">
        <v>43881</v>
      </c>
      <c r="H182" t="s">
        <v>27</v>
      </c>
      <c r="I182" t="s">
        <v>16</v>
      </c>
      <c r="J182" t="s">
        <v>23</v>
      </c>
    </row>
    <row r="183" spans="1:10" x14ac:dyDescent="0.3">
      <c r="A183" t="s">
        <v>29</v>
      </c>
      <c r="B183">
        <v>50</v>
      </c>
      <c r="C183">
        <v>70000</v>
      </c>
      <c r="D183" t="s">
        <v>36</v>
      </c>
      <c r="E183" t="s">
        <v>37</v>
      </c>
      <c r="F183" t="s">
        <v>39</v>
      </c>
      <c r="G183" s="1">
        <v>43195</v>
      </c>
      <c r="H183" t="s">
        <v>41</v>
      </c>
      <c r="I183" t="s">
        <v>32</v>
      </c>
      <c r="J183" t="s">
        <v>16</v>
      </c>
    </row>
    <row r="184" spans="1:10" x14ac:dyDescent="0.3">
      <c r="A184" t="s">
        <v>48</v>
      </c>
      <c r="B184" t="s">
        <v>16</v>
      </c>
      <c r="C184">
        <v>50000</v>
      </c>
      <c r="D184" t="s">
        <v>36</v>
      </c>
      <c r="E184" t="s">
        <v>37</v>
      </c>
      <c r="F184" t="s">
        <v>20</v>
      </c>
      <c r="G184" s="1">
        <v>43195</v>
      </c>
      <c r="H184" t="s">
        <v>14</v>
      </c>
      <c r="J184" t="s">
        <v>16</v>
      </c>
    </row>
    <row r="185" spans="1:10" x14ac:dyDescent="0.3">
      <c r="A185" t="s">
        <v>48</v>
      </c>
      <c r="B185">
        <v>25</v>
      </c>
      <c r="C185" t="s">
        <v>25</v>
      </c>
      <c r="D185" t="s">
        <v>36</v>
      </c>
      <c r="E185" t="s">
        <v>19</v>
      </c>
      <c r="F185" t="s">
        <v>39</v>
      </c>
      <c r="G185" t="s">
        <v>40</v>
      </c>
      <c r="H185" t="s">
        <v>27</v>
      </c>
      <c r="J185" t="s">
        <v>23</v>
      </c>
    </row>
    <row r="186" spans="1:10" x14ac:dyDescent="0.3">
      <c r="A186" t="s">
        <v>38</v>
      </c>
      <c r="B186" t="s">
        <v>42</v>
      </c>
      <c r="C186">
        <v>65000</v>
      </c>
      <c r="D186" t="s">
        <v>11</v>
      </c>
      <c r="E186" t="s">
        <v>37</v>
      </c>
      <c r="F186" t="s">
        <v>44</v>
      </c>
      <c r="G186" s="2">
        <v>43845</v>
      </c>
      <c r="H186" t="s">
        <v>31</v>
      </c>
      <c r="J186" t="s">
        <v>33</v>
      </c>
    </row>
    <row r="187" spans="1:10" x14ac:dyDescent="0.3">
      <c r="A187" t="s">
        <v>47</v>
      </c>
      <c r="B187">
        <v>50</v>
      </c>
      <c r="C187">
        <v>55000</v>
      </c>
      <c r="D187" t="s">
        <v>18</v>
      </c>
      <c r="E187" t="s">
        <v>12</v>
      </c>
      <c r="F187" t="s">
        <v>39</v>
      </c>
      <c r="G187" s="1">
        <v>43195</v>
      </c>
      <c r="H187" t="s">
        <v>21</v>
      </c>
      <c r="I187" t="s">
        <v>22</v>
      </c>
      <c r="J187" t="s">
        <v>28</v>
      </c>
    </row>
    <row r="188" spans="1:10" x14ac:dyDescent="0.3">
      <c r="A188" t="s">
        <v>29</v>
      </c>
      <c r="B188">
        <v>35</v>
      </c>
      <c r="C188">
        <v>50000</v>
      </c>
      <c r="D188" t="s">
        <v>11</v>
      </c>
      <c r="E188" t="s">
        <v>26</v>
      </c>
      <c r="F188" t="s">
        <v>13</v>
      </c>
      <c r="G188" s="2">
        <v>43845</v>
      </c>
      <c r="H188" t="s">
        <v>41</v>
      </c>
      <c r="I188" t="s">
        <v>32</v>
      </c>
      <c r="J188" t="s">
        <v>28</v>
      </c>
    </row>
    <row r="189" spans="1:10" x14ac:dyDescent="0.3">
      <c r="A189" t="s">
        <v>35</v>
      </c>
      <c r="B189">
        <v>50</v>
      </c>
      <c r="C189">
        <v>70000</v>
      </c>
      <c r="D189" t="s">
        <v>18</v>
      </c>
      <c r="E189" t="s">
        <v>26</v>
      </c>
      <c r="F189" t="s">
        <v>39</v>
      </c>
      <c r="G189" t="s">
        <v>40</v>
      </c>
      <c r="H189" t="s">
        <v>21</v>
      </c>
      <c r="I189" t="s">
        <v>22</v>
      </c>
      <c r="J189" t="s">
        <v>33</v>
      </c>
    </row>
    <row r="190" spans="1:10" x14ac:dyDescent="0.3">
      <c r="A190" t="s">
        <v>46</v>
      </c>
      <c r="B190">
        <v>25</v>
      </c>
      <c r="C190">
        <v>50000</v>
      </c>
      <c r="D190" t="s">
        <v>36</v>
      </c>
      <c r="E190" t="s">
        <v>30</v>
      </c>
      <c r="F190" t="s">
        <v>43</v>
      </c>
      <c r="G190" s="2">
        <v>43845</v>
      </c>
      <c r="H190" t="s">
        <v>27</v>
      </c>
      <c r="I190" t="s">
        <v>16</v>
      </c>
      <c r="J190" t="s">
        <v>16</v>
      </c>
    </row>
    <row r="191" spans="1:10" x14ac:dyDescent="0.3">
      <c r="A191" t="s">
        <v>10</v>
      </c>
      <c r="B191" t="s">
        <v>42</v>
      </c>
      <c r="C191" t="s">
        <v>34</v>
      </c>
      <c r="D191" t="s">
        <v>36</v>
      </c>
      <c r="E191" t="s">
        <v>30</v>
      </c>
      <c r="F191" t="s">
        <v>13</v>
      </c>
      <c r="G191" s="2">
        <v>43881</v>
      </c>
      <c r="H191" t="s">
        <v>31</v>
      </c>
      <c r="I191" t="s">
        <v>22</v>
      </c>
      <c r="J191" t="s">
        <v>28</v>
      </c>
    </row>
    <row r="192" spans="1:10" x14ac:dyDescent="0.3">
      <c r="A192" t="s">
        <v>17</v>
      </c>
      <c r="B192">
        <v>35</v>
      </c>
      <c r="C192">
        <v>70000</v>
      </c>
      <c r="D192" t="s">
        <v>18</v>
      </c>
      <c r="E192" t="s">
        <v>26</v>
      </c>
      <c r="F192" t="s">
        <v>20</v>
      </c>
      <c r="G192" s="1">
        <v>43195</v>
      </c>
      <c r="H192" t="s">
        <v>14</v>
      </c>
      <c r="I192" t="s">
        <v>16</v>
      </c>
      <c r="J192" t="s">
        <v>45</v>
      </c>
    </row>
    <row r="193" spans="1:10" x14ac:dyDescent="0.3">
      <c r="A193" t="s">
        <v>10</v>
      </c>
      <c r="B193">
        <v>25</v>
      </c>
      <c r="C193" t="s">
        <v>25</v>
      </c>
      <c r="D193" t="s">
        <v>18</v>
      </c>
      <c r="E193" t="s">
        <v>12</v>
      </c>
      <c r="F193" t="s">
        <v>43</v>
      </c>
      <c r="G193" s="2">
        <v>43845</v>
      </c>
      <c r="H193" t="s">
        <v>21</v>
      </c>
      <c r="I193" t="s">
        <v>16</v>
      </c>
      <c r="J193" t="s">
        <v>45</v>
      </c>
    </row>
    <row r="194" spans="1:10" x14ac:dyDescent="0.3">
      <c r="A194" t="s">
        <v>24</v>
      </c>
      <c r="B194">
        <v>50</v>
      </c>
      <c r="C194">
        <v>65000</v>
      </c>
      <c r="D194" t="s">
        <v>11</v>
      </c>
      <c r="E194" t="s">
        <v>19</v>
      </c>
      <c r="F194" t="s">
        <v>44</v>
      </c>
      <c r="G194" s="2">
        <v>43549</v>
      </c>
      <c r="H194" t="s">
        <v>14</v>
      </c>
      <c r="I194" t="s">
        <v>16</v>
      </c>
      <c r="J194" t="s">
        <v>23</v>
      </c>
    </row>
    <row r="195" spans="1:10" x14ac:dyDescent="0.3">
      <c r="A195" t="s">
        <v>48</v>
      </c>
      <c r="B195">
        <v>25</v>
      </c>
      <c r="C195" t="s">
        <v>25</v>
      </c>
      <c r="D195" t="s">
        <v>36</v>
      </c>
      <c r="E195" t="s">
        <v>19</v>
      </c>
      <c r="F195" t="s">
        <v>44</v>
      </c>
      <c r="G195" s="2">
        <v>43845</v>
      </c>
      <c r="H195" t="s">
        <v>31</v>
      </c>
      <c r="I195" t="s">
        <v>22</v>
      </c>
      <c r="J195" t="s">
        <v>33</v>
      </c>
    </row>
    <row r="196" spans="1:10" x14ac:dyDescent="0.3">
      <c r="A196" t="s">
        <v>46</v>
      </c>
      <c r="B196" t="s">
        <v>42</v>
      </c>
      <c r="C196">
        <v>55000</v>
      </c>
      <c r="D196" t="s">
        <v>11</v>
      </c>
      <c r="E196" t="s">
        <v>12</v>
      </c>
      <c r="F196" t="s">
        <v>44</v>
      </c>
      <c r="G196" s="1">
        <v>43195</v>
      </c>
      <c r="H196" t="s">
        <v>21</v>
      </c>
      <c r="I196" t="s">
        <v>32</v>
      </c>
      <c r="J196" t="s">
        <v>33</v>
      </c>
    </row>
    <row r="197" spans="1:10" x14ac:dyDescent="0.3">
      <c r="A197" t="s">
        <v>24</v>
      </c>
      <c r="B197">
        <v>40</v>
      </c>
      <c r="C197">
        <v>50000</v>
      </c>
      <c r="D197" t="s">
        <v>11</v>
      </c>
      <c r="E197" t="s">
        <v>19</v>
      </c>
      <c r="F197" t="s">
        <v>43</v>
      </c>
      <c r="G197" t="s">
        <v>40</v>
      </c>
      <c r="H197" t="s">
        <v>14</v>
      </c>
      <c r="I197" t="s">
        <v>22</v>
      </c>
      <c r="J197" t="s">
        <v>28</v>
      </c>
    </row>
    <row r="198" spans="1:10" x14ac:dyDescent="0.3">
      <c r="A198" t="s">
        <v>29</v>
      </c>
      <c r="B198">
        <v>25</v>
      </c>
      <c r="C198" t="s">
        <v>34</v>
      </c>
      <c r="D198" t="s">
        <v>11</v>
      </c>
      <c r="E198" t="s">
        <v>37</v>
      </c>
      <c r="F198" t="s">
        <v>43</v>
      </c>
      <c r="G198" t="s">
        <v>40</v>
      </c>
      <c r="H198" t="s">
        <v>14</v>
      </c>
      <c r="I198" t="s">
        <v>32</v>
      </c>
      <c r="J198" t="s">
        <v>16</v>
      </c>
    </row>
    <row r="199" spans="1:10" x14ac:dyDescent="0.3">
      <c r="A199" t="s">
        <v>17</v>
      </c>
      <c r="B199">
        <v>25</v>
      </c>
      <c r="C199">
        <v>70000</v>
      </c>
      <c r="D199" t="s">
        <v>36</v>
      </c>
      <c r="E199" t="s">
        <v>26</v>
      </c>
      <c r="F199" t="s">
        <v>43</v>
      </c>
      <c r="G199" s="1">
        <v>43195</v>
      </c>
      <c r="H199" t="s">
        <v>21</v>
      </c>
      <c r="I199" t="s">
        <v>32</v>
      </c>
      <c r="J199" t="s">
        <v>33</v>
      </c>
    </row>
    <row r="200" spans="1:10" x14ac:dyDescent="0.3">
      <c r="A200" t="s">
        <v>47</v>
      </c>
      <c r="B200">
        <v>50</v>
      </c>
      <c r="C200">
        <v>70000</v>
      </c>
      <c r="D200" t="s">
        <v>11</v>
      </c>
      <c r="E200" t="s">
        <v>26</v>
      </c>
      <c r="F200" t="s">
        <v>13</v>
      </c>
      <c r="G200" s="2">
        <v>43881</v>
      </c>
      <c r="H200" t="s">
        <v>31</v>
      </c>
      <c r="I200" t="s">
        <v>16</v>
      </c>
      <c r="J200" t="s">
        <v>28</v>
      </c>
    </row>
    <row r="201" spans="1:10" x14ac:dyDescent="0.3">
      <c r="A201" t="s">
        <v>46</v>
      </c>
      <c r="B201">
        <v>50</v>
      </c>
      <c r="C201">
        <v>50000</v>
      </c>
      <c r="D201" t="s">
        <v>11</v>
      </c>
      <c r="E201" t="s">
        <v>12</v>
      </c>
      <c r="F201" t="s">
        <v>13</v>
      </c>
      <c r="G201" s="2">
        <v>43881</v>
      </c>
      <c r="H201" t="s">
        <v>14</v>
      </c>
      <c r="I201" t="s">
        <v>22</v>
      </c>
      <c r="J201" t="s">
        <v>28</v>
      </c>
    </row>
    <row r="202" spans="1:10" x14ac:dyDescent="0.3">
      <c r="A202" t="s">
        <v>46</v>
      </c>
      <c r="B202">
        <v>35</v>
      </c>
      <c r="C202" t="s">
        <v>34</v>
      </c>
      <c r="D202" t="s">
        <v>11</v>
      </c>
      <c r="E202" t="s">
        <v>19</v>
      </c>
      <c r="F202" t="s">
        <v>44</v>
      </c>
      <c r="G202" t="s">
        <v>40</v>
      </c>
      <c r="H202" t="s">
        <v>27</v>
      </c>
      <c r="I202" t="s">
        <v>32</v>
      </c>
      <c r="J202" t="s">
        <v>33</v>
      </c>
    </row>
    <row r="203" spans="1:10" x14ac:dyDescent="0.3">
      <c r="A203" t="s">
        <v>48</v>
      </c>
      <c r="B203">
        <v>50</v>
      </c>
      <c r="C203">
        <v>50000</v>
      </c>
      <c r="D203" t="s">
        <v>11</v>
      </c>
      <c r="E203" t="s">
        <v>30</v>
      </c>
      <c r="F203" t="s">
        <v>39</v>
      </c>
      <c r="G203" t="s">
        <v>40</v>
      </c>
      <c r="H203" t="s">
        <v>21</v>
      </c>
      <c r="J203" t="s">
        <v>28</v>
      </c>
    </row>
    <row r="204" spans="1:10" x14ac:dyDescent="0.3">
      <c r="A204" t="s">
        <v>49</v>
      </c>
      <c r="B204" t="s">
        <v>16</v>
      </c>
      <c r="C204">
        <v>55000</v>
      </c>
      <c r="D204" t="s">
        <v>11</v>
      </c>
      <c r="E204" t="s">
        <v>30</v>
      </c>
      <c r="F204" t="s">
        <v>44</v>
      </c>
      <c r="G204" s="1">
        <v>43195</v>
      </c>
      <c r="H204" t="s">
        <v>41</v>
      </c>
      <c r="I204" t="s">
        <v>32</v>
      </c>
      <c r="J204" t="s">
        <v>23</v>
      </c>
    </row>
    <row r="205" spans="1:10" x14ac:dyDescent="0.3">
      <c r="A205" t="s">
        <v>46</v>
      </c>
      <c r="B205" t="s">
        <v>42</v>
      </c>
      <c r="C205" t="s">
        <v>25</v>
      </c>
      <c r="D205" t="s">
        <v>11</v>
      </c>
      <c r="E205" t="s">
        <v>19</v>
      </c>
      <c r="F205" t="s">
        <v>20</v>
      </c>
      <c r="G205" s="2">
        <v>43881</v>
      </c>
      <c r="H205" t="s">
        <v>41</v>
      </c>
      <c r="J205" t="s">
        <v>23</v>
      </c>
    </row>
    <row r="206" spans="1:10" x14ac:dyDescent="0.3">
      <c r="A206" t="s">
        <v>38</v>
      </c>
      <c r="B206" t="s">
        <v>42</v>
      </c>
      <c r="C206">
        <v>70000</v>
      </c>
      <c r="D206" t="s">
        <v>36</v>
      </c>
      <c r="E206" t="s">
        <v>30</v>
      </c>
      <c r="F206" t="s">
        <v>13</v>
      </c>
      <c r="G206" t="s">
        <v>40</v>
      </c>
      <c r="H206" t="s">
        <v>31</v>
      </c>
      <c r="I206" t="s">
        <v>22</v>
      </c>
      <c r="J206" t="s">
        <v>33</v>
      </c>
    </row>
    <row r="207" spans="1:10" x14ac:dyDescent="0.3">
      <c r="A207" t="s">
        <v>17</v>
      </c>
      <c r="B207">
        <v>40</v>
      </c>
      <c r="C207">
        <v>55000</v>
      </c>
      <c r="D207" t="s">
        <v>11</v>
      </c>
      <c r="E207" t="s">
        <v>12</v>
      </c>
      <c r="F207" t="s">
        <v>43</v>
      </c>
      <c r="G207" s="2">
        <v>43881</v>
      </c>
      <c r="H207" t="s">
        <v>27</v>
      </c>
      <c r="I207" t="s">
        <v>22</v>
      </c>
      <c r="J207" t="s">
        <v>16</v>
      </c>
    </row>
    <row r="208" spans="1:10" x14ac:dyDescent="0.3">
      <c r="A208" t="s">
        <v>17</v>
      </c>
      <c r="B208">
        <v>40</v>
      </c>
      <c r="C208" t="s">
        <v>25</v>
      </c>
      <c r="D208" t="s">
        <v>18</v>
      </c>
      <c r="E208" t="s">
        <v>12</v>
      </c>
      <c r="F208" t="s">
        <v>13</v>
      </c>
      <c r="G208" t="s">
        <v>40</v>
      </c>
      <c r="H208" t="s">
        <v>14</v>
      </c>
      <c r="I208" t="s">
        <v>22</v>
      </c>
      <c r="J208" t="s">
        <v>23</v>
      </c>
    </row>
    <row r="209" spans="1:10" x14ac:dyDescent="0.3">
      <c r="A209" t="s">
        <v>38</v>
      </c>
      <c r="B209" t="s">
        <v>42</v>
      </c>
      <c r="C209">
        <v>55000</v>
      </c>
      <c r="D209" t="s">
        <v>11</v>
      </c>
      <c r="E209" t="s">
        <v>19</v>
      </c>
      <c r="F209" t="s">
        <v>43</v>
      </c>
      <c r="G209" s="2">
        <v>43845</v>
      </c>
      <c r="H209" t="s">
        <v>41</v>
      </c>
      <c r="I209" t="s">
        <v>32</v>
      </c>
      <c r="J209" t="s">
        <v>23</v>
      </c>
    </row>
    <row r="210" spans="1:10" x14ac:dyDescent="0.3">
      <c r="A210" t="s">
        <v>35</v>
      </c>
      <c r="B210">
        <v>40</v>
      </c>
      <c r="C210" t="s">
        <v>34</v>
      </c>
      <c r="D210" t="s">
        <v>11</v>
      </c>
      <c r="E210" t="s">
        <v>30</v>
      </c>
      <c r="F210" t="s">
        <v>20</v>
      </c>
      <c r="G210" s="2">
        <v>43549</v>
      </c>
      <c r="H210" t="s">
        <v>31</v>
      </c>
      <c r="I210" t="s">
        <v>15</v>
      </c>
      <c r="J210" t="s">
        <v>33</v>
      </c>
    </row>
    <row r="211" spans="1:10" x14ac:dyDescent="0.3">
      <c r="A211" t="s">
        <v>38</v>
      </c>
      <c r="B211">
        <v>35</v>
      </c>
      <c r="C211">
        <v>70000</v>
      </c>
      <c r="D211" t="s">
        <v>36</v>
      </c>
      <c r="E211" t="s">
        <v>12</v>
      </c>
      <c r="F211" t="s">
        <v>20</v>
      </c>
      <c r="G211" s="2">
        <v>43845</v>
      </c>
      <c r="H211" t="s">
        <v>27</v>
      </c>
      <c r="I211" t="s">
        <v>32</v>
      </c>
      <c r="J211" t="s">
        <v>45</v>
      </c>
    </row>
    <row r="212" spans="1:10" x14ac:dyDescent="0.3">
      <c r="A212" t="s">
        <v>38</v>
      </c>
      <c r="B212">
        <v>50</v>
      </c>
      <c r="C212">
        <v>50000</v>
      </c>
      <c r="D212" t="s">
        <v>36</v>
      </c>
      <c r="E212" t="s">
        <v>12</v>
      </c>
      <c r="F212" t="s">
        <v>13</v>
      </c>
      <c r="G212" t="s">
        <v>40</v>
      </c>
      <c r="H212" t="s">
        <v>27</v>
      </c>
      <c r="I212" t="s">
        <v>32</v>
      </c>
      <c r="J212" t="s">
        <v>28</v>
      </c>
    </row>
    <row r="213" spans="1:10" x14ac:dyDescent="0.3">
      <c r="A213" t="s">
        <v>17</v>
      </c>
      <c r="B213" t="s">
        <v>42</v>
      </c>
      <c r="C213">
        <v>50000</v>
      </c>
      <c r="D213" t="s">
        <v>18</v>
      </c>
      <c r="E213" t="s">
        <v>37</v>
      </c>
      <c r="F213" t="s">
        <v>43</v>
      </c>
      <c r="G213" s="2">
        <v>43549</v>
      </c>
      <c r="H213" t="s">
        <v>31</v>
      </c>
      <c r="I213" t="s">
        <v>16</v>
      </c>
      <c r="J213" t="s">
        <v>23</v>
      </c>
    </row>
    <row r="214" spans="1:10" x14ac:dyDescent="0.3">
      <c r="A214" t="s">
        <v>10</v>
      </c>
      <c r="B214">
        <v>40</v>
      </c>
      <c r="C214" t="s">
        <v>25</v>
      </c>
      <c r="D214" t="s">
        <v>18</v>
      </c>
      <c r="E214" t="s">
        <v>37</v>
      </c>
      <c r="F214" t="s">
        <v>20</v>
      </c>
      <c r="G214" s="2">
        <v>43549</v>
      </c>
      <c r="H214" t="s">
        <v>31</v>
      </c>
      <c r="I214" t="s">
        <v>16</v>
      </c>
      <c r="J214" t="s">
        <v>45</v>
      </c>
    </row>
    <row r="215" spans="1:10" x14ac:dyDescent="0.3">
      <c r="A215" t="s">
        <v>17</v>
      </c>
      <c r="B215" t="s">
        <v>42</v>
      </c>
      <c r="C215">
        <v>65000</v>
      </c>
      <c r="D215" t="s">
        <v>36</v>
      </c>
      <c r="E215" t="s">
        <v>12</v>
      </c>
      <c r="F215" t="s">
        <v>44</v>
      </c>
      <c r="G215" t="s">
        <v>40</v>
      </c>
      <c r="H215" t="s">
        <v>14</v>
      </c>
      <c r="I215" t="s">
        <v>32</v>
      </c>
      <c r="J215" t="s">
        <v>16</v>
      </c>
    </row>
    <row r="216" spans="1:10" x14ac:dyDescent="0.3">
      <c r="A216" t="s">
        <v>49</v>
      </c>
      <c r="B216" t="s">
        <v>16</v>
      </c>
      <c r="C216" t="s">
        <v>34</v>
      </c>
      <c r="D216" t="s">
        <v>36</v>
      </c>
      <c r="E216" t="s">
        <v>19</v>
      </c>
      <c r="F216" t="s">
        <v>44</v>
      </c>
      <c r="G216" t="s">
        <v>40</v>
      </c>
      <c r="H216" t="s">
        <v>31</v>
      </c>
      <c r="J216" t="s">
        <v>45</v>
      </c>
    </row>
    <row r="217" spans="1:10" x14ac:dyDescent="0.3">
      <c r="A217" t="s">
        <v>48</v>
      </c>
      <c r="B217">
        <v>25</v>
      </c>
      <c r="C217" t="s">
        <v>25</v>
      </c>
      <c r="D217" t="s">
        <v>11</v>
      </c>
      <c r="E217" t="s">
        <v>26</v>
      </c>
      <c r="F217" t="s">
        <v>43</v>
      </c>
      <c r="G217" s="2">
        <v>43881</v>
      </c>
      <c r="H217" t="s">
        <v>14</v>
      </c>
      <c r="I217" t="s">
        <v>16</v>
      </c>
      <c r="J217" t="s">
        <v>33</v>
      </c>
    </row>
    <row r="218" spans="1:10" x14ac:dyDescent="0.3">
      <c r="A218" t="s">
        <v>24</v>
      </c>
      <c r="B218">
        <v>50</v>
      </c>
      <c r="C218">
        <v>65000</v>
      </c>
      <c r="D218" t="s">
        <v>36</v>
      </c>
      <c r="E218" t="s">
        <v>26</v>
      </c>
      <c r="F218" t="s">
        <v>13</v>
      </c>
      <c r="G218" t="s">
        <v>40</v>
      </c>
      <c r="H218" t="s">
        <v>14</v>
      </c>
      <c r="I218" t="s">
        <v>32</v>
      </c>
      <c r="J218" t="s">
        <v>16</v>
      </c>
    </row>
    <row r="219" spans="1:10" x14ac:dyDescent="0.3">
      <c r="A219" t="s">
        <v>10</v>
      </c>
      <c r="B219" t="s">
        <v>42</v>
      </c>
      <c r="C219">
        <v>55000</v>
      </c>
      <c r="D219" t="s">
        <v>18</v>
      </c>
      <c r="E219" t="s">
        <v>12</v>
      </c>
      <c r="F219" t="s">
        <v>20</v>
      </c>
      <c r="G219" s="1">
        <v>43195</v>
      </c>
      <c r="H219" t="s">
        <v>21</v>
      </c>
      <c r="I219" t="s">
        <v>15</v>
      </c>
      <c r="J219" t="s">
        <v>16</v>
      </c>
    </row>
    <row r="220" spans="1:10" x14ac:dyDescent="0.3">
      <c r="A220" t="s">
        <v>47</v>
      </c>
      <c r="B220">
        <v>25</v>
      </c>
      <c r="C220" t="s">
        <v>34</v>
      </c>
      <c r="D220" t="s">
        <v>11</v>
      </c>
      <c r="E220" t="s">
        <v>12</v>
      </c>
      <c r="F220" t="s">
        <v>13</v>
      </c>
      <c r="G220" t="s">
        <v>40</v>
      </c>
      <c r="H220" t="s">
        <v>27</v>
      </c>
      <c r="J220" t="s">
        <v>45</v>
      </c>
    </row>
    <row r="221" spans="1:10" x14ac:dyDescent="0.3">
      <c r="A221" t="s">
        <v>24</v>
      </c>
      <c r="B221">
        <v>40</v>
      </c>
      <c r="C221">
        <v>55000</v>
      </c>
      <c r="D221" t="s">
        <v>18</v>
      </c>
      <c r="E221" t="s">
        <v>12</v>
      </c>
      <c r="F221" t="s">
        <v>44</v>
      </c>
      <c r="G221" s="1">
        <v>43195</v>
      </c>
      <c r="H221" t="s">
        <v>27</v>
      </c>
      <c r="I221" t="s">
        <v>22</v>
      </c>
      <c r="J221" t="s">
        <v>33</v>
      </c>
    </row>
    <row r="222" spans="1:10" x14ac:dyDescent="0.3">
      <c r="A222" t="s">
        <v>48</v>
      </c>
      <c r="B222">
        <v>25</v>
      </c>
      <c r="C222">
        <v>70000</v>
      </c>
      <c r="D222" t="s">
        <v>11</v>
      </c>
      <c r="E222" t="s">
        <v>19</v>
      </c>
      <c r="F222" t="s">
        <v>20</v>
      </c>
      <c r="G222" t="s">
        <v>40</v>
      </c>
      <c r="H222" t="s">
        <v>27</v>
      </c>
      <c r="I222" t="s">
        <v>32</v>
      </c>
      <c r="J222" t="s">
        <v>23</v>
      </c>
    </row>
    <row r="223" spans="1:10" x14ac:dyDescent="0.3">
      <c r="A223" t="s">
        <v>49</v>
      </c>
      <c r="B223">
        <v>50</v>
      </c>
      <c r="C223" t="s">
        <v>34</v>
      </c>
      <c r="D223" t="s">
        <v>36</v>
      </c>
      <c r="E223" t="s">
        <v>37</v>
      </c>
      <c r="F223" t="s">
        <v>13</v>
      </c>
      <c r="G223" s="2">
        <v>43881</v>
      </c>
      <c r="H223" t="s">
        <v>21</v>
      </c>
      <c r="I223" t="s">
        <v>32</v>
      </c>
      <c r="J223" t="s">
        <v>45</v>
      </c>
    </row>
    <row r="224" spans="1:10" x14ac:dyDescent="0.3">
      <c r="A224" t="s">
        <v>49</v>
      </c>
      <c r="B224" t="s">
        <v>42</v>
      </c>
      <c r="C224">
        <v>65000</v>
      </c>
      <c r="D224" t="s">
        <v>18</v>
      </c>
      <c r="E224" t="s">
        <v>12</v>
      </c>
      <c r="F224" t="s">
        <v>39</v>
      </c>
      <c r="G224" s="1">
        <v>43195</v>
      </c>
      <c r="H224" t="s">
        <v>14</v>
      </c>
      <c r="J224" t="s">
        <v>23</v>
      </c>
    </row>
    <row r="225" spans="1:10" x14ac:dyDescent="0.3">
      <c r="A225" t="s">
        <v>47</v>
      </c>
      <c r="B225" t="s">
        <v>16</v>
      </c>
      <c r="C225">
        <v>70000</v>
      </c>
      <c r="D225" t="s">
        <v>11</v>
      </c>
      <c r="E225" t="s">
        <v>12</v>
      </c>
      <c r="F225" t="s">
        <v>43</v>
      </c>
      <c r="G225" s="2">
        <v>43845</v>
      </c>
      <c r="H225" t="s">
        <v>14</v>
      </c>
      <c r="I225" t="s">
        <v>16</v>
      </c>
      <c r="J225" t="s">
        <v>45</v>
      </c>
    </row>
    <row r="226" spans="1:10" x14ac:dyDescent="0.3">
      <c r="A226" t="s">
        <v>10</v>
      </c>
      <c r="B226">
        <v>40</v>
      </c>
      <c r="C226">
        <v>50000</v>
      </c>
      <c r="D226" t="s">
        <v>11</v>
      </c>
      <c r="E226" t="s">
        <v>30</v>
      </c>
      <c r="F226" t="s">
        <v>43</v>
      </c>
      <c r="G226" s="1">
        <v>43195</v>
      </c>
      <c r="H226" t="s">
        <v>31</v>
      </c>
      <c r="I226" t="s">
        <v>16</v>
      </c>
      <c r="J226" t="s">
        <v>23</v>
      </c>
    </row>
    <row r="227" spans="1:10" x14ac:dyDescent="0.3">
      <c r="A227" t="s">
        <v>35</v>
      </c>
      <c r="B227" t="s">
        <v>42</v>
      </c>
      <c r="C227">
        <v>65000</v>
      </c>
      <c r="D227" t="s">
        <v>36</v>
      </c>
      <c r="E227" t="s">
        <v>19</v>
      </c>
      <c r="F227" t="s">
        <v>39</v>
      </c>
      <c r="G227" s="2">
        <v>43881</v>
      </c>
      <c r="H227" t="s">
        <v>21</v>
      </c>
      <c r="I227" t="s">
        <v>16</v>
      </c>
      <c r="J227" t="s">
        <v>45</v>
      </c>
    </row>
    <row r="228" spans="1:10" x14ac:dyDescent="0.3">
      <c r="A228" t="s">
        <v>38</v>
      </c>
      <c r="B228">
        <v>50</v>
      </c>
      <c r="C228" t="s">
        <v>25</v>
      </c>
      <c r="D228" t="s">
        <v>36</v>
      </c>
      <c r="E228" t="s">
        <v>12</v>
      </c>
      <c r="F228" t="s">
        <v>44</v>
      </c>
      <c r="G228" s="1">
        <v>43195</v>
      </c>
      <c r="H228" t="s">
        <v>31</v>
      </c>
      <c r="I228" t="s">
        <v>22</v>
      </c>
      <c r="J228" t="s">
        <v>16</v>
      </c>
    </row>
    <row r="229" spans="1:10" x14ac:dyDescent="0.3">
      <c r="A229" t="s">
        <v>10</v>
      </c>
      <c r="B229">
        <v>40</v>
      </c>
      <c r="C229">
        <v>50000</v>
      </c>
      <c r="D229" t="s">
        <v>36</v>
      </c>
      <c r="E229" t="s">
        <v>30</v>
      </c>
      <c r="F229" t="s">
        <v>20</v>
      </c>
      <c r="G229" t="s">
        <v>40</v>
      </c>
      <c r="H229" t="s">
        <v>21</v>
      </c>
      <c r="J229" t="s">
        <v>28</v>
      </c>
    </row>
    <row r="230" spans="1:10" x14ac:dyDescent="0.3">
      <c r="A230" t="s">
        <v>35</v>
      </c>
      <c r="B230">
        <v>35</v>
      </c>
      <c r="C230">
        <v>50000</v>
      </c>
      <c r="D230" t="s">
        <v>18</v>
      </c>
      <c r="E230" t="s">
        <v>26</v>
      </c>
      <c r="F230" t="s">
        <v>43</v>
      </c>
      <c r="G230" t="s">
        <v>40</v>
      </c>
      <c r="H230" t="s">
        <v>31</v>
      </c>
      <c r="J230" t="s">
        <v>16</v>
      </c>
    </row>
    <row r="231" spans="1:10" x14ac:dyDescent="0.3">
      <c r="A231" t="s">
        <v>49</v>
      </c>
      <c r="B231">
        <v>25</v>
      </c>
      <c r="C231" t="s">
        <v>25</v>
      </c>
      <c r="D231" t="s">
        <v>11</v>
      </c>
      <c r="E231" t="s">
        <v>12</v>
      </c>
      <c r="F231" t="s">
        <v>39</v>
      </c>
      <c r="G231" s="2">
        <v>43881</v>
      </c>
      <c r="H231" t="s">
        <v>41</v>
      </c>
      <c r="I231" t="s">
        <v>16</v>
      </c>
      <c r="J231" t="s">
        <v>23</v>
      </c>
    </row>
    <row r="232" spans="1:10" x14ac:dyDescent="0.3">
      <c r="A232" t="s">
        <v>17</v>
      </c>
      <c r="B232">
        <v>50</v>
      </c>
      <c r="C232" t="s">
        <v>34</v>
      </c>
      <c r="D232" t="s">
        <v>36</v>
      </c>
      <c r="E232" t="s">
        <v>12</v>
      </c>
      <c r="F232" t="s">
        <v>39</v>
      </c>
      <c r="G232" s="2">
        <v>43549</v>
      </c>
      <c r="H232" t="s">
        <v>27</v>
      </c>
      <c r="I232" t="s">
        <v>16</v>
      </c>
      <c r="J232" t="s">
        <v>33</v>
      </c>
    </row>
    <row r="233" spans="1:10" x14ac:dyDescent="0.3">
      <c r="A233" t="s">
        <v>48</v>
      </c>
      <c r="B233">
        <v>35</v>
      </c>
      <c r="C233">
        <v>50000</v>
      </c>
      <c r="D233" t="s">
        <v>18</v>
      </c>
      <c r="E233" t="s">
        <v>30</v>
      </c>
      <c r="F233" t="s">
        <v>44</v>
      </c>
      <c r="G233" t="s">
        <v>40</v>
      </c>
      <c r="H233" t="s">
        <v>27</v>
      </c>
      <c r="I233" t="s">
        <v>15</v>
      </c>
      <c r="J233" t="s">
        <v>16</v>
      </c>
    </row>
    <row r="234" spans="1:10" x14ac:dyDescent="0.3">
      <c r="A234" t="s">
        <v>47</v>
      </c>
      <c r="B234" t="s">
        <v>42</v>
      </c>
      <c r="C234">
        <v>65000</v>
      </c>
      <c r="D234" t="s">
        <v>18</v>
      </c>
      <c r="E234" t="s">
        <v>19</v>
      </c>
      <c r="F234" t="s">
        <v>44</v>
      </c>
      <c r="G234" s="2">
        <v>43845</v>
      </c>
      <c r="H234" t="s">
        <v>14</v>
      </c>
      <c r="I234" t="s">
        <v>15</v>
      </c>
      <c r="J234" t="s">
        <v>28</v>
      </c>
    </row>
    <row r="235" spans="1:10" x14ac:dyDescent="0.3">
      <c r="A235" t="s">
        <v>48</v>
      </c>
      <c r="B235" t="s">
        <v>16</v>
      </c>
      <c r="C235">
        <v>70000</v>
      </c>
      <c r="D235" t="s">
        <v>18</v>
      </c>
      <c r="E235" t="s">
        <v>12</v>
      </c>
      <c r="F235" t="s">
        <v>13</v>
      </c>
      <c r="G235" s="2">
        <v>43881</v>
      </c>
      <c r="H235" t="s">
        <v>41</v>
      </c>
      <c r="I235" t="s">
        <v>32</v>
      </c>
      <c r="J235" t="s">
        <v>23</v>
      </c>
    </row>
    <row r="236" spans="1:10" x14ac:dyDescent="0.3">
      <c r="A236" t="s">
        <v>29</v>
      </c>
      <c r="B236">
        <v>40</v>
      </c>
      <c r="C236">
        <v>50000</v>
      </c>
      <c r="D236" t="s">
        <v>36</v>
      </c>
      <c r="E236" t="s">
        <v>26</v>
      </c>
      <c r="F236" t="s">
        <v>43</v>
      </c>
      <c r="G236" s="1">
        <v>43195</v>
      </c>
      <c r="H236" t="s">
        <v>27</v>
      </c>
      <c r="I236" t="s">
        <v>32</v>
      </c>
      <c r="J236" t="s">
        <v>16</v>
      </c>
    </row>
    <row r="237" spans="1:10" x14ac:dyDescent="0.3">
      <c r="A237" t="s">
        <v>29</v>
      </c>
      <c r="B237">
        <v>25</v>
      </c>
      <c r="C237">
        <v>65000</v>
      </c>
      <c r="D237" t="s">
        <v>36</v>
      </c>
      <c r="E237" t="s">
        <v>12</v>
      </c>
      <c r="F237" t="s">
        <v>13</v>
      </c>
      <c r="G237" s="1">
        <v>43195</v>
      </c>
      <c r="H237" t="s">
        <v>14</v>
      </c>
      <c r="J237" t="s">
        <v>45</v>
      </c>
    </row>
    <row r="238" spans="1:10" x14ac:dyDescent="0.3">
      <c r="A238" t="s">
        <v>10</v>
      </c>
      <c r="B238">
        <v>40</v>
      </c>
      <c r="C238">
        <v>55000</v>
      </c>
      <c r="D238" t="s">
        <v>11</v>
      </c>
      <c r="E238" t="s">
        <v>26</v>
      </c>
      <c r="F238" t="s">
        <v>39</v>
      </c>
      <c r="G238" s="2">
        <v>43845</v>
      </c>
      <c r="H238" t="s">
        <v>41</v>
      </c>
      <c r="J238" t="s">
        <v>33</v>
      </c>
    </row>
    <row r="239" spans="1:10" x14ac:dyDescent="0.3">
      <c r="A239" t="s">
        <v>49</v>
      </c>
      <c r="B239" t="s">
        <v>42</v>
      </c>
      <c r="C239">
        <v>65000</v>
      </c>
      <c r="D239" t="s">
        <v>11</v>
      </c>
      <c r="E239" t="s">
        <v>37</v>
      </c>
      <c r="F239" t="s">
        <v>20</v>
      </c>
      <c r="G239" t="s">
        <v>40</v>
      </c>
      <c r="H239" t="s">
        <v>27</v>
      </c>
      <c r="I239" t="s">
        <v>22</v>
      </c>
      <c r="J239" t="s">
        <v>23</v>
      </c>
    </row>
    <row r="240" spans="1:10" x14ac:dyDescent="0.3">
      <c r="A240" t="s">
        <v>49</v>
      </c>
      <c r="B240">
        <v>40</v>
      </c>
      <c r="C240">
        <v>70000</v>
      </c>
      <c r="D240" t="s">
        <v>36</v>
      </c>
      <c r="E240" t="s">
        <v>37</v>
      </c>
      <c r="F240" t="s">
        <v>20</v>
      </c>
      <c r="G240" s="2">
        <v>43881</v>
      </c>
      <c r="H240" t="s">
        <v>31</v>
      </c>
      <c r="I240" t="s">
        <v>22</v>
      </c>
      <c r="J240" t="s">
        <v>16</v>
      </c>
    </row>
    <row r="241" spans="1:10" x14ac:dyDescent="0.3">
      <c r="A241" t="s">
        <v>38</v>
      </c>
      <c r="B241">
        <v>25</v>
      </c>
      <c r="C241">
        <v>65000</v>
      </c>
      <c r="D241" t="s">
        <v>18</v>
      </c>
      <c r="E241" t="s">
        <v>26</v>
      </c>
      <c r="F241" t="s">
        <v>44</v>
      </c>
      <c r="G241" s="2">
        <v>43845</v>
      </c>
      <c r="H241" t="s">
        <v>21</v>
      </c>
      <c r="I241" t="s">
        <v>15</v>
      </c>
      <c r="J241" t="s">
        <v>23</v>
      </c>
    </row>
    <row r="242" spans="1:10" x14ac:dyDescent="0.3">
      <c r="A242" t="s">
        <v>38</v>
      </c>
      <c r="B242" t="s">
        <v>42</v>
      </c>
      <c r="C242" t="s">
        <v>25</v>
      </c>
      <c r="D242" t="s">
        <v>18</v>
      </c>
      <c r="E242" t="s">
        <v>19</v>
      </c>
      <c r="F242" t="s">
        <v>20</v>
      </c>
      <c r="G242" t="s">
        <v>40</v>
      </c>
      <c r="H242" t="s">
        <v>41</v>
      </c>
      <c r="I242" t="s">
        <v>32</v>
      </c>
      <c r="J242" t="s">
        <v>45</v>
      </c>
    </row>
    <row r="243" spans="1:10" x14ac:dyDescent="0.3">
      <c r="A243" t="s">
        <v>38</v>
      </c>
      <c r="B243">
        <v>40</v>
      </c>
      <c r="C243">
        <v>70000</v>
      </c>
      <c r="D243" t="s">
        <v>18</v>
      </c>
      <c r="E243" t="s">
        <v>12</v>
      </c>
      <c r="F243" t="s">
        <v>20</v>
      </c>
      <c r="G243" s="2">
        <v>43881</v>
      </c>
      <c r="H243" t="s">
        <v>14</v>
      </c>
      <c r="I243" t="s">
        <v>15</v>
      </c>
      <c r="J243" t="s">
        <v>28</v>
      </c>
    </row>
    <row r="244" spans="1:10" x14ac:dyDescent="0.3">
      <c r="A244" t="s">
        <v>17</v>
      </c>
      <c r="B244" t="s">
        <v>16</v>
      </c>
      <c r="C244" t="s">
        <v>34</v>
      </c>
      <c r="D244" t="s">
        <v>11</v>
      </c>
      <c r="E244" t="s">
        <v>12</v>
      </c>
      <c r="F244" t="s">
        <v>20</v>
      </c>
      <c r="G244" s="1">
        <v>43195</v>
      </c>
      <c r="H244" t="s">
        <v>41</v>
      </c>
      <c r="I244" t="s">
        <v>15</v>
      </c>
      <c r="J244" t="s">
        <v>16</v>
      </c>
    </row>
    <row r="245" spans="1:10" x14ac:dyDescent="0.3">
      <c r="A245" t="s">
        <v>24</v>
      </c>
      <c r="B245">
        <v>50</v>
      </c>
      <c r="C245">
        <v>55000</v>
      </c>
      <c r="D245" t="s">
        <v>18</v>
      </c>
      <c r="E245" t="s">
        <v>37</v>
      </c>
      <c r="F245" t="s">
        <v>39</v>
      </c>
      <c r="G245" s="2">
        <v>43881</v>
      </c>
      <c r="H245" t="s">
        <v>14</v>
      </c>
      <c r="I245" t="s">
        <v>32</v>
      </c>
      <c r="J245" t="s">
        <v>23</v>
      </c>
    </row>
    <row r="246" spans="1:10" x14ac:dyDescent="0.3">
      <c r="A246" t="s">
        <v>46</v>
      </c>
      <c r="B246" t="s">
        <v>42</v>
      </c>
      <c r="C246" t="s">
        <v>25</v>
      </c>
      <c r="D246" t="s">
        <v>11</v>
      </c>
      <c r="E246" t="s">
        <v>26</v>
      </c>
      <c r="F246" t="s">
        <v>20</v>
      </c>
      <c r="G246" s="2">
        <v>43549</v>
      </c>
      <c r="H246" t="s">
        <v>41</v>
      </c>
      <c r="I246" t="s">
        <v>22</v>
      </c>
      <c r="J246" t="s">
        <v>23</v>
      </c>
    </row>
    <row r="247" spans="1:10" x14ac:dyDescent="0.3">
      <c r="A247" t="s">
        <v>24</v>
      </c>
      <c r="B247">
        <v>50</v>
      </c>
      <c r="C247" t="s">
        <v>34</v>
      </c>
      <c r="D247" t="s">
        <v>11</v>
      </c>
      <c r="E247" t="s">
        <v>12</v>
      </c>
      <c r="F247" t="s">
        <v>20</v>
      </c>
      <c r="G247" s="2">
        <v>43881</v>
      </c>
      <c r="H247" t="s">
        <v>14</v>
      </c>
      <c r="I247" t="s">
        <v>32</v>
      </c>
      <c r="J247" t="s">
        <v>23</v>
      </c>
    </row>
    <row r="248" spans="1:10" x14ac:dyDescent="0.3">
      <c r="A248" t="s">
        <v>48</v>
      </c>
      <c r="B248" t="s">
        <v>42</v>
      </c>
      <c r="C248">
        <v>65000</v>
      </c>
      <c r="D248" t="s">
        <v>18</v>
      </c>
      <c r="E248" t="s">
        <v>12</v>
      </c>
      <c r="F248" t="s">
        <v>20</v>
      </c>
      <c r="G248" s="2">
        <v>43549</v>
      </c>
      <c r="H248" t="s">
        <v>27</v>
      </c>
      <c r="I248" t="s">
        <v>16</v>
      </c>
      <c r="J248" t="s">
        <v>28</v>
      </c>
    </row>
    <row r="249" spans="1:10" x14ac:dyDescent="0.3">
      <c r="A249" t="s">
        <v>24</v>
      </c>
      <c r="B249" t="s">
        <v>16</v>
      </c>
      <c r="C249">
        <v>70000</v>
      </c>
      <c r="D249" t="s">
        <v>18</v>
      </c>
      <c r="E249" t="s">
        <v>19</v>
      </c>
      <c r="F249" t="s">
        <v>13</v>
      </c>
      <c r="G249" s="2">
        <v>43881</v>
      </c>
      <c r="H249" t="s">
        <v>31</v>
      </c>
      <c r="I249" t="s">
        <v>16</v>
      </c>
      <c r="J249" t="s">
        <v>23</v>
      </c>
    </row>
    <row r="250" spans="1:10" x14ac:dyDescent="0.3">
      <c r="A250" t="s">
        <v>17</v>
      </c>
      <c r="B250">
        <v>50</v>
      </c>
      <c r="C250">
        <v>55000</v>
      </c>
      <c r="D250" t="s">
        <v>36</v>
      </c>
      <c r="E250" t="s">
        <v>30</v>
      </c>
      <c r="F250" t="s">
        <v>39</v>
      </c>
      <c r="G250" s="2">
        <v>43549</v>
      </c>
      <c r="H250" t="s">
        <v>27</v>
      </c>
      <c r="I250" t="s">
        <v>16</v>
      </c>
      <c r="J250" t="s">
        <v>33</v>
      </c>
    </row>
    <row r="251" spans="1:10" x14ac:dyDescent="0.3">
      <c r="A251" t="s">
        <v>48</v>
      </c>
      <c r="B251">
        <v>35</v>
      </c>
      <c r="C251" t="s">
        <v>25</v>
      </c>
      <c r="D251" t="s">
        <v>36</v>
      </c>
      <c r="E251" t="s">
        <v>37</v>
      </c>
      <c r="F251" t="s">
        <v>44</v>
      </c>
      <c r="G251" s="1">
        <v>43195</v>
      </c>
      <c r="H251" t="s">
        <v>31</v>
      </c>
      <c r="J251" t="s">
        <v>33</v>
      </c>
    </row>
    <row r="252" spans="1:10" x14ac:dyDescent="0.3">
      <c r="A252" t="s">
        <v>24</v>
      </c>
      <c r="B252">
        <v>25</v>
      </c>
      <c r="C252" t="s">
        <v>34</v>
      </c>
      <c r="D252" t="s">
        <v>18</v>
      </c>
      <c r="E252" t="s">
        <v>37</v>
      </c>
      <c r="F252" t="s">
        <v>13</v>
      </c>
      <c r="G252" t="s">
        <v>40</v>
      </c>
      <c r="H252" t="s">
        <v>27</v>
      </c>
      <c r="I252" t="s">
        <v>22</v>
      </c>
      <c r="J252" t="s">
        <v>23</v>
      </c>
    </row>
    <row r="253" spans="1:10" x14ac:dyDescent="0.3">
      <c r="A253" t="s">
        <v>17</v>
      </c>
      <c r="B253">
        <v>35</v>
      </c>
      <c r="C253" t="s">
        <v>34</v>
      </c>
      <c r="D253" t="s">
        <v>11</v>
      </c>
      <c r="E253" t="s">
        <v>30</v>
      </c>
      <c r="F253" t="s">
        <v>43</v>
      </c>
      <c r="G253" s="2">
        <v>43549</v>
      </c>
      <c r="H253" t="s">
        <v>27</v>
      </c>
      <c r="I253" t="s">
        <v>22</v>
      </c>
      <c r="J253" t="s">
        <v>33</v>
      </c>
    </row>
    <row r="254" spans="1:10" x14ac:dyDescent="0.3">
      <c r="A254" t="s">
        <v>46</v>
      </c>
      <c r="B254">
        <v>40</v>
      </c>
      <c r="C254">
        <v>55000</v>
      </c>
      <c r="D254" t="s">
        <v>11</v>
      </c>
      <c r="E254" t="s">
        <v>12</v>
      </c>
      <c r="F254" t="s">
        <v>39</v>
      </c>
      <c r="G254" s="2">
        <v>43549</v>
      </c>
      <c r="H254" t="s">
        <v>41</v>
      </c>
      <c r="J254" t="s">
        <v>16</v>
      </c>
    </row>
    <row r="255" spans="1:10" x14ac:dyDescent="0.3">
      <c r="A255" t="s">
        <v>24</v>
      </c>
      <c r="B255" t="s">
        <v>16</v>
      </c>
      <c r="C255">
        <v>65000</v>
      </c>
      <c r="D255" t="s">
        <v>11</v>
      </c>
      <c r="E255" t="s">
        <v>19</v>
      </c>
      <c r="F255" t="s">
        <v>39</v>
      </c>
      <c r="G255" s="1">
        <v>43195</v>
      </c>
      <c r="H255" t="s">
        <v>21</v>
      </c>
      <c r="I255" t="s">
        <v>15</v>
      </c>
      <c r="J255" t="s">
        <v>33</v>
      </c>
    </row>
    <row r="256" spans="1:10" x14ac:dyDescent="0.3">
      <c r="A256" t="s">
        <v>17</v>
      </c>
      <c r="B256">
        <v>35</v>
      </c>
      <c r="C256">
        <v>55000</v>
      </c>
      <c r="D256" t="s">
        <v>11</v>
      </c>
      <c r="E256" t="s">
        <v>19</v>
      </c>
      <c r="F256" t="s">
        <v>43</v>
      </c>
      <c r="G256" s="2">
        <v>43549</v>
      </c>
      <c r="H256" t="s">
        <v>14</v>
      </c>
      <c r="I256" t="s">
        <v>16</v>
      </c>
      <c r="J256" t="s">
        <v>23</v>
      </c>
    </row>
    <row r="257" spans="1:10" x14ac:dyDescent="0.3">
      <c r="A257" t="s">
        <v>38</v>
      </c>
      <c r="B257" t="s">
        <v>42</v>
      </c>
      <c r="C257" t="s">
        <v>34</v>
      </c>
      <c r="D257" t="s">
        <v>11</v>
      </c>
      <c r="E257" t="s">
        <v>37</v>
      </c>
      <c r="F257" t="s">
        <v>43</v>
      </c>
      <c r="G257" s="2">
        <v>43845</v>
      </c>
      <c r="H257" t="s">
        <v>14</v>
      </c>
      <c r="I257" t="s">
        <v>16</v>
      </c>
      <c r="J257" t="s">
        <v>45</v>
      </c>
    </row>
    <row r="258" spans="1:10" x14ac:dyDescent="0.3">
      <c r="A258" t="s">
        <v>49</v>
      </c>
      <c r="B258">
        <v>40</v>
      </c>
      <c r="C258">
        <v>50000</v>
      </c>
      <c r="D258" t="s">
        <v>36</v>
      </c>
      <c r="E258" t="s">
        <v>19</v>
      </c>
      <c r="F258" t="s">
        <v>43</v>
      </c>
      <c r="G258" s="1">
        <v>43195</v>
      </c>
      <c r="H258" t="s">
        <v>14</v>
      </c>
      <c r="I258" t="s">
        <v>15</v>
      </c>
      <c r="J258" t="s">
        <v>16</v>
      </c>
    </row>
    <row r="259" spans="1:10" x14ac:dyDescent="0.3">
      <c r="A259" t="s">
        <v>38</v>
      </c>
      <c r="B259">
        <v>40</v>
      </c>
      <c r="C259" t="s">
        <v>25</v>
      </c>
      <c r="D259" t="s">
        <v>18</v>
      </c>
      <c r="E259" t="s">
        <v>30</v>
      </c>
      <c r="F259" t="s">
        <v>44</v>
      </c>
      <c r="G259" s="2">
        <v>43845</v>
      </c>
      <c r="H259" t="s">
        <v>31</v>
      </c>
      <c r="I259" t="s">
        <v>32</v>
      </c>
      <c r="J259" t="s">
        <v>28</v>
      </c>
    </row>
    <row r="260" spans="1:10" x14ac:dyDescent="0.3">
      <c r="A260" t="s">
        <v>49</v>
      </c>
      <c r="B260">
        <v>35</v>
      </c>
      <c r="C260">
        <v>55000</v>
      </c>
      <c r="D260" t="s">
        <v>36</v>
      </c>
      <c r="E260" t="s">
        <v>12</v>
      </c>
      <c r="F260" t="s">
        <v>20</v>
      </c>
      <c r="G260" s="1">
        <v>43195</v>
      </c>
      <c r="H260" t="s">
        <v>14</v>
      </c>
      <c r="I260" t="s">
        <v>32</v>
      </c>
      <c r="J260" t="s">
        <v>23</v>
      </c>
    </row>
    <row r="261" spans="1:10" x14ac:dyDescent="0.3">
      <c r="A261" t="s">
        <v>47</v>
      </c>
      <c r="B261">
        <v>35</v>
      </c>
      <c r="C261" t="s">
        <v>34</v>
      </c>
      <c r="D261" t="s">
        <v>11</v>
      </c>
      <c r="E261" t="s">
        <v>30</v>
      </c>
      <c r="F261" t="s">
        <v>39</v>
      </c>
      <c r="G261" s="2">
        <v>43549</v>
      </c>
      <c r="H261" t="s">
        <v>14</v>
      </c>
      <c r="I261" t="s">
        <v>22</v>
      </c>
      <c r="J261" t="s">
        <v>28</v>
      </c>
    </row>
    <row r="262" spans="1:10" x14ac:dyDescent="0.3">
      <c r="A262" t="s">
        <v>47</v>
      </c>
      <c r="B262" t="s">
        <v>16</v>
      </c>
      <c r="C262">
        <v>65000</v>
      </c>
      <c r="D262" t="s">
        <v>11</v>
      </c>
      <c r="E262" t="s">
        <v>26</v>
      </c>
      <c r="F262" t="s">
        <v>20</v>
      </c>
      <c r="G262" s="2">
        <v>43845</v>
      </c>
      <c r="H262" t="s">
        <v>41</v>
      </c>
      <c r="J262" t="s">
        <v>45</v>
      </c>
    </row>
    <row r="263" spans="1:10" x14ac:dyDescent="0.3">
      <c r="A263" t="s">
        <v>47</v>
      </c>
      <c r="B263">
        <v>25</v>
      </c>
      <c r="C263" t="s">
        <v>34</v>
      </c>
      <c r="D263" t="s">
        <v>11</v>
      </c>
      <c r="E263" t="s">
        <v>37</v>
      </c>
      <c r="F263" t="s">
        <v>20</v>
      </c>
      <c r="G263" s="2">
        <v>43549</v>
      </c>
      <c r="H263" t="s">
        <v>27</v>
      </c>
      <c r="I263" t="s">
        <v>22</v>
      </c>
      <c r="J263" t="s">
        <v>28</v>
      </c>
    </row>
    <row r="264" spans="1:10" x14ac:dyDescent="0.3">
      <c r="A264" t="s">
        <v>46</v>
      </c>
      <c r="B264">
        <v>35</v>
      </c>
      <c r="C264">
        <v>65000</v>
      </c>
      <c r="D264" t="s">
        <v>11</v>
      </c>
      <c r="E264" t="s">
        <v>19</v>
      </c>
      <c r="F264" t="s">
        <v>43</v>
      </c>
      <c r="G264" s="1">
        <v>43195</v>
      </c>
      <c r="H264" t="s">
        <v>14</v>
      </c>
      <c r="I264" t="s">
        <v>32</v>
      </c>
      <c r="J264" t="s">
        <v>23</v>
      </c>
    </row>
    <row r="265" spans="1:10" x14ac:dyDescent="0.3">
      <c r="A265" t="s">
        <v>38</v>
      </c>
      <c r="B265">
        <v>35</v>
      </c>
      <c r="C265">
        <v>55000</v>
      </c>
      <c r="D265" t="s">
        <v>18</v>
      </c>
      <c r="E265" t="s">
        <v>26</v>
      </c>
      <c r="F265" t="s">
        <v>44</v>
      </c>
      <c r="G265" s="2">
        <v>43549</v>
      </c>
      <c r="H265" t="s">
        <v>21</v>
      </c>
      <c r="I265" t="s">
        <v>15</v>
      </c>
      <c r="J265" t="s">
        <v>23</v>
      </c>
    </row>
    <row r="266" spans="1:10" x14ac:dyDescent="0.3">
      <c r="A266" t="s">
        <v>49</v>
      </c>
      <c r="B266">
        <v>50</v>
      </c>
      <c r="C266">
        <v>65000</v>
      </c>
      <c r="D266" t="s">
        <v>11</v>
      </c>
      <c r="E266" t="s">
        <v>19</v>
      </c>
      <c r="F266" t="s">
        <v>13</v>
      </c>
      <c r="G266" s="2">
        <v>43845</v>
      </c>
      <c r="H266" t="s">
        <v>14</v>
      </c>
      <c r="I266" t="s">
        <v>22</v>
      </c>
      <c r="J266" t="s">
        <v>45</v>
      </c>
    </row>
    <row r="267" spans="1:10" x14ac:dyDescent="0.3">
      <c r="A267" t="s">
        <v>17</v>
      </c>
      <c r="B267" t="s">
        <v>42</v>
      </c>
      <c r="C267">
        <v>70000</v>
      </c>
      <c r="D267" t="s">
        <v>18</v>
      </c>
      <c r="E267" t="s">
        <v>12</v>
      </c>
      <c r="F267" t="s">
        <v>44</v>
      </c>
      <c r="G267" s="2">
        <v>43845</v>
      </c>
      <c r="H267" t="s">
        <v>31</v>
      </c>
      <c r="I267" t="s">
        <v>16</v>
      </c>
      <c r="J267" t="s">
        <v>23</v>
      </c>
    </row>
    <row r="268" spans="1:10" x14ac:dyDescent="0.3">
      <c r="A268" t="s">
        <v>48</v>
      </c>
      <c r="B268">
        <v>50</v>
      </c>
      <c r="C268">
        <v>70000</v>
      </c>
      <c r="D268" t="s">
        <v>11</v>
      </c>
      <c r="E268" t="s">
        <v>12</v>
      </c>
      <c r="F268" t="s">
        <v>20</v>
      </c>
      <c r="G268" s="2">
        <v>43549</v>
      </c>
      <c r="H268" t="s">
        <v>31</v>
      </c>
      <c r="I268" t="s">
        <v>16</v>
      </c>
      <c r="J268" t="s">
        <v>45</v>
      </c>
    </row>
    <row r="269" spans="1:10" x14ac:dyDescent="0.3">
      <c r="A269" t="s">
        <v>17</v>
      </c>
      <c r="B269">
        <v>50</v>
      </c>
      <c r="C269">
        <v>70000</v>
      </c>
      <c r="D269" t="s">
        <v>18</v>
      </c>
      <c r="E269" t="s">
        <v>12</v>
      </c>
      <c r="F269" t="s">
        <v>44</v>
      </c>
      <c r="G269" s="2">
        <v>43881</v>
      </c>
      <c r="H269" t="s">
        <v>31</v>
      </c>
      <c r="I269" t="s">
        <v>15</v>
      </c>
      <c r="J269" t="s">
        <v>45</v>
      </c>
    </row>
    <row r="270" spans="1:10" x14ac:dyDescent="0.3">
      <c r="A270" t="s">
        <v>48</v>
      </c>
      <c r="B270">
        <v>40</v>
      </c>
      <c r="C270">
        <v>50000</v>
      </c>
      <c r="D270" t="s">
        <v>36</v>
      </c>
      <c r="E270" t="s">
        <v>19</v>
      </c>
      <c r="F270" t="s">
        <v>43</v>
      </c>
      <c r="G270" s="1">
        <v>43195</v>
      </c>
      <c r="H270" t="s">
        <v>14</v>
      </c>
      <c r="I270" t="s">
        <v>32</v>
      </c>
      <c r="J270" t="s">
        <v>23</v>
      </c>
    </row>
    <row r="271" spans="1:10" x14ac:dyDescent="0.3">
      <c r="A271" t="s">
        <v>29</v>
      </c>
      <c r="B271">
        <v>25</v>
      </c>
      <c r="C271">
        <v>55000</v>
      </c>
      <c r="D271" t="s">
        <v>11</v>
      </c>
      <c r="E271" t="s">
        <v>26</v>
      </c>
      <c r="F271" t="s">
        <v>13</v>
      </c>
      <c r="G271" s="1">
        <v>43195</v>
      </c>
      <c r="H271" t="s">
        <v>41</v>
      </c>
      <c r="I271" t="s">
        <v>16</v>
      </c>
      <c r="J271" t="s">
        <v>33</v>
      </c>
    </row>
    <row r="272" spans="1:10" x14ac:dyDescent="0.3">
      <c r="A272" t="s">
        <v>17</v>
      </c>
      <c r="B272" t="s">
        <v>42</v>
      </c>
      <c r="C272" t="s">
        <v>34</v>
      </c>
      <c r="D272" t="s">
        <v>18</v>
      </c>
      <c r="E272" t="s">
        <v>12</v>
      </c>
      <c r="F272" t="s">
        <v>43</v>
      </c>
      <c r="G272" s="2">
        <v>43549</v>
      </c>
      <c r="H272" t="s">
        <v>21</v>
      </c>
      <c r="I272" t="s">
        <v>16</v>
      </c>
      <c r="J272" t="s">
        <v>45</v>
      </c>
    </row>
    <row r="273" spans="1:10" x14ac:dyDescent="0.3">
      <c r="A273" t="s">
        <v>24</v>
      </c>
      <c r="B273" t="s">
        <v>16</v>
      </c>
      <c r="C273" t="s">
        <v>34</v>
      </c>
      <c r="D273" t="s">
        <v>36</v>
      </c>
      <c r="E273" t="s">
        <v>26</v>
      </c>
      <c r="F273" t="s">
        <v>13</v>
      </c>
      <c r="G273" s="2">
        <v>43881</v>
      </c>
      <c r="H273" t="s">
        <v>14</v>
      </c>
      <c r="J273" t="s">
        <v>23</v>
      </c>
    </row>
    <row r="274" spans="1:10" x14ac:dyDescent="0.3">
      <c r="A274" t="s">
        <v>24</v>
      </c>
      <c r="B274" t="s">
        <v>16</v>
      </c>
      <c r="C274">
        <v>50000</v>
      </c>
      <c r="D274" t="s">
        <v>11</v>
      </c>
      <c r="E274" t="s">
        <v>19</v>
      </c>
      <c r="F274" t="s">
        <v>20</v>
      </c>
      <c r="G274" s="2">
        <v>43845</v>
      </c>
      <c r="H274" t="s">
        <v>41</v>
      </c>
      <c r="I274" t="s">
        <v>22</v>
      </c>
      <c r="J274" t="s">
        <v>33</v>
      </c>
    </row>
    <row r="275" spans="1:10" x14ac:dyDescent="0.3">
      <c r="A275" t="s">
        <v>10</v>
      </c>
      <c r="B275">
        <v>35</v>
      </c>
      <c r="C275">
        <v>65000</v>
      </c>
      <c r="D275" t="s">
        <v>11</v>
      </c>
      <c r="E275" t="s">
        <v>26</v>
      </c>
      <c r="F275" t="s">
        <v>13</v>
      </c>
      <c r="G275" t="s">
        <v>40</v>
      </c>
      <c r="H275" t="s">
        <v>41</v>
      </c>
      <c r="I275" t="s">
        <v>32</v>
      </c>
      <c r="J275" t="s">
        <v>45</v>
      </c>
    </row>
    <row r="276" spans="1:10" x14ac:dyDescent="0.3">
      <c r="A276" t="s">
        <v>38</v>
      </c>
      <c r="B276">
        <v>35</v>
      </c>
      <c r="C276">
        <v>50000</v>
      </c>
      <c r="D276" t="s">
        <v>11</v>
      </c>
      <c r="E276" t="s">
        <v>19</v>
      </c>
      <c r="F276" t="s">
        <v>13</v>
      </c>
      <c r="G276" t="s">
        <v>40</v>
      </c>
      <c r="H276" t="s">
        <v>14</v>
      </c>
      <c r="I276" t="s">
        <v>22</v>
      </c>
      <c r="J276" t="s">
        <v>33</v>
      </c>
    </row>
    <row r="277" spans="1:10" x14ac:dyDescent="0.3">
      <c r="A277" t="s">
        <v>48</v>
      </c>
      <c r="B277" t="s">
        <v>16</v>
      </c>
      <c r="C277">
        <v>65000</v>
      </c>
      <c r="D277" t="s">
        <v>18</v>
      </c>
      <c r="E277" t="s">
        <v>19</v>
      </c>
      <c r="F277" t="s">
        <v>13</v>
      </c>
      <c r="G277" s="2">
        <v>43549</v>
      </c>
      <c r="H277" t="s">
        <v>14</v>
      </c>
      <c r="I277" t="s">
        <v>32</v>
      </c>
      <c r="J277" t="s">
        <v>16</v>
      </c>
    </row>
    <row r="278" spans="1:10" x14ac:dyDescent="0.3">
      <c r="A278" t="s">
        <v>48</v>
      </c>
      <c r="B278">
        <v>35</v>
      </c>
      <c r="C278">
        <v>65000</v>
      </c>
      <c r="D278" t="s">
        <v>18</v>
      </c>
      <c r="E278" t="s">
        <v>37</v>
      </c>
      <c r="F278" t="s">
        <v>44</v>
      </c>
      <c r="G278" s="2">
        <v>43881</v>
      </c>
      <c r="H278" t="s">
        <v>41</v>
      </c>
      <c r="I278" t="s">
        <v>16</v>
      </c>
      <c r="J278" t="s">
        <v>16</v>
      </c>
    </row>
    <row r="279" spans="1:10" x14ac:dyDescent="0.3">
      <c r="A279" t="s">
        <v>38</v>
      </c>
      <c r="B279">
        <v>25</v>
      </c>
      <c r="C279" t="s">
        <v>25</v>
      </c>
      <c r="D279" t="s">
        <v>36</v>
      </c>
      <c r="E279" t="s">
        <v>19</v>
      </c>
      <c r="F279" t="s">
        <v>44</v>
      </c>
      <c r="G279" s="2">
        <v>43881</v>
      </c>
      <c r="H279" t="s">
        <v>41</v>
      </c>
      <c r="J279" t="s">
        <v>33</v>
      </c>
    </row>
    <row r="280" spans="1:10" x14ac:dyDescent="0.3">
      <c r="A280" t="s">
        <v>46</v>
      </c>
      <c r="B280">
        <v>50</v>
      </c>
      <c r="C280" t="s">
        <v>34</v>
      </c>
      <c r="D280" t="s">
        <v>18</v>
      </c>
      <c r="E280" t="s">
        <v>19</v>
      </c>
      <c r="F280" t="s">
        <v>20</v>
      </c>
      <c r="G280" s="1">
        <v>43195</v>
      </c>
      <c r="H280" t="s">
        <v>41</v>
      </c>
      <c r="I280" t="s">
        <v>22</v>
      </c>
      <c r="J280" t="s">
        <v>45</v>
      </c>
    </row>
    <row r="281" spans="1:10" x14ac:dyDescent="0.3">
      <c r="A281" t="s">
        <v>10</v>
      </c>
      <c r="B281">
        <v>35</v>
      </c>
      <c r="C281">
        <v>70000</v>
      </c>
      <c r="D281" t="s">
        <v>18</v>
      </c>
      <c r="E281" t="s">
        <v>30</v>
      </c>
      <c r="F281" t="s">
        <v>13</v>
      </c>
      <c r="G281" s="2">
        <v>43845</v>
      </c>
      <c r="H281" t="s">
        <v>14</v>
      </c>
      <c r="I281" t="s">
        <v>16</v>
      </c>
      <c r="J281" t="s">
        <v>23</v>
      </c>
    </row>
    <row r="282" spans="1:10" x14ac:dyDescent="0.3">
      <c r="A282" t="s">
        <v>46</v>
      </c>
      <c r="B282">
        <v>40</v>
      </c>
      <c r="C282">
        <v>65000</v>
      </c>
      <c r="D282" t="s">
        <v>11</v>
      </c>
      <c r="E282" t="s">
        <v>12</v>
      </c>
      <c r="F282" t="s">
        <v>39</v>
      </c>
      <c r="G282" s="2">
        <v>43881</v>
      </c>
      <c r="H282" t="s">
        <v>41</v>
      </c>
      <c r="I282" t="s">
        <v>32</v>
      </c>
      <c r="J282" t="s">
        <v>28</v>
      </c>
    </row>
    <row r="283" spans="1:10" x14ac:dyDescent="0.3">
      <c r="A283" t="s">
        <v>46</v>
      </c>
      <c r="B283">
        <v>35</v>
      </c>
      <c r="C283" t="s">
        <v>25</v>
      </c>
      <c r="D283" t="s">
        <v>11</v>
      </c>
      <c r="E283" t="s">
        <v>37</v>
      </c>
      <c r="F283" t="s">
        <v>20</v>
      </c>
      <c r="G283" t="s">
        <v>40</v>
      </c>
      <c r="H283" t="s">
        <v>31</v>
      </c>
      <c r="I283" t="s">
        <v>22</v>
      </c>
      <c r="J283" t="s">
        <v>23</v>
      </c>
    </row>
    <row r="284" spans="1:10" x14ac:dyDescent="0.3">
      <c r="A284" t="s">
        <v>46</v>
      </c>
      <c r="B284" t="s">
        <v>42</v>
      </c>
      <c r="C284" t="s">
        <v>34</v>
      </c>
      <c r="D284" t="s">
        <v>11</v>
      </c>
      <c r="E284" t="s">
        <v>37</v>
      </c>
      <c r="F284" t="s">
        <v>13</v>
      </c>
      <c r="G284" s="2">
        <v>43845</v>
      </c>
      <c r="H284" t="s">
        <v>14</v>
      </c>
      <c r="I284" t="s">
        <v>22</v>
      </c>
      <c r="J284" t="s">
        <v>28</v>
      </c>
    </row>
    <row r="285" spans="1:10" x14ac:dyDescent="0.3">
      <c r="A285" t="s">
        <v>38</v>
      </c>
      <c r="B285">
        <v>25</v>
      </c>
      <c r="C285">
        <v>70000</v>
      </c>
      <c r="D285" t="s">
        <v>11</v>
      </c>
      <c r="E285" t="s">
        <v>37</v>
      </c>
      <c r="F285" t="s">
        <v>13</v>
      </c>
      <c r="G285" s="2">
        <v>43845</v>
      </c>
      <c r="H285" t="s">
        <v>31</v>
      </c>
      <c r="I285" t="s">
        <v>16</v>
      </c>
      <c r="J285" t="s">
        <v>28</v>
      </c>
    </row>
    <row r="286" spans="1:10" x14ac:dyDescent="0.3">
      <c r="A286" t="s">
        <v>46</v>
      </c>
      <c r="B286" t="s">
        <v>42</v>
      </c>
      <c r="C286">
        <v>65000</v>
      </c>
      <c r="D286" t="s">
        <v>11</v>
      </c>
      <c r="E286" t="s">
        <v>30</v>
      </c>
      <c r="F286" t="s">
        <v>44</v>
      </c>
      <c r="G286" s="2">
        <v>43549</v>
      </c>
      <c r="H286" t="s">
        <v>27</v>
      </c>
      <c r="I286" t="s">
        <v>22</v>
      </c>
      <c r="J286" t="s">
        <v>45</v>
      </c>
    </row>
    <row r="287" spans="1:10" x14ac:dyDescent="0.3">
      <c r="A287" t="s">
        <v>24</v>
      </c>
      <c r="B287" t="s">
        <v>42</v>
      </c>
      <c r="C287">
        <v>65000</v>
      </c>
      <c r="D287" t="s">
        <v>11</v>
      </c>
      <c r="E287" t="s">
        <v>19</v>
      </c>
      <c r="F287" t="s">
        <v>20</v>
      </c>
      <c r="G287" s="2">
        <v>43881</v>
      </c>
      <c r="H287" t="s">
        <v>14</v>
      </c>
      <c r="J287" t="s">
        <v>33</v>
      </c>
    </row>
    <row r="288" spans="1:10" x14ac:dyDescent="0.3">
      <c r="A288" t="s">
        <v>47</v>
      </c>
      <c r="B288">
        <v>40</v>
      </c>
      <c r="C288">
        <v>50000</v>
      </c>
      <c r="D288" t="s">
        <v>11</v>
      </c>
      <c r="E288" t="s">
        <v>12</v>
      </c>
      <c r="F288" t="s">
        <v>13</v>
      </c>
      <c r="G288" s="2">
        <v>43549</v>
      </c>
      <c r="H288" t="s">
        <v>27</v>
      </c>
      <c r="J288" t="s">
        <v>23</v>
      </c>
    </row>
    <row r="289" spans="1:10" x14ac:dyDescent="0.3">
      <c r="A289" t="s">
        <v>29</v>
      </c>
      <c r="B289">
        <v>25</v>
      </c>
      <c r="C289">
        <v>50000</v>
      </c>
      <c r="D289" t="s">
        <v>36</v>
      </c>
      <c r="E289" t="s">
        <v>26</v>
      </c>
      <c r="F289" t="s">
        <v>13</v>
      </c>
      <c r="G289" s="2">
        <v>43881</v>
      </c>
      <c r="H289" t="s">
        <v>41</v>
      </c>
      <c r="I289" t="s">
        <v>16</v>
      </c>
      <c r="J289" t="s">
        <v>33</v>
      </c>
    </row>
    <row r="290" spans="1:10" x14ac:dyDescent="0.3">
      <c r="A290" t="s">
        <v>48</v>
      </c>
      <c r="B290">
        <v>25</v>
      </c>
      <c r="C290" t="s">
        <v>34</v>
      </c>
      <c r="D290" t="s">
        <v>36</v>
      </c>
      <c r="E290" t="s">
        <v>19</v>
      </c>
      <c r="F290" t="s">
        <v>20</v>
      </c>
      <c r="G290" s="1">
        <v>43195</v>
      </c>
      <c r="H290" t="s">
        <v>41</v>
      </c>
      <c r="I290" t="s">
        <v>32</v>
      </c>
      <c r="J290" t="s">
        <v>16</v>
      </c>
    </row>
    <row r="291" spans="1:10" x14ac:dyDescent="0.3">
      <c r="A291" t="s">
        <v>48</v>
      </c>
      <c r="B291">
        <v>25</v>
      </c>
      <c r="C291">
        <v>70000</v>
      </c>
      <c r="D291" t="s">
        <v>36</v>
      </c>
      <c r="E291" t="s">
        <v>30</v>
      </c>
      <c r="F291" t="s">
        <v>39</v>
      </c>
      <c r="G291" s="2">
        <v>43549</v>
      </c>
      <c r="H291" t="s">
        <v>21</v>
      </c>
      <c r="I291" t="s">
        <v>16</v>
      </c>
      <c r="J291" t="s">
        <v>45</v>
      </c>
    </row>
    <row r="292" spans="1:10" x14ac:dyDescent="0.3">
      <c r="A292" t="s">
        <v>29</v>
      </c>
      <c r="B292">
        <v>25</v>
      </c>
      <c r="C292">
        <v>65000</v>
      </c>
      <c r="D292" t="s">
        <v>36</v>
      </c>
      <c r="E292" t="s">
        <v>19</v>
      </c>
      <c r="F292" t="s">
        <v>20</v>
      </c>
      <c r="G292" s="2">
        <v>43549</v>
      </c>
      <c r="H292" t="s">
        <v>41</v>
      </c>
      <c r="J292" t="s">
        <v>45</v>
      </c>
    </row>
    <row r="293" spans="1:10" x14ac:dyDescent="0.3">
      <c r="A293" t="s">
        <v>38</v>
      </c>
      <c r="B293">
        <v>25</v>
      </c>
      <c r="C293" t="s">
        <v>34</v>
      </c>
      <c r="D293" t="s">
        <v>11</v>
      </c>
      <c r="E293" t="s">
        <v>19</v>
      </c>
      <c r="F293" t="s">
        <v>20</v>
      </c>
      <c r="G293" t="s">
        <v>40</v>
      </c>
      <c r="H293" t="s">
        <v>27</v>
      </c>
      <c r="I293" t="s">
        <v>15</v>
      </c>
      <c r="J293" t="s">
        <v>16</v>
      </c>
    </row>
    <row r="294" spans="1:10" x14ac:dyDescent="0.3">
      <c r="A294" t="s">
        <v>17</v>
      </c>
      <c r="B294">
        <v>40</v>
      </c>
      <c r="C294" t="s">
        <v>34</v>
      </c>
      <c r="D294" t="s">
        <v>36</v>
      </c>
      <c r="E294" t="s">
        <v>30</v>
      </c>
      <c r="F294" t="s">
        <v>39</v>
      </c>
      <c r="G294" s="2">
        <v>43549</v>
      </c>
      <c r="H294" t="s">
        <v>41</v>
      </c>
      <c r="I294" t="s">
        <v>15</v>
      </c>
      <c r="J294" t="s">
        <v>23</v>
      </c>
    </row>
    <row r="295" spans="1:10" x14ac:dyDescent="0.3">
      <c r="A295" t="s">
        <v>38</v>
      </c>
      <c r="B295">
        <v>35</v>
      </c>
      <c r="C295">
        <v>55000</v>
      </c>
      <c r="D295" t="s">
        <v>11</v>
      </c>
      <c r="E295" t="s">
        <v>37</v>
      </c>
      <c r="F295" t="s">
        <v>20</v>
      </c>
      <c r="G295" s="2">
        <v>43881</v>
      </c>
      <c r="H295" t="s">
        <v>14</v>
      </c>
      <c r="I295" t="s">
        <v>22</v>
      </c>
      <c r="J295" t="s">
        <v>16</v>
      </c>
    </row>
    <row r="296" spans="1:10" x14ac:dyDescent="0.3">
      <c r="A296" t="s">
        <v>48</v>
      </c>
      <c r="B296" t="s">
        <v>42</v>
      </c>
      <c r="C296">
        <v>50000</v>
      </c>
      <c r="D296" t="s">
        <v>36</v>
      </c>
      <c r="E296" t="s">
        <v>37</v>
      </c>
      <c r="F296" t="s">
        <v>13</v>
      </c>
      <c r="G296" t="s">
        <v>40</v>
      </c>
      <c r="H296" t="s">
        <v>41</v>
      </c>
      <c r="I296" t="s">
        <v>22</v>
      </c>
      <c r="J296" t="s">
        <v>23</v>
      </c>
    </row>
    <row r="297" spans="1:10" x14ac:dyDescent="0.3">
      <c r="A297" t="s">
        <v>48</v>
      </c>
      <c r="B297">
        <v>25</v>
      </c>
      <c r="C297">
        <v>70000</v>
      </c>
      <c r="D297" t="s">
        <v>18</v>
      </c>
      <c r="E297" t="s">
        <v>12</v>
      </c>
      <c r="F297" t="s">
        <v>20</v>
      </c>
      <c r="G297" s="2">
        <v>43549</v>
      </c>
      <c r="H297" t="s">
        <v>21</v>
      </c>
      <c r="I297" t="s">
        <v>15</v>
      </c>
      <c r="J297" t="s">
        <v>28</v>
      </c>
    </row>
    <row r="298" spans="1:10" x14ac:dyDescent="0.3">
      <c r="A298" t="s">
        <v>29</v>
      </c>
      <c r="B298">
        <v>35</v>
      </c>
      <c r="C298">
        <v>65000</v>
      </c>
      <c r="D298" t="s">
        <v>36</v>
      </c>
      <c r="E298" t="s">
        <v>12</v>
      </c>
      <c r="F298" t="s">
        <v>39</v>
      </c>
      <c r="G298" s="2">
        <v>43549</v>
      </c>
      <c r="H298" t="s">
        <v>41</v>
      </c>
      <c r="J298" t="s">
        <v>45</v>
      </c>
    </row>
    <row r="299" spans="1:10" x14ac:dyDescent="0.3">
      <c r="A299" t="s">
        <v>46</v>
      </c>
      <c r="B299">
        <v>35</v>
      </c>
      <c r="C299" t="s">
        <v>34</v>
      </c>
      <c r="D299" t="s">
        <v>36</v>
      </c>
      <c r="E299" t="s">
        <v>37</v>
      </c>
      <c r="F299" t="s">
        <v>43</v>
      </c>
      <c r="G299" s="1">
        <v>43195</v>
      </c>
      <c r="H299" t="s">
        <v>27</v>
      </c>
      <c r="I299" t="s">
        <v>22</v>
      </c>
      <c r="J299" t="s">
        <v>23</v>
      </c>
    </row>
    <row r="300" spans="1:10" x14ac:dyDescent="0.3">
      <c r="A300" t="s">
        <v>38</v>
      </c>
      <c r="B300" t="s">
        <v>42</v>
      </c>
      <c r="C300">
        <v>65000</v>
      </c>
      <c r="D300" t="s">
        <v>11</v>
      </c>
      <c r="E300" t="s">
        <v>26</v>
      </c>
      <c r="F300" t="s">
        <v>20</v>
      </c>
      <c r="G300" s="2">
        <v>43549</v>
      </c>
      <c r="H300" t="s">
        <v>27</v>
      </c>
      <c r="I300" t="s">
        <v>16</v>
      </c>
      <c r="J300" t="s">
        <v>33</v>
      </c>
    </row>
    <row r="301" spans="1:10" x14ac:dyDescent="0.3">
      <c r="A301" t="s">
        <v>49</v>
      </c>
      <c r="B301">
        <v>40</v>
      </c>
      <c r="C301">
        <v>55000</v>
      </c>
      <c r="D301" t="s">
        <v>36</v>
      </c>
      <c r="E301" t="s">
        <v>19</v>
      </c>
      <c r="F301" t="s">
        <v>44</v>
      </c>
      <c r="G301" s="2">
        <v>43845</v>
      </c>
      <c r="H301" t="s">
        <v>41</v>
      </c>
      <c r="I301" t="s">
        <v>16</v>
      </c>
      <c r="J301" t="s">
        <v>33</v>
      </c>
    </row>
    <row r="302" spans="1:10" x14ac:dyDescent="0.3">
      <c r="A302" t="s">
        <v>29</v>
      </c>
      <c r="B302" t="s">
        <v>16</v>
      </c>
      <c r="C302">
        <v>70000</v>
      </c>
      <c r="D302" t="s">
        <v>18</v>
      </c>
      <c r="E302" t="s">
        <v>26</v>
      </c>
      <c r="F302" t="s">
        <v>13</v>
      </c>
      <c r="G302" t="s">
        <v>40</v>
      </c>
      <c r="H302" t="s">
        <v>27</v>
      </c>
      <c r="J302" t="s">
        <v>45</v>
      </c>
    </row>
    <row r="303" spans="1:10" x14ac:dyDescent="0.3">
      <c r="A303" t="s">
        <v>24</v>
      </c>
      <c r="B303" t="s">
        <v>16</v>
      </c>
      <c r="C303" t="s">
        <v>34</v>
      </c>
      <c r="D303" t="s">
        <v>11</v>
      </c>
      <c r="E303" t="s">
        <v>19</v>
      </c>
      <c r="F303" t="s">
        <v>13</v>
      </c>
      <c r="G303" s="2">
        <v>43845</v>
      </c>
      <c r="H303" t="s">
        <v>27</v>
      </c>
      <c r="I303" t="s">
        <v>22</v>
      </c>
      <c r="J303" t="s">
        <v>16</v>
      </c>
    </row>
    <row r="304" spans="1:10" x14ac:dyDescent="0.3">
      <c r="A304" t="s">
        <v>48</v>
      </c>
      <c r="B304">
        <v>35</v>
      </c>
      <c r="C304">
        <v>65000</v>
      </c>
      <c r="D304" t="s">
        <v>11</v>
      </c>
      <c r="E304" t="s">
        <v>37</v>
      </c>
      <c r="F304" t="s">
        <v>44</v>
      </c>
      <c r="G304" t="s">
        <v>40</v>
      </c>
      <c r="H304" t="s">
        <v>21</v>
      </c>
      <c r="I304" t="s">
        <v>16</v>
      </c>
      <c r="J304" t="s">
        <v>16</v>
      </c>
    </row>
    <row r="305" spans="1:10" x14ac:dyDescent="0.3">
      <c r="A305" t="s">
        <v>29</v>
      </c>
      <c r="B305">
        <v>50</v>
      </c>
      <c r="C305">
        <v>50000</v>
      </c>
      <c r="D305" t="s">
        <v>36</v>
      </c>
      <c r="E305" t="s">
        <v>12</v>
      </c>
      <c r="F305" t="s">
        <v>44</v>
      </c>
      <c r="G305" s="1">
        <v>43195</v>
      </c>
      <c r="H305" t="s">
        <v>14</v>
      </c>
      <c r="I305" t="s">
        <v>22</v>
      </c>
      <c r="J305" t="s">
        <v>23</v>
      </c>
    </row>
    <row r="306" spans="1:10" x14ac:dyDescent="0.3">
      <c r="A306" t="s">
        <v>38</v>
      </c>
      <c r="B306">
        <v>50</v>
      </c>
      <c r="C306">
        <v>55000</v>
      </c>
      <c r="D306" t="s">
        <v>11</v>
      </c>
      <c r="E306" t="s">
        <v>12</v>
      </c>
      <c r="F306" t="s">
        <v>20</v>
      </c>
      <c r="G306" s="2">
        <v>43549</v>
      </c>
      <c r="H306" t="s">
        <v>21</v>
      </c>
      <c r="I306" t="s">
        <v>22</v>
      </c>
      <c r="J306" t="s">
        <v>16</v>
      </c>
    </row>
    <row r="307" spans="1:10" x14ac:dyDescent="0.3">
      <c r="A307" t="s">
        <v>48</v>
      </c>
      <c r="B307" t="s">
        <v>42</v>
      </c>
      <c r="C307">
        <v>70000</v>
      </c>
      <c r="D307" t="s">
        <v>11</v>
      </c>
      <c r="E307" t="s">
        <v>26</v>
      </c>
      <c r="F307" t="s">
        <v>44</v>
      </c>
      <c r="G307" s="2">
        <v>43549</v>
      </c>
      <c r="H307" t="s">
        <v>31</v>
      </c>
      <c r="I307" t="s">
        <v>16</v>
      </c>
      <c r="J307" t="s">
        <v>45</v>
      </c>
    </row>
    <row r="308" spans="1:10" x14ac:dyDescent="0.3">
      <c r="A308" t="s">
        <v>17</v>
      </c>
      <c r="B308" t="s">
        <v>16</v>
      </c>
      <c r="C308">
        <v>55000</v>
      </c>
      <c r="D308" t="s">
        <v>11</v>
      </c>
      <c r="E308" t="s">
        <v>12</v>
      </c>
      <c r="F308" t="s">
        <v>43</v>
      </c>
      <c r="G308" s="2">
        <v>43549</v>
      </c>
      <c r="H308" t="s">
        <v>21</v>
      </c>
      <c r="I308" t="s">
        <v>15</v>
      </c>
      <c r="J308" t="s">
        <v>23</v>
      </c>
    </row>
    <row r="309" spans="1:10" x14ac:dyDescent="0.3">
      <c r="A309" t="s">
        <v>29</v>
      </c>
      <c r="B309">
        <v>35</v>
      </c>
      <c r="C309">
        <v>50000</v>
      </c>
      <c r="D309" t="s">
        <v>11</v>
      </c>
      <c r="E309" t="s">
        <v>37</v>
      </c>
      <c r="F309" t="s">
        <v>39</v>
      </c>
      <c r="G309" t="s">
        <v>40</v>
      </c>
      <c r="H309" t="s">
        <v>41</v>
      </c>
      <c r="I309" t="s">
        <v>16</v>
      </c>
      <c r="J309" t="s">
        <v>28</v>
      </c>
    </row>
    <row r="310" spans="1:10" x14ac:dyDescent="0.3">
      <c r="A310" t="s">
        <v>10</v>
      </c>
      <c r="B310">
        <v>40</v>
      </c>
      <c r="C310">
        <v>70000</v>
      </c>
      <c r="D310" t="s">
        <v>11</v>
      </c>
      <c r="E310" t="s">
        <v>26</v>
      </c>
      <c r="F310" t="s">
        <v>44</v>
      </c>
      <c r="G310" s="2">
        <v>43549</v>
      </c>
      <c r="H310" t="s">
        <v>14</v>
      </c>
      <c r="J310" t="s">
        <v>16</v>
      </c>
    </row>
    <row r="311" spans="1:10" x14ac:dyDescent="0.3">
      <c r="A311" t="s">
        <v>48</v>
      </c>
      <c r="B311" t="s">
        <v>16</v>
      </c>
      <c r="C311">
        <v>55000</v>
      </c>
      <c r="D311" t="s">
        <v>11</v>
      </c>
      <c r="E311" t="s">
        <v>19</v>
      </c>
      <c r="F311" t="s">
        <v>44</v>
      </c>
      <c r="G311" s="2">
        <v>43845</v>
      </c>
      <c r="H311" t="s">
        <v>41</v>
      </c>
      <c r="I311" t="s">
        <v>32</v>
      </c>
      <c r="J311" t="s">
        <v>16</v>
      </c>
    </row>
    <row r="312" spans="1:10" x14ac:dyDescent="0.3">
      <c r="A312" t="s">
        <v>38</v>
      </c>
      <c r="B312">
        <v>35</v>
      </c>
      <c r="C312" t="s">
        <v>25</v>
      </c>
      <c r="D312" t="s">
        <v>18</v>
      </c>
      <c r="E312" t="s">
        <v>12</v>
      </c>
      <c r="F312" t="s">
        <v>43</v>
      </c>
      <c r="G312" s="2">
        <v>43549</v>
      </c>
      <c r="H312" t="s">
        <v>31</v>
      </c>
      <c r="I312" t="s">
        <v>16</v>
      </c>
      <c r="J312" t="s">
        <v>23</v>
      </c>
    </row>
    <row r="313" spans="1:10" x14ac:dyDescent="0.3">
      <c r="A313" t="s">
        <v>47</v>
      </c>
      <c r="B313">
        <v>35</v>
      </c>
      <c r="C313">
        <v>50000</v>
      </c>
      <c r="D313" t="s">
        <v>36</v>
      </c>
      <c r="E313" t="s">
        <v>30</v>
      </c>
      <c r="F313" t="s">
        <v>13</v>
      </c>
      <c r="G313" s="1">
        <v>43195</v>
      </c>
      <c r="H313" t="s">
        <v>14</v>
      </c>
      <c r="I313" t="s">
        <v>22</v>
      </c>
      <c r="J313" t="s">
        <v>33</v>
      </c>
    </row>
    <row r="314" spans="1:10" x14ac:dyDescent="0.3">
      <c r="A314" t="s">
        <v>49</v>
      </c>
      <c r="B314">
        <v>25</v>
      </c>
      <c r="C314">
        <v>50000</v>
      </c>
      <c r="D314" t="s">
        <v>18</v>
      </c>
      <c r="E314" t="s">
        <v>12</v>
      </c>
      <c r="F314" t="s">
        <v>13</v>
      </c>
      <c r="G314" s="2">
        <v>43845</v>
      </c>
      <c r="H314" t="s">
        <v>27</v>
      </c>
      <c r="I314" t="s">
        <v>22</v>
      </c>
      <c r="J314" t="s">
        <v>16</v>
      </c>
    </row>
    <row r="315" spans="1:10" x14ac:dyDescent="0.3">
      <c r="A315" t="s">
        <v>35</v>
      </c>
      <c r="B315">
        <v>40</v>
      </c>
      <c r="C315">
        <v>50000</v>
      </c>
      <c r="D315" t="s">
        <v>11</v>
      </c>
      <c r="E315" t="s">
        <v>19</v>
      </c>
      <c r="F315" t="s">
        <v>20</v>
      </c>
      <c r="G315" s="2">
        <v>43549</v>
      </c>
      <c r="H315" t="s">
        <v>21</v>
      </c>
      <c r="I315" t="s">
        <v>16</v>
      </c>
      <c r="J315" t="s">
        <v>45</v>
      </c>
    </row>
    <row r="316" spans="1:10" x14ac:dyDescent="0.3">
      <c r="A316" t="s">
        <v>46</v>
      </c>
      <c r="B316">
        <v>25</v>
      </c>
      <c r="C316" t="s">
        <v>25</v>
      </c>
      <c r="D316" t="s">
        <v>11</v>
      </c>
      <c r="E316" t="s">
        <v>26</v>
      </c>
      <c r="F316" t="s">
        <v>43</v>
      </c>
      <c r="G316" s="2">
        <v>43549</v>
      </c>
      <c r="H316" t="s">
        <v>41</v>
      </c>
      <c r="I316" t="s">
        <v>32</v>
      </c>
      <c r="J316" t="s">
        <v>16</v>
      </c>
    </row>
    <row r="317" spans="1:10" x14ac:dyDescent="0.3">
      <c r="A317" t="s">
        <v>35</v>
      </c>
      <c r="B317" t="s">
        <v>42</v>
      </c>
      <c r="C317" t="s">
        <v>25</v>
      </c>
      <c r="D317" t="s">
        <v>36</v>
      </c>
      <c r="E317" t="s">
        <v>19</v>
      </c>
      <c r="F317" t="s">
        <v>39</v>
      </c>
      <c r="G317" s="2">
        <v>43881</v>
      </c>
      <c r="H317" t="s">
        <v>31</v>
      </c>
      <c r="I317" t="s">
        <v>16</v>
      </c>
      <c r="J317" t="s">
        <v>28</v>
      </c>
    </row>
    <row r="318" spans="1:10" x14ac:dyDescent="0.3">
      <c r="A318" t="s">
        <v>38</v>
      </c>
      <c r="B318">
        <v>25</v>
      </c>
      <c r="C318">
        <v>65000</v>
      </c>
      <c r="D318" t="s">
        <v>18</v>
      </c>
      <c r="E318" t="s">
        <v>30</v>
      </c>
      <c r="F318" t="s">
        <v>39</v>
      </c>
      <c r="G318" t="s">
        <v>40</v>
      </c>
      <c r="H318" t="s">
        <v>27</v>
      </c>
      <c r="I318" t="s">
        <v>32</v>
      </c>
      <c r="J318" t="s">
        <v>16</v>
      </c>
    </row>
    <row r="319" spans="1:10" x14ac:dyDescent="0.3">
      <c r="A319" t="s">
        <v>24</v>
      </c>
      <c r="B319">
        <v>25</v>
      </c>
      <c r="C319" t="s">
        <v>34</v>
      </c>
      <c r="D319" t="s">
        <v>36</v>
      </c>
      <c r="E319" t="s">
        <v>37</v>
      </c>
      <c r="F319" t="s">
        <v>43</v>
      </c>
      <c r="G319" s="2">
        <v>43845</v>
      </c>
      <c r="H319" t="s">
        <v>21</v>
      </c>
      <c r="I319" t="s">
        <v>32</v>
      </c>
      <c r="J319" t="s">
        <v>33</v>
      </c>
    </row>
    <row r="320" spans="1:10" x14ac:dyDescent="0.3">
      <c r="A320" t="s">
        <v>24</v>
      </c>
      <c r="B320" t="s">
        <v>16</v>
      </c>
      <c r="C320">
        <v>55000</v>
      </c>
      <c r="D320" t="s">
        <v>18</v>
      </c>
      <c r="E320" t="s">
        <v>12</v>
      </c>
      <c r="F320" t="s">
        <v>39</v>
      </c>
      <c r="G320" s="2">
        <v>43881</v>
      </c>
      <c r="H320" t="s">
        <v>27</v>
      </c>
      <c r="J320" t="s">
        <v>16</v>
      </c>
    </row>
    <row r="321" spans="1:10" x14ac:dyDescent="0.3">
      <c r="A321" t="s">
        <v>47</v>
      </c>
      <c r="B321">
        <v>50</v>
      </c>
      <c r="C321">
        <v>65000</v>
      </c>
      <c r="D321" t="s">
        <v>11</v>
      </c>
      <c r="E321" t="s">
        <v>26</v>
      </c>
      <c r="F321" t="s">
        <v>13</v>
      </c>
      <c r="G321" s="1">
        <v>43195</v>
      </c>
      <c r="H321" t="s">
        <v>21</v>
      </c>
      <c r="I321" t="s">
        <v>22</v>
      </c>
      <c r="J321" t="s">
        <v>23</v>
      </c>
    </row>
    <row r="322" spans="1:10" x14ac:dyDescent="0.3">
      <c r="A322" t="s">
        <v>46</v>
      </c>
      <c r="B322">
        <v>35</v>
      </c>
      <c r="C322">
        <v>55000</v>
      </c>
      <c r="D322" t="s">
        <v>36</v>
      </c>
      <c r="E322" t="s">
        <v>37</v>
      </c>
      <c r="F322" t="s">
        <v>39</v>
      </c>
      <c r="G322" t="s">
        <v>40</v>
      </c>
      <c r="H322" t="s">
        <v>14</v>
      </c>
      <c r="I322" t="s">
        <v>22</v>
      </c>
      <c r="J322" t="s">
        <v>16</v>
      </c>
    </row>
    <row r="323" spans="1:10" x14ac:dyDescent="0.3">
      <c r="A323" t="s">
        <v>10</v>
      </c>
      <c r="B323">
        <v>40</v>
      </c>
      <c r="C323" t="s">
        <v>34</v>
      </c>
      <c r="D323" t="s">
        <v>36</v>
      </c>
      <c r="E323" t="s">
        <v>19</v>
      </c>
      <c r="F323" t="s">
        <v>39</v>
      </c>
      <c r="G323" s="2">
        <v>43845</v>
      </c>
      <c r="H323" t="s">
        <v>27</v>
      </c>
      <c r="I323" t="s">
        <v>32</v>
      </c>
      <c r="J323" t="s">
        <v>33</v>
      </c>
    </row>
    <row r="324" spans="1:10" x14ac:dyDescent="0.3">
      <c r="A324" t="s">
        <v>47</v>
      </c>
      <c r="B324">
        <v>25</v>
      </c>
      <c r="C324" t="s">
        <v>25</v>
      </c>
      <c r="D324" t="s">
        <v>11</v>
      </c>
      <c r="E324" t="s">
        <v>26</v>
      </c>
      <c r="F324" t="s">
        <v>43</v>
      </c>
      <c r="G324" s="2">
        <v>43549</v>
      </c>
      <c r="H324" t="s">
        <v>27</v>
      </c>
      <c r="I324" t="s">
        <v>22</v>
      </c>
      <c r="J324" t="s">
        <v>23</v>
      </c>
    </row>
    <row r="325" spans="1:10" x14ac:dyDescent="0.3">
      <c r="A325" t="s">
        <v>35</v>
      </c>
      <c r="B325">
        <v>40</v>
      </c>
      <c r="C325" t="s">
        <v>34</v>
      </c>
      <c r="D325" t="s">
        <v>36</v>
      </c>
      <c r="E325" t="s">
        <v>37</v>
      </c>
      <c r="F325" t="s">
        <v>43</v>
      </c>
      <c r="G325" s="2">
        <v>43845</v>
      </c>
      <c r="H325" t="s">
        <v>27</v>
      </c>
      <c r="I325" t="s">
        <v>15</v>
      </c>
      <c r="J325" t="s">
        <v>45</v>
      </c>
    </row>
    <row r="326" spans="1:10" x14ac:dyDescent="0.3">
      <c r="A326" t="s">
        <v>47</v>
      </c>
      <c r="B326">
        <v>50</v>
      </c>
      <c r="C326" t="s">
        <v>25</v>
      </c>
      <c r="D326" t="s">
        <v>18</v>
      </c>
      <c r="E326" t="s">
        <v>26</v>
      </c>
      <c r="F326" t="s">
        <v>39</v>
      </c>
      <c r="G326" s="2">
        <v>43549</v>
      </c>
      <c r="H326" t="s">
        <v>14</v>
      </c>
      <c r="I326" t="s">
        <v>32</v>
      </c>
      <c r="J326" t="s">
        <v>23</v>
      </c>
    </row>
    <row r="327" spans="1:10" x14ac:dyDescent="0.3">
      <c r="A327" t="s">
        <v>35</v>
      </c>
      <c r="B327">
        <v>50</v>
      </c>
      <c r="C327" t="s">
        <v>34</v>
      </c>
      <c r="D327" t="s">
        <v>18</v>
      </c>
      <c r="E327" t="s">
        <v>30</v>
      </c>
      <c r="F327" t="s">
        <v>44</v>
      </c>
      <c r="G327" t="s">
        <v>40</v>
      </c>
      <c r="H327" t="s">
        <v>31</v>
      </c>
      <c r="I327" t="s">
        <v>22</v>
      </c>
      <c r="J327" t="s">
        <v>28</v>
      </c>
    </row>
    <row r="328" spans="1:10" x14ac:dyDescent="0.3">
      <c r="A328" t="s">
        <v>48</v>
      </c>
      <c r="B328">
        <v>25</v>
      </c>
      <c r="C328">
        <v>65000</v>
      </c>
      <c r="D328" t="s">
        <v>18</v>
      </c>
      <c r="E328" t="s">
        <v>30</v>
      </c>
      <c r="F328" t="s">
        <v>43</v>
      </c>
      <c r="G328" s="2">
        <v>43549</v>
      </c>
      <c r="H328" t="s">
        <v>21</v>
      </c>
      <c r="I328" t="s">
        <v>15</v>
      </c>
      <c r="J328" t="s">
        <v>23</v>
      </c>
    </row>
    <row r="329" spans="1:10" x14ac:dyDescent="0.3">
      <c r="A329" t="s">
        <v>24</v>
      </c>
      <c r="B329" t="s">
        <v>42</v>
      </c>
      <c r="C329">
        <v>70000</v>
      </c>
      <c r="D329" t="s">
        <v>18</v>
      </c>
      <c r="E329" t="s">
        <v>12</v>
      </c>
      <c r="F329" t="s">
        <v>20</v>
      </c>
      <c r="G329" s="1">
        <v>43195</v>
      </c>
      <c r="H329" t="s">
        <v>27</v>
      </c>
      <c r="J329" t="s">
        <v>45</v>
      </c>
    </row>
    <row r="330" spans="1:10" x14ac:dyDescent="0.3">
      <c r="A330" t="s">
        <v>48</v>
      </c>
      <c r="B330">
        <v>25</v>
      </c>
      <c r="C330">
        <v>65000</v>
      </c>
      <c r="D330" t="s">
        <v>11</v>
      </c>
      <c r="E330" t="s">
        <v>12</v>
      </c>
      <c r="F330" t="s">
        <v>20</v>
      </c>
      <c r="G330" s="2">
        <v>43549</v>
      </c>
      <c r="H330" t="s">
        <v>14</v>
      </c>
      <c r="I330" t="s">
        <v>22</v>
      </c>
      <c r="J330" t="s">
        <v>16</v>
      </c>
    </row>
    <row r="331" spans="1:10" x14ac:dyDescent="0.3">
      <c r="A331" t="s">
        <v>49</v>
      </c>
      <c r="B331" t="s">
        <v>16</v>
      </c>
      <c r="C331">
        <v>55000</v>
      </c>
      <c r="D331" t="s">
        <v>36</v>
      </c>
      <c r="E331" t="s">
        <v>30</v>
      </c>
      <c r="F331" t="s">
        <v>13</v>
      </c>
      <c r="G331" s="1">
        <v>43195</v>
      </c>
      <c r="H331" t="s">
        <v>31</v>
      </c>
      <c r="I331" t="s">
        <v>15</v>
      </c>
      <c r="J331" t="s">
        <v>23</v>
      </c>
    </row>
    <row r="332" spans="1:10" x14ac:dyDescent="0.3">
      <c r="A332" t="s">
        <v>46</v>
      </c>
      <c r="B332">
        <v>35</v>
      </c>
      <c r="C332">
        <v>65000</v>
      </c>
      <c r="D332" t="s">
        <v>18</v>
      </c>
      <c r="E332" t="s">
        <v>26</v>
      </c>
      <c r="F332" t="s">
        <v>39</v>
      </c>
      <c r="G332" t="s">
        <v>40</v>
      </c>
      <c r="H332" t="s">
        <v>21</v>
      </c>
      <c r="I332" t="s">
        <v>16</v>
      </c>
      <c r="J332" t="s">
        <v>23</v>
      </c>
    </row>
    <row r="333" spans="1:10" x14ac:dyDescent="0.3">
      <c r="A333" t="s">
        <v>10</v>
      </c>
      <c r="B333" t="s">
        <v>42</v>
      </c>
      <c r="C333">
        <v>50000</v>
      </c>
      <c r="D333" t="s">
        <v>11</v>
      </c>
      <c r="E333" t="s">
        <v>30</v>
      </c>
      <c r="F333" t="s">
        <v>44</v>
      </c>
      <c r="G333" t="s">
        <v>40</v>
      </c>
      <c r="H333" t="s">
        <v>14</v>
      </c>
      <c r="I333" t="s">
        <v>16</v>
      </c>
      <c r="J333" t="s">
        <v>23</v>
      </c>
    </row>
    <row r="334" spans="1:10" x14ac:dyDescent="0.3">
      <c r="A334" t="s">
        <v>35</v>
      </c>
      <c r="B334">
        <v>25</v>
      </c>
      <c r="C334">
        <v>55000</v>
      </c>
      <c r="D334" t="s">
        <v>36</v>
      </c>
      <c r="E334" t="s">
        <v>12</v>
      </c>
      <c r="F334" t="s">
        <v>13</v>
      </c>
      <c r="G334" s="2">
        <v>43845</v>
      </c>
      <c r="H334" t="s">
        <v>21</v>
      </c>
      <c r="I334" t="s">
        <v>15</v>
      </c>
      <c r="J334" t="s">
        <v>23</v>
      </c>
    </row>
    <row r="335" spans="1:10" x14ac:dyDescent="0.3">
      <c r="A335" t="s">
        <v>10</v>
      </c>
      <c r="B335">
        <v>40</v>
      </c>
      <c r="C335" t="s">
        <v>34</v>
      </c>
      <c r="D335" t="s">
        <v>36</v>
      </c>
      <c r="E335" t="s">
        <v>30</v>
      </c>
      <c r="F335" t="s">
        <v>39</v>
      </c>
      <c r="G335" s="1">
        <v>43195</v>
      </c>
      <c r="H335" t="s">
        <v>27</v>
      </c>
      <c r="I335" t="s">
        <v>32</v>
      </c>
      <c r="J335" t="s">
        <v>45</v>
      </c>
    </row>
    <row r="336" spans="1:10" x14ac:dyDescent="0.3">
      <c r="A336" t="s">
        <v>35</v>
      </c>
      <c r="B336" t="s">
        <v>42</v>
      </c>
      <c r="C336">
        <v>55000</v>
      </c>
      <c r="D336" t="s">
        <v>11</v>
      </c>
      <c r="E336" t="s">
        <v>30</v>
      </c>
      <c r="F336" t="s">
        <v>43</v>
      </c>
      <c r="G336" s="1">
        <v>43195</v>
      </c>
      <c r="H336" t="s">
        <v>31</v>
      </c>
      <c r="I336" t="s">
        <v>32</v>
      </c>
      <c r="J336" t="s">
        <v>33</v>
      </c>
    </row>
    <row r="337" spans="1:10" x14ac:dyDescent="0.3">
      <c r="A337" t="s">
        <v>38</v>
      </c>
      <c r="B337" t="s">
        <v>42</v>
      </c>
      <c r="C337">
        <v>70000</v>
      </c>
      <c r="D337" t="s">
        <v>11</v>
      </c>
      <c r="E337" t="s">
        <v>26</v>
      </c>
      <c r="F337" t="s">
        <v>20</v>
      </c>
      <c r="G337" s="2">
        <v>43881</v>
      </c>
      <c r="H337" t="s">
        <v>14</v>
      </c>
      <c r="I337" t="s">
        <v>22</v>
      </c>
      <c r="J337" t="s">
        <v>33</v>
      </c>
    </row>
    <row r="338" spans="1:10" x14ac:dyDescent="0.3">
      <c r="A338" t="s">
        <v>47</v>
      </c>
      <c r="B338">
        <v>25</v>
      </c>
      <c r="C338" t="s">
        <v>25</v>
      </c>
      <c r="D338" t="s">
        <v>18</v>
      </c>
      <c r="E338" t="s">
        <v>37</v>
      </c>
      <c r="F338" t="s">
        <v>44</v>
      </c>
      <c r="G338" s="2">
        <v>43881</v>
      </c>
      <c r="H338" t="s">
        <v>31</v>
      </c>
      <c r="I338" t="s">
        <v>16</v>
      </c>
      <c r="J338" t="s">
        <v>23</v>
      </c>
    </row>
    <row r="339" spans="1:10" x14ac:dyDescent="0.3">
      <c r="A339" t="s">
        <v>49</v>
      </c>
      <c r="B339" t="s">
        <v>42</v>
      </c>
      <c r="C339" t="s">
        <v>34</v>
      </c>
      <c r="D339" t="s">
        <v>36</v>
      </c>
      <c r="E339" t="s">
        <v>12</v>
      </c>
      <c r="F339" t="s">
        <v>20</v>
      </c>
      <c r="G339" s="2">
        <v>43881</v>
      </c>
      <c r="H339" t="s">
        <v>27</v>
      </c>
      <c r="I339" t="s">
        <v>32</v>
      </c>
      <c r="J339" t="s">
        <v>45</v>
      </c>
    </row>
    <row r="340" spans="1:10" x14ac:dyDescent="0.3">
      <c r="A340" t="s">
        <v>24</v>
      </c>
      <c r="B340">
        <v>40</v>
      </c>
      <c r="C340">
        <v>55000</v>
      </c>
      <c r="D340" t="s">
        <v>36</v>
      </c>
      <c r="E340" t="s">
        <v>26</v>
      </c>
      <c r="F340" t="s">
        <v>43</v>
      </c>
      <c r="G340" s="2">
        <v>43549</v>
      </c>
      <c r="H340" t="s">
        <v>31</v>
      </c>
      <c r="I340" t="s">
        <v>32</v>
      </c>
      <c r="J340" t="s">
        <v>45</v>
      </c>
    </row>
    <row r="341" spans="1:10" x14ac:dyDescent="0.3">
      <c r="A341" t="s">
        <v>35</v>
      </c>
      <c r="B341">
        <v>50</v>
      </c>
      <c r="C341" t="s">
        <v>34</v>
      </c>
      <c r="D341" t="s">
        <v>11</v>
      </c>
      <c r="E341" t="s">
        <v>30</v>
      </c>
      <c r="F341" t="s">
        <v>39</v>
      </c>
      <c r="G341" s="2">
        <v>43881</v>
      </c>
      <c r="H341" t="s">
        <v>31</v>
      </c>
      <c r="I341" t="s">
        <v>16</v>
      </c>
      <c r="J341" t="s">
        <v>23</v>
      </c>
    </row>
    <row r="342" spans="1:10" x14ac:dyDescent="0.3">
      <c r="A342" t="s">
        <v>10</v>
      </c>
      <c r="B342" t="s">
        <v>42</v>
      </c>
      <c r="C342" t="s">
        <v>34</v>
      </c>
      <c r="D342" t="s">
        <v>36</v>
      </c>
      <c r="E342" t="s">
        <v>30</v>
      </c>
      <c r="F342" t="s">
        <v>43</v>
      </c>
      <c r="G342" s="1">
        <v>43195</v>
      </c>
      <c r="H342" t="s">
        <v>41</v>
      </c>
      <c r="J342" t="s">
        <v>28</v>
      </c>
    </row>
    <row r="343" spans="1:10" x14ac:dyDescent="0.3">
      <c r="A343" t="s">
        <v>49</v>
      </c>
      <c r="B343">
        <v>50</v>
      </c>
      <c r="C343" t="s">
        <v>34</v>
      </c>
      <c r="D343" t="s">
        <v>18</v>
      </c>
      <c r="E343" t="s">
        <v>37</v>
      </c>
      <c r="F343" t="s">
        <v>43</v>
      </c>
      <c r="G343" s="2">
        <v>43549</v>
      </c>
      <c r="H343" t="s">
        <v>31</v>
      </c>
      <c r="I343" t="s">
        <v>32</v>
      </c>
      <c r="J343" t="s">
        <v>23</v>
      </c>
    </row>
    <row r="344" spans="1:10" x14ac:dyDescent="0.3">
      <c r="A344" t="s">
        <v>17</v>
      </c>
      <c r="B344">
        <v>40</v>
      </c>
      <c r="C344" t="s">
        <v>25</v>
      </c>
      <c r="D344" t="s">
        <v>36</v>
      </c>
      <c r="E344" t="s">
        <v>12</v>
      </c>
      <c r="F344" t="s">
        <v>20</v>
      </c>
      <c r="G344" t="s">
        <v>40</v>
      </c>
      <c r="H344" t="s">
        <v>21</v>
      </c>
      <c r="I344" t="s">
        <v>15</v>
      </c>
      <c r="J344" t="s">
        <v>28</v>
      </c>
    </row>
    <row r="345" spans="1:10" x14ac:dyDescent="0.3">
      <c r="A345" t="s">
        <v>17</v>
      </c>
      <c r="B345">
        <v>25</v>
      </c>
      <c r="C345">
        <v>65000</v>
      </c>
      <c r="D345" t="s">
        <v>11</v>
      </c>
      <c r="E345" t="s">
        <v>12</v>
      </c>
      <c r="F345" t="s">
        <v>44</v>
      </c>
      <c r="G345" s="2">
        <v>43845</v>
      </c>
      <c r="H345" t="s">
        <v>14</v>
      </c>
      <c r="I345" t="s">
        <v>22</v>
      </c>
      <c r="J345" t="s">
        <v>23</v>
      </c>
    </row>
    <row r="346" spans="1:10" x14ac:dyDescent="0.3">
      <c r="A346" t="s">
        <v>48</v>
      </c>
      <c r="B346">
        <v>35</v>
      </c>
      <c r="C346" t="s">
        <v>34</v>
      </c>
      <c r="D346" t="s">
        <v>11</v>
      </c>
      <c r="E346" t="s">
        <v>19</v>
      </c>
      <c r="F346" t="s">
        <v>43</v>
      </c>
      <c r="G346" s="2">
        <v>43881</v>
      </c>
      <c r="H346" t="s">
        <v>41</v>
      </c>
      <c r="I346" t="s">
        <v>32</v>
      </c>
      <c r="J346" t="s">
        <v>28</v>
      </c>
    </row>
    <row r="347" spans="1:10" x14ac:dyDescent="0.3">
      <c r="A347" t="s">
        <v>24</v>
      </c>
      <c r="B347" t="s">
        <v>42</v>
      </c>
      <c r="C347">
        <v>50000</v>
      </c>
      <c r="D347" t="s">
        <v>18</v>
      </c>
      <c r="E347" t="s">
        <v>12</v>
      </c>
      <c r="F347" t="s">
        <v>20</v>
      </c>
      <c r="G347" t="s">
        <v>40</v>
      </c>
      <c r="H347" t="s">
        <v>14</v>
      </c>
      <c r="I347" t="s">
        <v>32</v>
      </c>
      <c r="J347" t="s">
        <v>28</v>
      </c>
    </row>
    <row r="348" spans="1:10" x14ac:dyDescent="0.3">
      <c r="A348" t="s">
        <v>38</v>
      </c>
      <c r="B348">
        <v>35</v>
      </c>
      <c r="C348">
        <v>70000</v>
      </c>
      <c r="D348" t="s">
        <v>18</v>
      </c>
      <c r="E348" t="s">
        <v>37</v>
      </c>
      <c r="F348" t="s">
        <v>44</v>
      </c>
      <c r="G348" s="1">
        <v>43195</v>
      </c>
      <c r="H348" t="s">
        <v>14</v>
      </c>
      <c r="J348" t="s">
        <v>23</v>
      </c>
    </row>
    <row r="349" spans="1:10" x14ac:dyDescent="0.3">
      <c r="A349" t="s">
        <v>10</v>
      </c>
      <c r="B349">
        <v>40</v>
      </c>
      <c r="C349" t="s">
        <v>25</v>
      </c>
      <c r="D349" t="s">
        <v>36</v>
      </c>
      <c r="E349" t="s">
        <v>19</v>
      </c>
      <c r="F349" t="s">
        <v>39</v>
      </c>
      <c r="G349" s="2">
        <v>43845</v>
      </c>
      <c r="H349" t="s">
        <v>27</v>
      </c>
      <c r="I349" t="s">
        <v>15</v>
      </c>
      <c r="J349" t="s">
        <v>28</v>
      </c>
    </row>
    <row r="350" spans="1:10" x14ac:dyDescent="0.3">
      <c r="A350" t="s">
        <v>47</v>
      </c>
      <c r="B350" t="s">
        <v>42</v>
      </c>
      <c r="C350">
        <v>55000</v>
      </c>
      <c r="D350" t="s">
        <v>36</v>
      </c>
      <c r="E350" t="s">
        <v>19</v>
      </c>
      <c r="F350" t="s">
        <v>39</v>
      </c>
      <c r="G350" t="s">
        <v>40</v>
      </c>
      <c r="H350" t="s">
        <v>27</v>
      </c>
      <c r="I350" t="s">
        <v>22</v>
      </c>
      <c r="J350" t="s">
        <v>16</v>
      </c>
    </row>
    <row r="351" spans="1:10" x14ac:dyDescent="0.3">
      <c r="A351" t="s">
        <v>47</v>
      </c>
      <c r="B351">
        <v>50</v>
      </c>
      <c r="C351" t="s">
        <v>25</v>
      </c>
      <c r="D351" t="s">
        <v>11</v>
      </c>
      <c r="E351" t="s">
        <v>30</v>
      </c>
      <c r="F351" t="s">
        <v>13</v>
      </c>
      <c r="G351" s="2">
        <v>43845</v>
      </c>
      <c r="H351" t="s">
        <v>41</v>
      </c>
      <c r="I351" t="s">
        <v>32</v>
      </c>
      <c r="J351" t="s">
        <v>33</v>
      </c>
    </row>
    <row r="352" spans="1:10" x14ac:dyDescent="0.3">
      <c r="A352" t="s">
        <v>10</v>
      </c>
      <c r="B352" t="s">
        <v>16</v>
      </c>
      <c r="C352">
        <v>55000</v>
      </c>
      <c r="D352" t="s">
        <v>18</v>
      </c>
      <c r="E352" t="s">
        <v>30</v>
      </c>
      <c r="F352" t="s">
        <v>20</v>
      </c>
      <c r="G352" s="2">
        <v>43881</v>
      </c>
      <c r="H352" t="s">
        <v>27</v>
      </c>
      <c r="I352" t="s">
        <v>22</v>
      </c>
      <c r="J352" t="s">
        <v>45</v>
      </c>
    </row>
    <row r="353" spans="1:10" x14ac:dyDescent="0.3">
      <c r="A353" t="s">
        <v>46</v>
      </c>
      <c r="B353">
        <v>35</v>
      </c>
      <c r="C353" t="s">
        <v>25</v>
      </c>
      <c r="D353" t="s">
        <v>18</v>
      </c>
      <c r="E353" t="s">
        <v>12</v>
      </c>
      <c r="F353" t="s">
        <v>44</v>
      </c>
      <c r="G353" s="1">
        <v>43195</v>
      </c>
      <c r="H353" t="s">
        <v>27</v>
      </c>
      <c r="I353" t="s">
        <v>16</v>
      </c>
      <c r="J353" t="s">
        <v>28</v>
      </c>
    </row>
    <row r="354" spans="1:10" x14ac:dyDescent="0.3">
      <c r="A354" t="s">
        <v>38</v>
      </c>
      <c r="B354" t="s">
        <v>42</v>
      </c>
      <c r="C354">
        <v>55000</v>
      </c>
      <c r="D354" t="s">
        <v>18</v>
      </c>
      <c r="E354" t="s">
        <v>19</v>
      </c>
      <c r="F354" t="s">
        <v>43</v>
      </c>
      <c r="G354" s="2">
        <v>43845</v>
      </c>
      <c r="H354" t="s">
        <v>27</v>
      </c>
      <c r="I354" t="s">
        <v>32</v>
      </c>
      <c r="J354" t="s">
        <v>28</v>
      </c>
    </row>
    <row r="355" spans="1:10" x14ac:dyDescent="0.3">
      <c r="A355" t="s">
        <v>49</v>
      </c>
      <c r="B355">
        <v>35</v>
      </c>
      <c r="C355" t="s">
        <v>34</v>
      </c>
      <c r="D355" t="s">
        <v>36</v>
      </c>
      <c r="E355" t="s">
        <v>30</v>
      </c>
      <c r="F355" t="s">
        <v>39</v>
      </c>
      <c r="G355" t="s">
        <v>40</v>
      </c>
      <c r="H355" t="s">
        <v>14</v>
      </c>
      <c r="I355" t="s">
        <v>32</v>
      </c>
      <c r="J355" t="s">
        <v>45</v>
      </c>
    </row>
    <row r="356" spans="1:10" x14ac:dyDescent="0.3">
      <c r="A356" t="s">
        <v>35</v>
      </c>
      <c r="B356" t="s">
        <v>42</v>
      </c>
      <c r="C356">
        <v>65000</v>
      </c>
      <c r="D356" t="s">
        <v>18</v>
      </c>
      <c r="E356" t="s">
        <v>37</v>
      </c>
      <c r="F356" t="s">
        <v>44</v>
      </c>
      <c r="G356" s="2">
        <v>43881</v>
      </c>
      <c r="H356" t="s">
        <v>41</v>
      </c>
      <c r="I356" t="s">
        <v>16</v>
      </c>
      <c r="J356" t="s">
        <v>28</v>
      </c>
    </row>
    <row r="357" spans="1:10" x14ac:dyDescent="0.3">
      <c r="A357" t="s">
        <v>46</v>
      </c>
      <c r="B357">
        <v>25</v>
      </c>
      <c r="C357">
        <v>55000</v>
      </c>
      <c r="D357" t="s">
        <v>11</v>
      </c>
      <c r="E357" t="s">
        <v>30</v>
      </c>
      <c r="F357" t="s">
        <v>20</v>
      </c>
      <c r="G357" s="2">
        <v>43881</v>
      </c>
      <c r="H357" t="s">
        <v>14</v>
      </c>
      <c r="J357" t="s">
        <v>45</v>
      </c>
    </row>
    <row r="358" spans="1:10" x14ac:dyDescent="0.3">
      <c r="A358" t="s">
        <v>35</v>
      </c>
      <c r="B358">
        <v>50</v>
      </c>
      <c r="C358">
        <v>55000</v>
      </c>
      <c r="D358" t="s">
        <v>11</v>
      </c>
      <c r="E358" t="s">
        <v>30</v>
      </c>
      <c r="F358" t="s">
        <v>13</v>
      </c>
      <c r="G358" t="s">
        <v>40</v>
      </c>
      <c r="H358" t="s">
        <v>21</v>
      </c>
      <c r="I358" t="s">
        <v>32</v>
      </c>
      <c r="J358" t="s">
        <v>23</v>
      </c>
    </row>
    <row r="359" spans="1:10" x14ac:dyDescent="0.3">
      <c r="A359" t="s">
        <v>35</v>
      </c>
      <c r="B359">
        <v>35</v>
      </c>
      <c r="C359">
        <v>50000</v>
      </c>
      <c r="D359" t="s">
        <v>36</v>
      </c>
      <c r="E359" t="s">
        <v>19</v>
      </c>
      <c r="F359" t="s">
        <v>39</v>
      </c>
      <c r="G359" t="s">
        <v>40</v>
      </c>
      <c r="H359" t="s">
        <v>14</v>
      </c>
      <c r="I359" t="s">
        <v>22</v>
      </c>
      <c r="J359" t="s">
        <v>16</v>
      </c>
    </row>
    <row r="360" spans="1:10" x14ac:dyDescent="0.3">
      <c r="A360" t="s">
        <v>46</v>
      </c>
      <c r="B360" t="s">
        <v>16</v>
      </c>
      <c r="C360">
        <v>55000</v>
      </c>
      <c r="D360" t="s">
        <v>36</v>
      </c>
      <c r="E360" t="s">
        <v>19</v>
      </c>
      <c r="F360" t="s">
        <v>44</v>
      </c>
      <c r="G360" s="2">
        <v>43845</v>
      </c>
      <c r="H360" t="s">
        <v>21</v>
      </c>
      <c r="I360" t="s">
        <v>15</v>
      </c>
      <c r="J360" t="s">
        <v>16</v>
      </c>
    </row>
    <row r="361" spans="1:10" x14ac:dyDescent="0.3">
      <c r="A361" t="s">
        <v>48</v>
      </c>
      <c r="B361" t="s">
        <v>16</v>
      </c>
      <c r="C361">
        <v>50000</v>
      </c>
      <c r="D361" t="s">
        <v>18</v>
      </c>
      <c r="E361" t="s">
        <v>26</v>
      </c>
      <c r="F361" t="s">
        <v>44</v>
      </c>
      <c r="G361" s="2">
        <v>43549</v>
      </c>
      <c r="H361" t="s">
        <v>31</v>
      </c>
      <c r="I361" t="s">
        <v>22</v>
      </c>
      <c r="J361" t="s">
        <v>33</v>
      </c>
    </row>
    <row r="362" spans="1:10" x14ac:dyDescent="0.3">
      <c r="A362" t="s">
        <v>17</v>
      </c>
      <c r="B362">
        <v>40</v>
      </c>
      <c r="C362">
        <v>70000</v>
      </c>
      <c r="D362" t="s">
        <v>36</v>
      </c>
      <c r="E362" t="s">
        <v>37</v>
      </c>
      <c r="F362" t="s">
        <v>44</v>
      </c>
      <c r="G362" s="2">
        <v>43881</v>
      </c>
      <c r="H362" t="s">
        <v>31</v>
      </c>
      <c r="J362" t="s">
        <v>28</v>
      </c>
    </row>
    <row r="363" spans="1:10" x14ac:dyDescent="0.3">
      <c r="A363" t="s">
        <v>35</v>
      </c>
      <c r="B363" t="s">
        <v>42</v>
      </c>
      <c r="C363" t="s">
        <v>34</v>
      </c>
      <c r="D363" t="s">
        <v>11</v>
      </c>
      <c r="E363" t="s">
        <v>19</v>
      </c>
      <c r="F363" t="s">
        <v>20</v>
      </c>
      <c r="G363" s="2">
        <v>43845</v>
      </c>
      <c r="H363" t="s">
        <v>21</v>
      </c>
      <c r="I363" t="s">
        <v>15</v>
      </c>
      <c r="J363" t="s">
        <v>33</v>
      </c>
    </row>
    <row r="364" spans="1:10" x14ac:dyDescent="0.3">
      <c r="A364" t="s">
        <v>46</v>
      </c>
      <c r="B364">
        <v>35</v>
      </c>
      <c r="C364">
        <v>50000</v>
      </c>
      <c r="D364" t="s">
        <v>18</v>
      </c>
      <c r="E364" t="s">
        <v>12</v>
      </c>
      <c r="F364" t="s">
        <v>20</v>
      </c>
      <c r="G364" t="s">
        <v>40</v>
      </c>
      <c r="H364" t="s">
        <v>21</v>
      </c>
      <c r="I364" t="s">
        <v>22</v>
      </c>
      <c r="J364" t="s">
        <v>23</v>
      </c>
    </row>
    <row r="365" spans="1:10" x14ac:dyDescent="0.3">
      <c r="A365" t="s">
        <v>46</v>
      </c>
      <c r="B365">
        <v>40</v>
      </c>
      <c r="C365">
        <v>65000</v>
      </c>
      <c r="D365" t="s">
        <v>11</v>
      </c>
      <c r="E365" t="s">
        <v>37</v>
      </c>
      <c r="F365" t="s">
        <v>20</v>
      </c>
      <c r="G365" s="2">
        <v>43845</v>
      </c>
      <c r="H365" t="s">
        <v>14</v>
      </c>
      <c r="I365" t="s">
        <v>22</v>
      </c>
      <c r="J365" t="s">
        <v>16</v>
      </c>
    </row>
    <row r="366" spans="1:10" x14ac:dyDescent="0.3">
      <c r="A366" t="s">
        <v>29</v>
      </c>
      <c r="B366">
        <v>35</v>
      </c>
      <c r="C366" t="s">
        <v>34</v>
      </c>
      <c r="D366" t="s">
        <v>18</v>
      </c>
      <c r="E366" t="s">
        <v>37</v>
      </c>
      <c r="F366" t="s">
        <v>43</v>
      </c>
      <c r="G366" t="s">
        <v>40</v>
      </c>
      <c r="H366" t="s">
        <v>21</v>
      </c>
      <c r="I366" t="s">
        <v>16</v>
      </c>
      <c r="J366" t="s">
        <v>23</v>
      </c>
    </row>
    <row r="367" spans="1:10" x14ac:dyDescent="0.3">
      <c r="A367" t="s">
        <v>48</v>
      </c>
      <c r="B367" t="s">
        <v>42</v>
      </c>
      <c r="C367">
        <v>50000</v>
      </c>
      <c r="D367" t="s">
        <v>36</v>
      </c>
      <c r="E367" t="s">
        <v>19</v>
      </c>
      <c r="F367" t="s">
        <v>44</v>
      </c>
      <c r="G367" s="1">
        <v>43195</v>
      </c>
      <c r="H367" t="s">
        <v>41</v>
      </c>
      <c r="J367" t="s">
        <v>23</v>
      </c>
    </row>
    <row r="368" spans="1:10" x14ac:dyDescent="0.3">
      <c r="A368" t="s">
        <v>24</v>
      </c>
      <c r="B368" t="s">
        <v>16</v>
      </c>
      <c r="C368" t="s">
        <v>34</v>
      </c>
      <c r="D368" t="s">
        <v>18</v>
      </c>
      <c r="E368" t="s">
        <v>37</v>
      </c>
      <c r="F368" t="s">
        <v>39</v>
      </c>
      <c r="G368" t="s">
        <v>40</v>
      </c>
      <c r="H368" t="s">
        <v>31</v>
      </c>
      <c r="I368" t="s">
        <v>16</v>
      </c>
      <c r="J368" t="s">
        <v>28</v>
      </c>
    </row>
    <row r="369" spans="1:10" x14ac:dyDescent="0.3">
      <c r="A369" t="s">
        <v>29</v>
      </c>
      <c r="B369">
        <v>25</v>
      </c>
      <c r="C369" t="s">
        <v>34</v>
      </c>
      <c r="D369" t="s">
        <v>18</v>
      </c>
      <c r="E369" t="s">
        <v>19</v>
      </c>
      <c r="F369" t="s">
        <v>20</v>
      </c>
      <c r="G369" t="s">
        <v>40</v>
      </c>
      <c r="H369" t="s">
        <v>31</v>
      </c>
      <c r="I369" t="s">
        <v>15</v>
      </c>
      <c r="J369" t="s">
        <v>23</v>
      </c>
    </row>
    <row r="370" spans="1:10" x14ac:dyDescent="0.3">
      <c r="A370" t="s">
        <v>29</v>
      </c>
      <c r="B370" t="s">
        <v>16</v>
      </c>
      <c r="C370" t="s">
        <v>34</v>
      </c>
      <c r="D370" t="s">
        <v>11</v>
      </c>
      <c r="E370" t="s">
        <v>30</v>
      </c>
      <c r="F370" t="s">
        <v>20</v>
      </c>
      <c r="G370" t="s">
        <v>40</v>
      </c>
      <c r="H370" t="s">
        <v>21</v>
      </c>
      <c r="I370" t="s">
        <v>16</v>
      </c>
      <c r="J370" t="s">
        <v>16</v>
      </c>
    </row>
    <row r="371" spans="1:10" x14ac:dyDescent="0.3">
      <c r="A371" t="s">
        <v>10</v>
      </c>
      <c r="B371">
        <v>40</v>
      </c>
      <c r="C371">
        <v>70000</v>
      </c>
      <c r="D371" t="s">
        <v>11</v>
      </c>
      <c r="E371" t="s">
        <v>26</v>
      </c>
      <c r="F371" t="s">
        <v>44</v>
      </c>
      <c r="G371" s="2">
        <v>43549</v>
      </c>
      <c r="H371" t="s">
        <v>27</v>
      </c>
      <c r="J371" t="s">
        <v>33</v>
      </c>
    </row>
    <row r="372" spans="1:10" x14ac:dyDescent="0.3">
      <c r="A372" t="s">
        <v>17</v>
      </c>
      <c r="B372">
        <v>50</v>
      </c>
      <c r="C372">
        <v>65000</v>
      </c>
      <c r="D372" t="s">
        <v>18</v>
      </c>
      <c r="E372" t="s">
        <v>30</v>
      </c>
      <c r="F372" t="s">
        <v>20</v>
      </c>
      <c r="G372" t="s">
        <v>40</v>
      </c>
      <c r="H372" t="s">
        <v>27</v>
      </c>
      <c r="I372" t="s">
        <v>32</v>
      </c>
      <c r="J372" t="s">
        <v>16</v>
      </c>
    </row>
    <row r="373" spans="1:10" x14ac:dyDescent="0.3">
      <c r="A373" t="s">
        <v>46</v>
      </c>
      <c r="B373">
        <v>25</v>
      </c>
      <c r="C373" t="s">
        <v>25</v>
      </c>
      <c r="D373" t="s">
        <v>36</v>
      </c>
      <c r="E373" t="s">
        <v>19</v>
      </c>
      <c r="F373" t="s">
        <v>43</v>
      </c>
      <c r="G373" s="2">
        <v>43881</v>
      </c>
      <c r="H373" t="s">
        <v>21</v>
      </c>
      <c r="I373" t="s">
        <v>32</v>
      </c>
      <c r="J373" t="s">
        <v>28</v>
      </c>
    </row>
    <row r="374" spans="1:10" x14ac:dyDescent="0.3">
      <c r="A374" t="s">
        <v>17</v>
      </c>
      <c r="B374">
        <v>40</v>
      </c>
      <c r="C374" t="s">
        <v>25</v>
      </c>
      <c r="D374" t="s">
        <v>36</v>
      </c>
      <c r="E374" t="s">
        <v>19</v>
      </c>
      <c r="F374" t="s">
        <v>43</v>
      </c>
      <c r="G374" s="2">
        <v>43881</v>
      </c>
      <c r="H374" t="s">
        <v>41</v>
      </c>
      <c r="I374" t="s">
        <v>15</v>
      </c>
      <c r="J374" t="s">
        <v>16</v>
      </c>
    </row>
    <row r="375" spans="1:10" x14ac:dyDescent="0.3">
      <c r="A375" t="s">
        <v>38</v>
      </c>
      <c r="B375" t="s">
        <v>42</v>
      </c>
      <c r="C375">
        <v>50000</v>
      </c>
      <c r="D375" t="s">
        <v>11</v>
      </c>
      <c r="E375" t="s">
        <v>30</v>
      </c>
      <c r="F375" t="s">
        <v>20</v>
      </c>
      <c r="G375" s="2">
        <v>43845</v>
      </c>
      <c r="H375" t="s">
        <v>27</v>
      </c>
      <c r="I375" t="s">
        <v>32</v>
      </c>
      <c r="J375" t="s">
        <v>45</v>
      </c>
    </row>
    <row r="376" spans="1:10" x14ac:dyDescent="0.3">
      <c r="A376" t="s">
        <v>10</v>
      </c>
      <c r="B376">
        <v>25</v>
      </c>
      <c r="C376" t="s">
        <v>34</v>
      </c>
      <c r="D376" t="s">
        <v>36</v>
      </c>
      <c r="E376" t="s">
        <v>12</v>
      </c>
      <c r="F376" t="s">
        <v>44</v>
      </c>
      <c r="G376" s="2">
        <v>43549</v>
      </c>
      <c r="H376" t="s">
        <v>21</v>
      </c>
      <c r="I376" t="s">
        <v>16</v>
      </c>
      <c r="J376" t="s">
        <v>33</v>
      </c>
    </row>
    <row r="377" spans="1:10" x14ac:dyDescent="0.3">
      <c r="A377" t="s">
        <v>24</v>
      </c>
      <c r="B377">
        <v>40</v>
      </c>
      <c r="C377">
        <v>50000</v>
      </c>
      <c r="D377" t="s">
        <v>11</v>
      </c>
      <c r="E377" t="s">
        <v>12</v>
      </c>
      <c r="F377" t="s">
        <v>44</v>
      </c>
      <c r="G377" s="2">
        <v>43845</v>
      </c>
      <c r="H377" t="s">
        <v>41</v>
      </c>
      <c r="I377" t="s">
        <v>15</v>
      </c>
      <c r="J377" t="s">
        <v>45</v>
      </c>
    </row>
    <row r="378" spans="1:10" x14ac:dyDescent="0.3">
      <c r="A378" t="s">
        <v>17</v>
      </c>
      <c r="B378" t="s">
        <v>42</v>
      </c>
      <c r="C378">
        <v>70000</v>
      </c>
      <c r="D378" t="s">
        <v>36</v>
      </c>
      <c r="E378" t="s">
        <v>12</v>
      </c>
      <c r="F378" t="s">
        <v>44</v>
      </c>
      <c r="G378" s="2">
        <v>43881</v>
      </c>
      <c r="H378" t="s">
        <v>41</v>
      </c>
      <c r="J378" t="s">
        <v>45</v>
      </c>
    </row>
    <row r="379" spans="1:10" x14ac:dyDescent="0.3">
      <c r="A379" t="s">
        <v>47</v>
      </c>
      <c r="B379" t="s">
        <v>16</v>
      </c>
      <c r="C379">
        <v>70000</v>
      </c>
      <c r="D379" t="s">
        <v>18</v>
      </c>
      <c r="E379" t="s">
        <v>19</v>
      </c>
      <c r="F379" t="s">
        <v>13</v>
      </c>
      <c r="G379" s="2">
        <v>43881</v>
      </c>
      <c r="H379" t="s">
        <v>14</v>
      </c>
      <c r="I379" t="s">
        <v>15</v>
      </c>
      <c r="J379" t="s">
        <v>28</v>
      </c>
    </row>
    <row r="380" spans="1:10" x14ac:dyDescent="0.3">
      <c r="A380" t="s">
        <v>35</v>
      </c>
      <c r="B380">
        <v>50</v>
      </c>
      <c r="C380">
        <v>55000</v>
      </c>
      <c r="D380" t="s">
        <v>11</v>
      </c>
      <c r="E380" t="s">
        <v>37</v>
      </c>
      <c r="F380" t="s">
        <v>20</v>
      </c>
      <c r="G380" s="1">
        <v>43195</v>
      </c>
      <c r="H380" t="s">
        <v>41</v>
      </c>
      <c r="I380" t="s">
        <v>15</v>
      </c>
      <c r="J380" t="s">
        <v>23</v>
      </c>
    </row>
    <row r="381" spans="1:10" x14ac:dyDescent="0.3">
      <c r="A381" t="s">
        <v>38</v>
      </c>
      <c r="B381" t="s">
        <v>42</v>
      </c>
      <c r="C381">
        <v>70000</v>
      </c>
      <c r="D381" t="s">
        <v>11</v>
      </c>
      <c r="E381" t="s">
        <v>19</v>
      </c>
      <c r="F381" t="s">
        <v>44</v>
      </c>
      <c r="G381" t="s">
        <v>40</v>
      </c>
      <c r="H381" t="s">
        <v>27</v>
      </c>
      <c r="I381" t="s">
        <v>22</v>
      </c>
      <c r="J381" t="s">
        <v>45</v>
      </c>
    </row>
    <row r="382" spans="1:10" x14ac:dyDescent="0.3">
      <c r="A382" t="s">
        <v>48</v>
      </c>
      <c r="B382">
        <v>35</v>
      </c>
      <c r="C382">
        <v>55000</v>
      </c>
      <c r="D382" t="s">
        <v>18</v>
      </c>
      <c r="E382" t="s">
        <v>37</v>
      </c>
      <c r="F382" t="s">
        <v>43</v>
      </c>
      <c r="G382" s="2">
        <v>43881</v>
      </c>
      <c r="H382" t="s">
        <v>27</v>
      </c>
      <c r="I382" t="s">
        <v>22</v>
      </c>
      <c r="J382" t="s">
        <v>16</v>
      </c>
    </row>
    <row r="383" spans="1:10" x14ac:dyDescent="0.3">
      <c r="A383" t="s">
        <v>24</v>
      </c>
      <c r="B383" t="s">
        <v>42</v>
      </c>
      <c r="C383">
        <v>65000</v>
      </c>
      <c r="D383" t="s">
        <v>11</v>
      </c>
      <c r="E383" t="s">
        <v>30</v>
      </c>
      <c r="F383" t="s">
        <v>39</v>
      </c>
      <c r="G383" s="2">
        <v>43845</v>
      </c>
      <c r="H383" t="s">
        <v>21</v>
      </c>
      <c r="I383" t="s">
        <v>15</v>
      </c>
      <c r="J383" t="s">
        <v>23</v>
      </c>
    </row>
    <row r="384" spans="1:10" x14ac:dyDescent="0.3">
      <c r="A384" t="s">
        <v>38</v>
      </c>
      <c r="B384" t="s">
        <v>42</v>
      </c>
      <c r="C384">
        <v>50000</v>
      </c>
      <c r="D384" t="s">
        <v>36</v>
      </c>
      <c r="E384" t="s">
        <v>26</v>
      </c>
      <c r="F384" t="s">
        <v>39</v>
      </c>
      <c r="G384" s="2">
        <v>43845</v>
      </c>
      <c r="H384" t="s">
        <v>21</v>
      </c>
      <c r="I384" t="s">
        <v>32</v>
      </c>
      <c r="J384" t="s">
        <v>16</v>
      </c>
    </row>
    <row r="385" spans="1:10" x14ac:dyDescent="0.3">
      <c r="A385" t="s">
        <v>35</v>
      </c>
      <c r="B385">
        <v>50</v>
      </c>
      <c r="C385">
        <v>65000</v>
      </c>
      <c r="D385" t="s">
        <v>36</v>
      </c>
      <c r="E385" t="s">
        <v>37</v>
      </c>
      <c r="F385" t="s">
        <v>44</v>
      </c>
      <c r="G385" t="s">
        <v>40</v>
      </c>
      <c r="H385" t="s">
        <v>41</v>
      </c>
      <c r="I385" t="s">
        <v>22</v>
      </c>
      <c r="J385" t="s">
        <v>16</v>
      </c>
    </row>
    <row r="386" spans="1:10" x14ac:dyDescent="0.3">
      <c r="A386" t="s">
        <v>10</v>
      </c>
      <c r="B386">
        <v>35</v>
      </c>
      <c r="C386">
        <v>70000</v>
      </c>
      <c r="D386" t="s">
        <v>11</v>
      </c>
      <c r="E386" t="s">
        <v>12</v>
      </c>
      <c r="F386" t="s">
        <v>39</v>
      </c>
      <c r="G386" t="s">
        <v>40</v>
      </c>
      <c r="H386" t="s">
        <v>31</v>
      </c>
      <c r="J386" t="s">
        <v>23</v>
      </c>
    </row>
    <row r="387" spans="1:10" x14ac:dyDescent="0.3">
      <c r="A387" t="s">
        <v>35</v>
      </c>
      <c r="B387">
        <v>40</v>
      </c>
      <c r="C387">
        <v>65000</v>
      </c>
      <c r="D387" t="s">
        <v>36</v>
      </c>
      <c r="E387" t="s">
        <v>19</v>
      </c>
      <c r="F387" t="s">
        <v>39</v>
      </c>
      <c r="G387" s="1">
        <v>43195</v>
      </c>
      <c r="H387" t="s">
        <v>14</v>
      </c>
      <c r="I387" t="s">
        <v>16</v>
      </c>
      <c r="J387" t="s">
        <v>23</v>
      </c>
    </row>
    <row r="388" spans="1:10" x14ac:dyDescent="0.3">
      <c r="A388" t="s">
        <v>29</v>
      </c>
      <c r="B388">
        <v>40</v>
      </c>
      <c r="C388">
        <v>65000</v>
      </c>
      <c r="D388" t="s">
        <v>11</v>
      </c>
      <c r="E388" t="s">
        <v>30</v>
      </c>
      <c r="F388" t="s">
        <v>13</v>
      </c>
      <c r="G388" s="2">
        <v>43549</v>
      </c>
      <c r="H388" t="s">
        <v>31</v>
      </c>
      <c r="I388" t="s">
        <v>22</v>
      </c>
      <c r="J388" t="s">
        <v>16</v>
      </c>
    </row>
    <row r="389" spans="1:10" x14ac:dyDescent="0.3">
      <c r="A389" t="s">
        <v>35</v>
      </c>
      <c r="B389" t="s">
        <v>42</v>
      </c>
      <c r="C389">
        <v>65000</v>
      </c>
      <c r="D389" t="s">
        <v>18</v>
      </c>
      <c r="E389" t="s">
        <v>12</v>
      </c>
      <c r="F389" t="s">
        <v>43</v>
      </c>
      <c r="G389" s="2">
        <v>43845</v>
      </c>
      <c r="H389" t="s">
        <v>41</v>
      </c>
      <c r="I389" t="s">
        <v>15</v>
      </c>
      <c r="J389" t="s">
        <v>28</v>
      </c>
    </row>
    <row r="390" spans="1:10" x14ac:dyDescent="0.3">
      <c r="A390" t="s">
        <v>29</v>
      </c>
      <c r="B390">
        <v>35</v>
      </c>
      <c r="C390">
        <v>70000</v>
      </c>
      <c r="D390" t="s">
        <v>11</v>
      </c>
      <c r="E390" t="s">
        <v>30</v>
      </c>
      <c r="F390" t="s">
        <v>43</v>
      </c>
      <c r="G390" t="s">
        <v>40</v>
      </c>
      <c r="H390" t="s">
        <v>41</v>
      </c>
      <c r="I390" t="s">
        <v>32</v>
      </c>
      <c r="J390" t="s">
        <v>33</v>
      </c>
    </row>
    <row r="391" spans="1:10" x14ac:dyDescent="0.3">
      <c r="A391" t="s">
        <v>10</v>
      </c>
      <c r="B391">
        <v>35</v>
      </c>
      <c r="C391" t="s">
        <v>34</v>
      </c>
      <c r="D391" t="s">
        <v>18</v>
      </c>
      <c r="E391" t="s">
        <v>26</v>
      </c>
      <c r="F391" t="s">
        <v>13</v>
      </c>
      <c r="G391" s="2">
        <v>43845</v>
      </c>
      <c r="H391" t="s">
        <v>31</v>
      </c>
      <c r="I391" t="s">
        <v>16</v>
      </c>
      <c r="J391" t="s">
        <v>33</v>
      </c>
    </row>
    <row r="392" spans="1:10" x14ac:dyDescent="0.3">
      <c r="A392" t="s">
        <v>49</v>
      </c>
      <c r="B392">
        <v>50</v>
      </c>
      <c r="C392">
        <v>65000</v>
      </c>
      <c r="D392" t="s">
        <v>36</v>
      </c>
      <c r="E392" t="s">
        <v>19</v>
      </c>
      <c r="F392" t="s">
        <v>13</v>
      </c>
      <c r="G392" t="s">
        <v>40</v>
      </c>
      <c r="H392" t="s">
        <v>14</v>
      </c>
      <c r="I392" t="s">
        <v>22</v>
      </c>
      <c r="J392" t="s">
        <v>28</v>
      </c>
    </row>
    <row r="393" spans="1:10" x14ac:dyDescent="0.3">
      <c r="A393" t="s">
        <v>29</v>
      </c>
      <c r="B393" t="s">
        <v>16</v>
      </c>
      <c r="C393">
        <v>55000</v>
      </c>
      <c r="D393" t="s">
        <v>18</v>
      </c>
      <c r="E393" t="s">
        <v>19</v>
      </c>
      <c r="F393" t="s">
        <v>39</v>
      </c>
      <c r="G393" s="2">
        <v>43881</v>
      </c>
      <c r="H393" t="s">
        <v>31</v>
      </c>
      <c r="I393" t="s">
        <v>32</v>
      </c>
      <c r="J393" t="s">
        <v>23</v>
      </c>
    </row>
    <row r="394" spans="1:10" x14ac:dyDescent="0.3">
      <c r="A394" t="s">
        <v>48</v>
      </c>
      <c r="B394">
        <v>40</v>
      </c>
      <c r="C394">
        <v>70000</v>
      </c>
      <c r="D394" t="s">
        <v>36</v>
      </c>
      <c r="E394" t="s">
        <v>26</v>
      </c>
      <c r="F394" t="s">
        <v>20</v>
      </c>
      <c r="G394" s="2">
        <v>43845</v>
      </c>
      <c r="H394" t="s">
        <v>21</v>
      </c>
      <c r="I394" t="s">
        <v>32</v>
      </c>
      <c r="J394" t="s">
        <v>16</v>
      </c>
    </row>
    <row r="395" spans="1:10" x14ac:dyDescent="0.3">
      <c r="A395" t="s">
        <v>35</v>
      </c>
      <c r="B395">
        <v>50</v>
      </c>
      <c r="C395">
        <v>65000</v>
      </c>
      <c r="D395" t="s">
        <v>11</v>
      </c>
      <c r="E395" t="s">
        <v>19</v>
      </c>
      <c r="F395" t="s">
        <v>39</v>
      </c>
      <c r="G395" s="2">
        <v>43881</v>
      </c>
      <c r="H395" t="s">
        <v>27</v>
      </c>
      <c r="I395" t="s">
        <v>32</v>
      </c>
      <c r="J395" t="s">
        <v>33</v>
      </c>
    </row>
    <row r="396" spans="1:10" x14ac:dyDescent="0.3">
      <c r="A396" t="s">
        <v>35</v>
      </c>
      <c r="B396">
        <v>25</v>
      </c>
      <c r="C396" t="s">
        <v>34</v>
      </c>
      <c r="D396" t="s">
        <v>36</v>
      </c>
      <c r="E396" t="s">
        <v>37</v>
      </c>
      <c r="F396" t="s">
        <v>13</v>
      </c>
      <c r="G396" s="2">
        <v>43845</v>
      </c>
      <c r="H396" t="s">
        <v>21</v>
      </c>
      <c r="I396" t="s">
        <v>15</v>
      </c>
      <c r="J396" t="s">
        <v>16</v>
      </c>
    </row>
    <row r="397" spans="1:10" x14ac:dyDescent="0.3">
      <c r="A397" t="s">
        <v>48</v>
      </c>
      <c r="B397">
        <v>40</v>
      </c>
      <c r="C397">
        <v>70000</v>
      </c>
      <c r="D397" t="s">
        <v>11</v>
      </c>
      <c r="E397" t="s">
        <v>30</v>
      </c>
      <c r="F397" t="s">
        <v>43</v>
      </c>
      <c r="G397" s="2">
        <v>43549</v>
      </c>
      <c r="H397" t="s">
        <v>27</v>
      </c>
      <c r="J397" t="s">
        <v>28</v>
      </c>
    </row>
    <row r="398" spans="1:10" x14ac:dyDescent="0.3">
      <c r="A398" t="s">
        <v>47</v>
      </c>
      <c r="B398">
        <v>50</v>
      </c>
      <c r="C398" t="s">
        <v>25</v>
      </c>
      <c r="D398" t="s">
        <v>11</v>
      </c>
      <c r="E398" t="s">
        <v>12</v>
      </c>
      <c r="F398" t="s">
        <v>39</v>
      </c>
      <c r="G398" s="1">
        <v>43195</v>
      </c>
      <c r="H398" t="s">
        <v>41</v>
      </c>
      <c r="I398" t="s">
        <v>32</v>
      </c>
      <c r="J398" t="s">
        <v>16</v>
      </c>
    </row>
    <row r="399" spans="1:10" x14ac:dyDescent="0.3">
      <c r="A399" t="s">
        <v>46</v>
      </c>
      <c r="B399">
        <v>40</v>
      </c>
      <c r="C399" t="s">
        <v>34</v>
      </c>
      <c r="D399" t="s">
        <v>18</v>
      </c>
      <c r="E399" t="s">
        <v>26</v>
      </c>
      <c r="F399" t="s">
        <v>20</v>
      </c>
      <c r="G399" s="2">
        <v>43881</v>
      </c>
      <c r="H399" t="s">
        <v>14</v>
      </c>
      <c r="I399" t="s">
        <v>16</v>
      </c>
      <c r="J399" t="s">
        <v>28</v>
      </c>
    </row>
    <row r="400" spans="1:10" x14ac:dyDescent="0.3">
      <c r="A400" t="s">
        <v>49</v>
      </c>
      <c r="B400" t="s">
        <v>16</v>
      </c>
      <c r="C400">
        <v>55000</v>
      </c>
      <c r="D400" t="s">
        <v>18</v>
      </c>
      <c r="E400" t="s">
        <v>37</v>
      </c>
      <c r="F400" t="s">
        <v>39</v>
      </c>
      <c r="G400" t="s">
        <v>40</v>
      </c>
      <c r="H400" t="s">
        <v>31</v>
      </c>
      <c r="I400" t="s">
        <v>22</v>
      </c>
      <c r="J400" t="s">
        <v>23</v>
      </c>
    </row>
    <row r="401" spans="1:10" x14ac:dyDescent="0.3">
      <c r="A401" t="s">
        <v>24</v>
      </c>
      <c r="B401">
        <v>25</v>
      </c>
      <c r="C401">
        <v>65000</v>
      </c>
      <c r="D401" t="s">
        <v>18</v>
      </c>
      <c r="E401" t="s">
        <v>12</v>
      </c>
      <c r="F401" t="s">
        <v>44</v>
      </c>
      <c r="G401" s="2">
        <v>43549</v>
      </c>
      <c r="H401" t="s">
        <v>14</v>
      </c>
      <c r="I401" t="s">
        <v>16</v>
      </c>
      <c r="J401" t="s">
        <v>28</v>
      </c>
    </row>
    <row r="402" spans="1:10" x14ac:dyDescent="0.3">
      <c r="A402" t="s">
        <v>29</v>
      </c>
      <c r="B402" t="s">
        <v>16</v>
      </c>
      <c r="C402" t="s">
        <v>25</v>
      </c>
      <c r="D402" t="s">
        <v>18</v>
      </c>
      <c r="E402" t="s">
        <v>12</v>
      </c>
      <c r="F402" t="s">
        <v>39</v>
      </c>
      <c r="G402" s="2">
        <v>43845</v>
      </c>
      <c r="H402" t="s">
        <v>31</v>
      </c>
      <c r="I402" t="s">
        <v>15</v>
      </c>
      <c r="J402" t="s">
        <v>28</v>
      </c>
    </row>
    <row r="403" spans="1:10" x14ac:dyDescent="0.3">
      <c r="A403" t="s">
        <v>48</v>
      </c>
      <c r="B403">
        <v>25</v>
      </c>
      <c r="C403" t="s">
        <v>25</v>
      </c>
      <c r="D403" t="s">
        <v>36</v>
      </c>
      <c r="E403" t="s">
        <v>26</v>
      </c>
      <c r="F403" t="s">
        <v>13</v>
      </c>
      <c r="G403" s="2">
        <v>43881</v>
      </c>
      <c r="H403" t="s">
        <v>21</v>
      </c>
      <c r="I403" t="s">
        <v>15</v>
      </c>
      <c r="J403" t="s">
        <v>33</v>
      </c>
    </row>
    <row r="404" spans="1:10" x14ac:dyDescent="0.3">
      <c r="A404" t="s">
        <v>10</v>
      </c>
      <c r="B404" t="s">
        <v>42</v>
      </c>
      <c r="C404">
        <v>70000</v>
      </c>
      <c r="D404" t="s">
        <v>36</v>
      </c>
      <c r="E404" t="s">
        <v>37</v>
      </c>
      <c r="F404" t="s">
        <v>43</v>
      </c>
      <c r="G404" s="2">
        <v>43845</v>
      </c>
      <c r="H404" t="s">
        <v>21</v>
      </c>
      <c r="I404" t="s">
        <v>16</v>
      </c>
      <c r="J404" t="s">
        <v>16</v>
      </c>
    </row>
    <row r="405" spans="1:10" x14ac:dyDescent="0.3">
      <c r="A405" t="s">
        <v>29</v>
      </c>
      <c r="B405">
        <v>50</v>
      </c>
      <c r="C405" t="s">
        <v>25</v>
      </c>
      <c r="D405" t="s">
        <v>36</v>
      </c>
      <c r="E405" t="s">
        <v>12</v>
      </c>
      <c r="F405" t="s">
        <v>43</v>
      </c>
      <c r="G405" s="2">
        <v>43845</v>
      </c>
      <c r="H405" t="s">
        <v>31</v>
      </c>
      <c r="J405" t="s">
        <v>33</v>
      </c>
    </row>
    <row r="406" spans="1:10" x14ac:dyDescent="0.3">
      <c r="A406" t="s">
        <v>46</v>
      </c>
      <c r="B406">
        <v>25</v>
      </c>
      <c r="C406">
        <v>55000</v>
      </c>
      <c r="D406" t="s">
        <v>11</v>
      </c>
      <c r="E406" t="s">
        <v>12</v>
      </c>
      <c r="F406" t="s">
        <v>13</v>
      </c>
      <c r="G406" s="2">
        <v>43845</v>
      </c>
      <c r="H406" t="s">
        <v>14</v>
      </c>
      <c r="I406" t="s">
        <v>15</v>
      </c>
      <c r="J406" t="s">
        <v>45</v>
      </c>
    </row>
    <row r="407" spans="1:10" x14ac:dyDescent="0.3">
      <c r="A407" t="s">
        <v>10</v>
      </c>
      <c r="B407" t="s">
        <v>16</v>
      </c>
      <c r="C407">
        <v>55000</v>
      </c>
      <c r="D407" t="s">
        <v>36</v>
      </c>
      <c r="E407" t="s">
        <v>37</v>
      </c>
      <c r="F407" t="s">
        <v>44</v>
      </c>
      <c r="G407" s="1">
        <v>43195</v>
      </c>
      <c r="H407" t="s">
        <v>31</v>
      </c>
      <c r="I407" t="s">
        <v>15</v>
      </c>
      <c r="J407" t="s">
        <v>28</v>
      </c>
    </row>
    <row r="408" spans="1:10" x14ac:dyDescent="0.3">
      <c r="A408" t="s">
        <v>38</v>
      </c>
      <c r="B408">
        <v>40</v>
      </c>
      <c r="C408">
        <v>50000</v>
      </c>
      <c r="D408" t="s">
        <v>36</v>
      </c>
      <c r="E408" t="s">
        <v>19</v>
      </c>
      <c r="F408" t="s">
        <v>13</v>
      </c>
      <c r="G408" s="1">
        <v>43195</v>
      </c>
      <c r="H408" t="s">
        <v>41</v>
      </c>
      <c r="I408" t="s">
        <v>16</v>
      </c>
      <c r="J408" t="s">
        <v>45</v>
      </c>
    </row>
    <row r="409" spans="1:10" x14ac:dyDescent="0.3">
      <c r="A409" t="s">
        <v>35</v>
      </c>
      <c r="B409">
        <v>25</v>
      </c>
      <c r="C409">
        <v>55000</v>
      </c>
      <c r="D409" t="s">
        <v>36</v>
      </c>
      <c r="E409" t="s">
        <v>12</v>
      </c>
      <c r="F409" t="s">
        <v>39</v>
      </c>
      <c r="G409" t="s">
        <v>40</v>
      </c>
      <c r="H409" t="s">
        <v>21</v>
      </c>
      <c r="I409" t="s">
        <v>15</v>
      </c>
      <c r="J409" t="s">
        <v>33</v>
      </c>
    </row>
    <row r="410" spans="1:10" x14ac:dyDescent="0.3">
      <c r="A410" t="s">
        <v>38</v>
      </c>
      <c r="B410">
        <v>50</v>
      </c>
      <c r="C410" t="s">
        <v>34</v>
      </c>
      <c r="D410" t="s">
        <v>18</v>
      </c>
      <c r="E410" t="s">
        <v>30</v>
      </c>
      <c r="F410" t="s">
        <v>13</v>
      </c>
      <c r="G410" s="2">
        <v>43881</v>
      </c>
      <c r="H410" t="s">
        <v>41</v>
      </c>
      <c r="J410" t="s">
        <v>16</v>
      </c>
    </row>
    <row r="411" spans="1:10" x14ac:dyDescent="0.3">
      <c r="A411" t="s">
        <v>29</v>
      </c>
      <c r="B411">
        <v>25</v>
      </c>
      <c r="C411" t="s">
        <v>25</v>
      </c>
      <c r="D411" t="s">
        <v>36</v>
      </c>
      <c r="E411" t="s">
        <v>37</v>
      </c>
      <c r="F411" t="s">
        <v>13</v>
      </c>
      <c r="G411" s="2">
        <v>43549</v>
      </c>
      <c r="H411" t="s">
        <v>21</v>
      </c>
      <c r="J411" t="s">
        <v>33</v>
      </c>
    </row>
    <row r="412" spans="1:10" x14ac:dyDescent="0.3">
      <c r="A412" t="s">
        <v>46</v>
      </c>
      <c r="B412">
        <v>35</v>
      </c>
      <c r="C412">
        <v>55000</v>
      </c>
      <c r="D412" t="s">
        <v>11</v>
      </c>
      <c r="E412" t="s">
        <v>12</v>
      </c>
      <c r="F412" t="s">
        <v>44</v>
      </c>
      <c r="G412" s="2">
        <v>43549</v>
      </c>
      <c r="H412" t="s">
        <v>21</v>
      </c>
      <c r="J412" t="s">
        <v>16</v>
      </c>
    </row>
    <row r="413" spans="1:10" x14ac:dyDescent="0.3">
      <c r="A413" t="s">
        <v>49</v>
      </c>
      <c r="B413">
        <v>40</v>
      </c>
      <c r="C413">
        <v>70000</v>
      </c>
      <c r="D413" t="s">
        <v>18</v>
      </c>
      <c r="E413" t="s">
        <v>26</v>
      </c>
      <c r="F413" t="s">
        <v>39</v>
      </c>
      <c r="G413" s="2">
        <v>43549</v>
      </c>
      <c r="H413" t="s">
        <v>27</v>
      </c>
      <c r="I413" t="s">
        <v>22</v>
      </c>
      <c r="J413" t="s">
        <v>16</v>
      </c>
    </row>
    <row r="414" spans="1:10" x14ac:dyDescent="0.3">
      <c r="A414" t="s">
        <v>29</v>
      </c>
      <c r="B414">
        <v>50</v>
      </c>
      <c r="C414">
        <v>50000</v>
      </c>
      <c r="D414" t="s">
        <v>11</v>
      </c>
      <c r="E414" t="s">
        <v>30</v>
      </c>
      <c r="F414" t="s">
        <v>20</v>
      </c>
      <c r="G414" s="2">
        <v>43845</v>
      </c>
      <c r="H414" t="s">
        <v>41</v>
      </c>
      <c r="J414" t="s">
        <v>23</v>
      </c>
    </row>
    <row r="415" spans="1:10" x14ac:dyDescent="0.3">
      <c r="A415" t="s">
        <v>48</v>
      </c>
      <c r="B415">
        <v>50</v>
      </c>
      <c r="C415" t="s">
        <v>25</v>
      </c>
      <c r="D415" t="s">
        <v>36</v>
      </c>
      <c r="E415" t="s">
        <v>12</v>
      </c>
      <c r="F415" t="s">
        <v>20</v>
      </c>
      <c r="G415" s="1">
        <v>43195</v>
      </c>
      <c r="H415" t="s">
        <v>41</v>
      </c>
      <c r="J415" t="s">
        <v>28</v>
      </c>
    </row>
    <row r="416" spans="1:10" x14ac:dyDescent="0.3">
      <c r="A416" t="s">
        <v>17</v>
      </c>
      <c r="B416" t="s">
        <v>42</v>
      </c>
      <c r="C416">
        <v>50000</v>
      </c>
      <c r="D416" t="s">
        <v>18</v>
      </c>
      <c r="E416" t="s">
        <v>30</v>
      </c>
      <c r="F416" t="s">
        <v>43</v>
      </c>
      <c r="G416" s="2">
        <v>43881</v>
      </c>
      <c r="H416" t="s">
        <v>27</v>
      </c>
      <c r="I416" t="s">
        <v>22</v>
      </c>
      <c r="J416" t="s">
        <v>33</v>
      </c>
    </row>
    <row r="417" spans="1:10" x14ac:dyDescent="0.3">
      <c r="A417" t="s">
        <v>29</v>
      </c>
      <c r="B417" t="s">
        <v>16</v>
      </c>
      <c r="C417" t="s">
        <v>25</v>
      </c>
      <c r="D417" t="s">
        <v>11</v>
      </c>
      <c r="E417" t="s">
        <v>30</v>
      </c>
      <c r="F417" t="s">
        <v>13</v>
      </c>
      <c r="G417" s="2">
        <v>43845</v>
      </c>
      <c r="H417" t="s">
        <v>14</v>
      </c>
      <c r="I417" t="s">
        <v>32</v>
      </c>
      <c r="J417" t="s">
        <v>16</v>
      </c>
    </row>
    <row r="418" spans="1:10" x14ac:dyDescent="0.3">
      <c r="A418" t="s">
        <v>35</v>
      </c>
      <c r="B418" t="s">
        <v>42</v>
      </c>
      <c r="C418">
        <v>70000</v>
      </c>
      <c r="D418" t="s">
        <v>36</v>
      </c>
      <c r="E418" t="s">
        <v>19</v>
      </c>
      <c r="F418" t="s">
        <v>43</v>
      </c>
      <c r="G418" s="1">
        <v>43195</v>
      </c>
      <c r="H418" t="s">
        <v>41</v>
      </c>
      <c r="I418" t="s">
        <v>15</v>
      </c>
      <c r="J418" t="s">
        <v>33</v>
      </c>
    </row>
    <row r="419" spans="1:10" x14ac:dyDescent="0.3">
      <c r="A419" t="s">
        <v>35</v>
      </c>
      <c r="B419">
        <v>50</v>
      </c>
      <c r="C419">
        <v>50000</v>
      </c>
      <c r="D419" t="s">
        <v>11</v>
      </c>
      <c r="E419" t="s">
        <v>30</v>
      </c>
      <c r="F419" t="s">
        <v>44</v>
      </c>
      <c r="G419" s="1">
        <v>43195</v>
      </c>
      <c r="H419" t="s">
        <v>31</v>
      </c>
      <c r="J419" t="s">
        <v>33</v>
      </c>
    </row>
    <row r="420" spans="1:10" x14ac:dyDescent="0.3">
      <c r="A420" t="s">
        <v>29</v>
      </c>
      <c r="B420">
        <v>40</v>
      </c>
      <c r="C420">
        <v>65000</v>
      </c>
      <c r="D420" t="s">
        <v>11</v>
      </c>
      <c r="E420" t="s">
        <v>19</v>
      </c>
      <c r="F420" t="s">
        <v>20</v>
      </c>
      <c r="G420" s="2">
        <v>43881</v>
      </c>
      <c r="H420" t="s">
        <v>27</v>
      </c>
      <c r="I420" t="s">
        <v>15</v>
      </c>
      <c r="J420" t="s">
        <v>16</v>
      </c>
    </row>
    <row r="421" spans="1:10" x14ac:dyDescent="0.3">
      <c r="A421" t="s">
        <v>10</v>
      </c>
      <c r="B421">
        <v>25</v>
      </c>
      <c r="C421" t="s">
        <v>34</v>
      </c>
      <c r="D421" t="s">
        <v>11</v>
      </c>
      <c r="E421" t="s">
        <v>37</v>
      </c>
      <c r="F421" t="s">
        <v>13</v>
      </c>
      <c r="G421" s="2">
        <v>43881</v>
      </c>
      <c r="H421" t="s">
        <v>41</v>
      </c>
      <c r="I421" t="s">
        <v>16</v>
      </c>
      <c r="J421" t="s">
        <v>45</v>
      </c>
    </row>
    <row r="422" spans="1:10" x14ac:dyDescent="0.3">
      <c r="A422" t="s">
        <v>17</v>
      </c>
      <c r="B422">
        <v>25</v>
      </c>
      <c r="C422" t="s">
        <v>34</v>
      </c>
      <c r="D422" t="s">
        <v>36</v>
      </c>
      <c r="E422" t="s">
        <v>19</v>
      </c>
      <c r="F422" t="s">
        <v>44</v>
      </c>
      <c r="G422" s="2">
        <v>43881</v>
      </c>
      <c r="H422" t="s">
        <v>14</v>
      </c>
      <c r="I422" t="s">
        <v>15</v>
      </c>
      <c r="J422" t="s">
        <v>28</v>
      </c>
    </row>
    <row r="423" spans="1:10" x14ac:dyDescent="0.3">
      <c r="A423" t="s">
        <v>48</v>
      </c>
      <c r="B423">
        <v>40</v>
      </c>
      <c r="C423" t="s">
        <v>25</v>
      </c>
      <c r="D423" t="s">
        <v>36</v>
      </c>
      <c r="E423" t="s">
        <v>26</v>
      </c>
      <c r="F423" t="s">
        <v>44</v>
      </c>
      <c r="G423" s="2">
        <v>43845</v>
      </c>
      <c r="H423" t="s">
        <v>41</v>
      </c>
      <c r="I423" t="s">
        <v>22</v>
      </c>
      <c r="J423" t="s">
        <v>28</v>
      </c>
    </row>
    <row r="424" spans="1:10" x14ac:dyDescent="0.3">
      <c r="A424" t="s">
        <v>29</v>
      </c>
      <c r="B424">
        <v>50</v>
      </c>
      <c r="C424">
        <v>65000</v>
      </c>
      <c r="D424" t="s">
        <v>11</v>
      </c>
      <c r="E424" t="s">
        <v>12</v>
      </c>
      <c r="F424" t="s">
        <v>13</v>
      </c>
      <c r="G424" t="s">
        <v>40</v>
      </c>
      <c r="H424" t="s">
        <v>21</v>
      </c>
      <c r="I424" t="s">
        <v>15</v>
      </c>
      <c r="J424" t="s">
        <v>23</v>
      </c>
    </row>
    <row r="425" spans="1:10" x14ac:dyDescent="0.3">
      <c r="A425" t="s">
        <v>10</v>
      </c>
      <c r="B425">
        <v>25</v>
      </c>
      <c r="C425">
        <v>50000</v>
      </c>
      <c r="D425" t="s">
        <v>18</v>
      </c>
      <c r="E425" t="s">
        <v>37</v>
      </c>
      <c r="F425" t="s">
        <v>44</v>
      </c>
      <c r="G425" s="2">
        <v>43881</v>
      </c>
      <c r="H425" t="s">
        <v>31</v>
      </c>
      <c r="I425" t="s">
        <v>15</v>
      </c>
      <c r="J425" t="s">
        <v>23</v>
      </c>
    </row>
    <row r="426" spans="1:10" x14ac:dyDescent="0.3">
      <c r="A426" t="s">
        <v>35</v>
      </c>
      <c r="B426">
        <v>25</v>
      </c>
      <c r="C426">
        <v>65000</v>
      </c>
      <c r="D426" t="s">
        <v>18</v>
      </c>
      <c r="E426" t="s">
        <v>37</v>
      </c>
      <c r="F426" t="s">
        <v>13</v>
      </c>
      <c r="G426" t="s">
        <v>40</v>
      </c>
      <c r="H426" t="s">
        <v>27</v>
      </c>
      <c r="I426" t="s">
        <v>15</v>
      </c>
      <c r="J426" t="s">
        <v>23</v>
      </c>
    </row>
    <row r="427" spans="1:10" x14ac:dyDescent="0.3">
      <c r="A427" t="s">
        <v>35</v>
      </c>
      <c r="B427">
        <v>25</v>
      </c>
      <c r="C427">
        <v>65000</v>
      </c>
      <c r="D427" t="s">
        <v>36</v>
      </c>
      <c r="E427" t="s">
        <v>26</v>
      </c>
      <c r="F427" t="s">
        <v>13</v>
      </c>
      <c r="G427" s="2">
        <v>43845</v>
      </c>
      <c r="H427" t="s">
        <v>21</v>
      </c>
      <c r="I427" t="s">
        <v>32</v>
      </c>
      <c r="J427" t="s">
        <v>28</v>
      </c>
    </row>
    <row r="428" spans="1:10" x14ac:dyDescent="0.3">
      <c r="A428" t="s">
        <v>46</v>
      </c>
      <c r="B428" t="s">
        <v>16</v>
      </c>
      <c r="C428">
        <v>50000</v>
      </c>
      <c r="D428" t="s">
        <v>36</v>
      </c>
      <c r="E428" t="s">
        <v>19</v>
      </c>
      <c r="F428" t="s">
        <v>39</v>
      </c>
      <c r="G428" t="s">
        <v>40</v>
      </c>
      <c r="H428" t="s">
        <v>14</v>
      </c>
      <c r="I428" t="s">
        <v>32</v>
      </c>
      <c r="J428" t="s">
        <v>45</v>
      </c>
    </row>
    <row r="429" spans="1:10" x14ac:dyDescent="0.3">
      <c r="A429" t="s">
        <v>29</v>
      </c>
      <c r="B429" t="s">
        <v>16</v>
      </c>
      <c r="C429">
        <v>70000</v>
      </c>
      <c r="D429" t="s">
        <v>36</v>
      </c>
      <c r="E429" t="s">
        <v>12</v>
      </c>
      <c r="F429" t="s">
        <v>43</v>
      </c>
      <c r="G429" s="2">
        <v>43549</v>
      </c>
      <c r="H429" t="s">
        <v>21</v>
      </c>
      <c r="I429" t="s">
        <v>16</v>
      </c>
      <c r="J429" t="s">
        <v>28</v>
      </c>
    </row>
    <row r="430" spans="1:10" x14ac:dyDescent="0.3">
      <c r="A430" t="s">
        <v>17</v>
      </c>
      <c r="B430">
        <v>35</v>
      </c>
      <c r="C430">
        <v>65000</v>
      </c>
      <c r="D430" t="s">
        <v>36</v>
      </c>
      <c r="E430" t="s">
        <v>19</v>
      </c>
      <c r="F430" t="s">
        <v>44</v>
      </c>
      <c r="G430" t="s">
        <v>40</v>
      </c>
      <c r="H430" t="s">
        <v>21</v>
      </c>
      <c r="I430" t="s">
        <v>22</v>
      </c>
      <c r="J430" t="s">
        <v>28</v>
      </c>
    </row>
    <row r="431" spans="1:10" x14ac:dyDescent="0.3">
      <c r="A431" t="s">
        <v>47</v>
      </c>
      <c r="B431" t="s">
        <v>42</v>
      </c>
      <c r="C431">
        <v>65000</v>
      </c>
      <c r="D431" t="s">
        <v>36</v>
      </c>
      <c r="E431" t="s">
        <v>30</v>
      </c>
      <c r="F431" t="s">
        <v>44</v>
      </c>
      <c r="G431" s="2">
        <v>43881</v>
      </c>
      <c r="H431" t="s">
        <v>14</v>
      </c>
      <c r="I431" t="s">
        <v>15</v>
      </c>
      <c r="J431" t="s">
        <v>28</v>
      </c>
    </row>
    <row r="432" spans="1:10" x14ac:dyDescent="0.3">
      <c r="A432" t="s">
        <v>17</v>
      </c>
      <c r="B432">
        <v>40</v>
      </c>
      <c r="C432">
        <v>70000</v>
      </c>
      <c r="D432" t="s">
        <v>18</v>
      </c>
      <c r="E432" t="s">
        <v>19</v>
      </c>
      <c r="F432" t="s">
        <v>39</v>
      </c>
      <c r="G432" s="2">
        <v>43845</v>
      </c>
      <c r="H432" t="s">
        <v>21</v>
      </c>
      <c r="I432" t="s">
        <v>15</v>
      </c>
      <c r="J432" t="s">
        <v>28</v>
      </c>
    </row>
    <row r="433" spans="1:10" x14ac:dyDescent="0.3">
      <c r="A433" t="s">
        <v>35</v>
      </c>
      <c r="B433">
        <v>40</v>
      </c>
      <c r="C433">
        <v>65000</v>
      </c>
      <c r="D433" t="s">
        <v>36</v>
      </c>
      <c r="E433" t="s">
        <v>37</v>
      </c>
      <c r="F433" t="s">
        <v>39</v>
      </c>
      <c r="G433" s="2">
        <v>43881</v>
      </c>
      <c r="H433" t="s">
        <v>27</v>
      </c>
      <c r="I433" t="s">
        <v>15</v>
      </c>
      <c r="J433" t="s">
        <v>45</v>
      </c>
    </row>
    <row r="434" spans="1:10" x14ac:dyDescent="0.3">
      <c r="A434" t="s">
        <v>35</v>
      </c>
      <c r="B434">
        <v>40</v>
      </c>
      <c r="C434">
        <v>65000</v>
      </c>
      <c r="D434" t="s">
        <v>11</v>
      </c>
      <c r="E434" t="s">
        <v>12</v>
      </c>
      <c r="F434" t="s">
        <v>39</v>
      </c>
      <c r="G434" s="2">
        <v>43549</v>
      </c>
      <c r="H434" t="s">
        <v>41</v>
      </c>
      <c r="I434" t="s">
        <v>15</v>
      </c>
      <c r="J434" t="s">
        <v>23</v>
      </c>
    </row>
    <row r="435" spans="1:10" x14ac:dyDescent="0.3">
      <c r="A435" t="s">
        <v>38</v>
      </c>
      <c r="B435">
        <v>35</v>
      </c>
      <c r="C435">
        <v>65000</v>
      </c>
      <c r="D435" t="s">
        <v>11</v>
      </c>
      <c r="E435" t="s">
        <v>19</v>
      </c>
      <c r="F435" t="s">
        <v>20</v>
      </c>
      <c r="G435" s="2">
        <v>43881</v>
      </c>
      <c r="H435" t="s">
        <v>21</v>
      </c>
      <c r="I435" t="s">
        <v>32</v>
      </c>
      <c r="J435" t="s">
        <v>33</v>
      </c>
    </row>
    <row r="436" spans="1:10" x14ac:dyDescent="0.3">
      <c r="A436" t="s">
        <v>35</v>
      </c>
      <c r="B436" t="s">
        <v>16</v>
      </c>
      <c r="C436" t="s">
        <v>34</v>
      </c>
      <c r="D436" t="s">
        <v>18</v>
      </c>
      <c r="E436" t="s">
        <v>12</v>
      </c>
      <c r="F436" t="s">
        <v>20</v>
      </c>
      <c r="G436" s="2">
        <v>43881</v>
      </c>
      <c r="H436" t="s">
        <v>27</v>
      </c>
      <c r="I436" t="s">
        <v>16</v>
      </c>
      <c r="J436" t="s">
        <v>23</v>
      </c>
    </row>
    <row r="437" spans="1:10" x14ac:dyDescent="0.3">
      <c r="A437" t="s">
        <v>48</v>
      </c>
      <c r="B437">
        <v>50</v>
      </c>
      <c r="C437">
        <v>55000</v>
      </c>
      <c r="D437" t="s">
        <v>11</v>
      </c>
      <c r="E437" t="s">
        <v>12</v>
      </c>
      <c r="F437" t="s">
        <v>20</v>
      </c>
      <c r="G437" s="2">
        <v>43881</v>
      </c>
      <c r="H437" t="s">
        <v>41</v>
      </c>
      <c r="J437" t="s">
        <v>23</v>
      </c>
    </row>
    <row r="438" spans="1:10" x14ac:dyDescent="0.3">
      <c r="A438" t="s">
        <v>24</v>
      </c>
      <c r="B438">
        <v>50</v>
      </c>
      <c r="C438">
        <v>70000</v>
      </c>
      <c r="D438" t="s">
        <v>18</v>
      </c>
      <c r="E438" t="s">
        <v>30</v>
      </c>
      <c r="F438" t="s">
        <v>13</v>
      </c>
      <c r="G438" s="1">
        <v>43195</v>
      </c>
      <c r="H438" t="s">
        <v>41</v>
      </c>
      <c r="I438" t="s">
        <v>22</v>
      </c>
      <c r="J438" t="s">
        <v>33</v>
      </c>
    </row>
    <row r="439" spans="1:10" x14ac:dyDescent="0.3">
      <c r="A439" t="s">
        <v>29</v>
      </c>
      <c r="B439">
        <v>35</v>
      </c>
      <c r="C439">
        <v>65000</v>
      </c>
      <c r="D439" t="s">
        <v>18</v>
      </c>
      <c r="E439" t="s">
        <v>30</v>
      </c>
      <c r="F439" t="s">
        <v>44</v>
      </c>
      <c r="G439" s="2">
        <v>43549</v>
      </c>
      <c r="H439" t="s">
        <v>21</v>
      </c>
      <c r="I439" t="s">
        <v>15</v>
      </c>
      <c r="J439" t="s">
        <v>28</v>
      </c>
    </row>
    <row r="440" spans="1:10" x14ac:dyDescent="0.3">
      <c r="A440" t="s">
        <v>17</v>
      </c>
      <c r="B440">
        <v>50</v>
      </c>
      <c r="C440" t="s">
        <v>34</v>
      </c>
      <c r="D440" t="s">
        <v>11</v>
      </c>
      <c r="E440" t="s">
        <v>37</v>
      </c>
      <c r="F440" t="s">
        <v>43</v>
      </c>
      <c r="G440" s="2">
        <v>43881</v>
      </c>
      <c r="H440" t="s">
        <v>27</v>
      </c>
      <c r="I440" t="s">
        <v>16</v>
      </c>
      <c r="J440" t="s">
        <v>45</v>
      </c>
    </row>
    <row r="441" spans="1:10" x14ac:dyDescent="0.3">
      <c r="A441" t="s">
        <v>24</v>
      </c>
      <c r="B441">
        <v>40</v>
      </c>
      <c r="C441">
        <v>70000</v>
      </c>
      <c r="D441" t="s">
        <v>36</v>
      </c>
      <c r="E441" t="s">
        <v>26</v>
      </c>
      <c r="F441" t="s">
        <v>13</v>
      </c>
      <c r="G441" s="2">
        <v>43881</v>
      </c>
      <c r="H441" t="s">
        <v>21</v>
      </c>
      <c r="J441" t="s">
        <v>45</v>
      </c>
    </row>
    <row r="442" spans="1:10" x14ac:dyDescent="0.3">
      <c r="A442" t="s">
        <v>10</v>
      </c>
      <c r="B442" t="s">
        <v>42</v>
      </c>
      <c r="C442" t="s">
        <v>25</v>
      </c>
      <c r="D442" t="s">
        <v>11</v>
      </c>
      <c r="E442" t="s">
        <v>12</v>
      </c>
      <c r="F442" t="s">
        <v>44</v>
      </c>
      <c r="G442" s="2">
        <v>43881</v>
      </c>
      <c r="H442" t="s">
        <v>14</v>
      </c>
      <c r="I442" t="s">
        <v>16</v>
      </c>
      <c r="J442" t="s">
        <v>23</v>
      </c>
    </row>
    <row r="443" spans="1:10" x14ac:dyDescent="0.3">
      <c r="A443" t="s">
        <v>47</v>
      </c>
      <c r="B443">
        <v>25</v>
      </c>
      <c r="C443" t="s">
        <v>25</v>
      </c>
      <c r="D443" t="s">
        <v>11</v>
      </c>
      <c r="E443" t="s">
        <v>26</v>
      </c>
      <c r="F443" t="s">
        <v>44</v>
      </c>
      <c r="G443" s="2">
        <v>43845</v>
      </c>
      <c r="H443" t="s">
        <v>41</v>
      </c>
      <c r="I443" t="s">
        <v>32</v>
      </c>
      <c r="J443" t="s">
        <v>33</v>
      </c>
    </row>
    <row r="444" spans="1:10" x14ac:dyDescent="0.3">
      <c r="A444" t="s">
        <v>48</v>
      </c>
      <c r="B444" t="s">
        <v>16</v>
      </c>
      <c r="C444">
        <v>65000</v>
      </c>
      <c r="D444" t="s">
        <v>18</v>
      </c>
      <c r="E444" t="s">
        <v>37</v>
      </c>
      <c r="F444" t="s">
        <v>39</v>
      </c>
      <c r="G444" s="1">
        <v>43195</v>
      </c>
      <c r="H444" t="s">
        <v>21</v>
      </c>
      <c r="J444" t="s">
        <v>16</v>
      </c>
    </row>
    <row r="445" spans="1:10" x14ac:dyDescent="0.3">
      <c r="A445" t="s">
        <v>17</v>
      </c>
      <c r="B445" t="s">
        <v>16</v>
      </c>
      <c r="C445" t="s">
        <v>34</v>
      </c>
      <c r="D445" t="s">
        <v>11</v>
      </c>
      <c r="E445" t="s">
        <v>12</v>
      </c>
      <c r="F445" t="s">
        <v>39</v>
      </c>
      <c r="G445" s="2">
        <v>43845</v>
      </c>
      <c r="H445" t="s">
        <v>41</v>
      </c>
      <c r="I445" t="s">
        <v>16</v>
      </c>
      <c r="J445" t="s">
        <v>28</v>
      </c>
    </row>
    <row r="446" spans="1:10" x14ac:dyDescent="0.3">
      <c r="A446" t="s">
        <v>24</v>
      </c>
      <c r="B446">
        <v>35</v>
      </c>
      <c r="C446" t="s">
        <v>34</v>
      </c>
      <c r="D446" t="s">
        <v>18</v>
      </c>
      <c r="E446" t="s">
        <v>12</v>
      </c>
      <c r="F446" t="s">
        <v>13</v>
      </c>
      <c r="G446" s="1">
        <v>43195</v>
      </c>
      <c r="H446" t="s">
        <v>27</v>
      </c>
      <c r="I446" t="s">
        <v>32</v>
      </c>
      <c r="J446" t="s">
        <v>23</v>
      </c>
    </row>
    <row r="447" spans="1:10" x14ac:dyDescent="0.3">
      <c r="A447" t="s">
        <v>47</v>
      </c>
      <c r="B447" t="s">
        <v>16</v>
      </c>
      <c r="C447">
        <v>70000</v>
      </c>
      <c r="D447" t="s">
        <v>36</v>
      </c>
      <c r="E447" t="s">
        <v>26</v>
      </c>
      <c r="F447" t="s">
        <v>39</v>
      </c>
      <c r="G447" s="2">
        <v>43881</v>
      </c>
      <c r="H447" t="s">
        <v>31</v>
      </c>
      <c r="I447" t="s">
        <v>16</v>
      </c>
      <c r="J447" t="s">
        <v>45</v>
      </c>
    </row>
    <row r="448" spans="1:10" x14ac:dyDescent="0.3">
      <c r="A448" t="s">
        <v>38</v>
      </c>
      <c r="B448">
        <v>40</v>
      </c>
      <c r="C448">
        <v>70000</v>
      </c>
      <c r="D448" t="s">
        <v>36</v>
      </c>
      <c r="E448" t="s">
        <v>19</v>
      </c>
      <c r="F448" t="s">
        <v>44</v>
      </c>
      <c r="G448" s="2">
        <v>43549</v>
      </c>
      <c r="H448" t="s">
        <v>21</v>
      </c>
      <c r="I448" t="s">
        <v>16</v>
      </c>
      <c r="J448" t="s">
        <v>33</v>
      </c>
    </row>
    <row r="449" spans="1:10" x14ac:dyDescent="0.3">
      <c r="A449" t="s">
        <v>48</v>
      </c>
      <c r="B449">
        <v>50</v>
      </c>
      <c r="C449" t="s">
        <v>34</v>
      </c>
      <c r="D449" t="s">
        <v>36</v>
      </c>
      <c r="E449" t="s">
        <v>30</v>
      </c>
      <c r="F449" t="s">
        <v>39</v>
      </c>
      <c r="G449" t="s">
        <v>40</v>
      </c>
      <c r="H449" t="s">
        <v>21</v>
      </c>
      <c r="J449" t="s">
        <v>33</v>
      </c>
    </row>
    <row r="450" spans="1:10" x14ac:dyDescent="0.3">
      <c r="A450" t="s">
        <v>48</v>
      </c>
      <c r="B450">
        <v>40</v>
      </c>
      <c r="C450">
        <v>70000</v>
      </c>
      <c r="D450" t="s">
        <v>11</v>
      </c>
      <c r="E450" t="s">
        <v>19</v>
      </c>
      <c r="F450" t="s">
        <v>20</v>
      </c>
      <c r="G450" t="s">
        <v>40</v>
      </c>
      <c r="H450" t="s">
        <v>41</v>
      </c>
      <c r="I450" t="s">
        <v>32</v>
      </c>
      <c r="J450" t="s">
        <v>23</v>
      </c>
    </row>
    <row r="451" spans="1:10" x14ac:dyDescent="0.3">
      <c r="A451" t="s">
        <v>38</v>
      </c>
      <c r="B451">
        <v>35</v>
      </c>
      <c r="C451" t="s">
        <v>34</v>
      </c>
      <c r="D451" t="s">
        <v>18</v>
      </c>
      <c r="E451" t="s">
        <v>26</v>
      </c>
      <c r="F451" t="s">
        <v>39</v>
      </c>
      <c r="G451" s="2">
        <v>43881</v>
      </c>
      <c r="H451" t="s">
        <v>27</v>
      </c>
      <c r="I451" t="s">
        <v>15</v>
      </c>
      <c r="J451" t="s">
        <v>16</v>
      </c>
    </row>
    <row r="452" spans="1:10" x14ac:dyDescent="0.3">
      <c r="A452" t="s">
        <v>29</v>
      </c>
      <c r="B452">
        <v>40</v>
      </c>
      <c r="C452">
        <v>55000</v>
      </c>
      <c r="D452" t="s">
        <v>36</v>
      </c>
      <c r="E452" t="s">
        <v>30</v>
      </c>
      <c r="F452" t="s">
        <v>44</v>
      </c>
      <c r="G452" s="2">
        <v>43845</v>
      </c>
      <c r="H452" t="s">
        <v>14</v>
      </c>
      <c r="I452" t="s">
        <v>22</v>
      </c>
      <c r="J452" t="s">
        <v>45</v>
      </c>
    </row>
    <row r="453" spans="1:10" x14ac:dyDescent="0.3">
      <c r="A453" t="s">
        <v>38</v>
      </c>
      <c r="B453">
        <v>50</v>
      </c>
      <c r="C453" t="s">
        <v>34</v>
      </c>
      <c r="D453" t="s">
        <v>18</v>
      </c>
      <c r="E453" t="s">
        <v>19</v>
      </c>
      <c r="F453" t="s">
        <v>13</v>
      </c>
      <c r="G453" s="2">
        <v>43549</v>
      </c>
      <c r="H453" t="s">
        <v>27</v>
      </c>
      <c r="J453" t="s">
        <v>23</v>
      </c>
    </row>
    <row r="454" spans="1:10" x14ac:dyDescent="0.3">
      <c r="A454" t="s">
        <v>48</v>
      </c>
      <c r="B454" t="s">
        <v>42</v>
      </c>
      <c r="C454" t="s">
        <v>25</v>
      </c>
      <c r="D454" t="s">
        <v>18</v>
      </c>
      <c r="E454" t="s">
        <v>30</v>
      </c>
      <c r="F454" t="s">
        <v>43</v>
      </c>
      <c r="G454" s="1">
        <v>43195</v>
      </c>
      <c r="H454" t="s">
        <v>21</v>
      </c>
      <c r="I454" t="s">
        <v>32</v>
      </c>
      <c r="J454" t="s">
        <v>16</v>
      </c>
    </row>
    <row r="455" spans="1:10" x14ac:dyDescent="0.3">
      <c r="A455" t="s">
        <v>48</v>
      </c>
      <c r="B455">
        <v>35</v>
      </c>
      <c r="C455">
        <v>70000</v>
      </c>
      <c r="D455" t="s">
        <v>36</v>
      </c>
      <c r="E455" t="s">
        <v>12</v>
      </c>
      <c r="F455" t="s">
        <v>39</v>
      </c>
      <c r="G455" s="2">
        <v>43881</v>
      </c>
      <c r="H455" t="s">
        <v>14</v>
      </c>
      <c r="I455" t="s">
        <v>16</v>
      </c>
      <c r="J455" t="s">
        <v>33</v>
      </c>
    </row>
    <row r="456" spans="1:10" x14ac:dyDescent="0.3">
      <c r="A456" t="s">
        <v>24</v>
      </c>
      <c r="B456" t="s">
        <v>42</v>
      </c>
      <c r="C456" t="s">
        <v>34</v>
      </c>
      <c r="D456" t="s">
        <v>36</v>
      </c>
      <c r="E456" t="s">
        <v>19</v>
      </c>
      <c r="F456" t="s">
        <v>44</v>
      </c>
      <c r="G456" s="2">
        <v>43549</v>
      </c>
      <c r="H456" t="s">
        <v>27</v>
      </c>
      <c r="I456" t="s">
        <v>32</v>
      </c>
      <c r="J456" t="s">
        <v>28</v>
      </c>
    </row>
    <row r="457" spans="1:10" x14ac:dyDescent="0.3">
      <c r="A457" t="s">
        <v>35</v>
      </c>
      <c r="B457">
        <v>25</v>
      </c>
      <c r="C457" t="s">
        <v>34</v>
      </c>
      <c r="D457" t="s">
        <v>18</v>
      </c>
      <c r="E457" t="s">
        <v>30</v>
      </c>
      <c r="F457" t="s">
        <v>43</v>
      </c>
      <c r="G457" s="2">
        <v>43549</v>
      </c>
      <c r="H457" t="s">
        <v>31</v>
      </c>
      <c r="I457" t="s">
        <v>22</v>
      </c>
      <c r="J457" t="s">
        <v>45</v>
      </c>
    </row>
    <row r="458" spans="1:10" x14ac:dyDescent="0.3">
      <c r="A458" t="s">
        <v>47</v>
      </c>
      <c r="B458" t="s">
        <v>42</v>
      </c>
      <c r="C458">
        <v>70000</v>
      </c>
      <c r="D458" t="s">
        <v>36</v>
      </c>
      <c r="E458" t="s">
        <v>30</v>
      </c>
      <c r="F458" t="s">
        <v>43</v>
      </c>
      <c r="G458" s="1">
        <v>43195</v>
      </c>
      <c r="H458" t="s">
        <v>41</v>
      </c>
      <c r="I458" t="s">
        <v>22</v>
      </c>
      <c r="J458" t="s">
        <v>45</v>
      </c>
    </row>
    <row r="459" spans="1:10" x14ac:dyDescent="0.3">
      <c r="A459" t="s">
        <v>38</v>
      </c>
      <c r="B459">
        <v>25</v>
      </c>
      <c r="C459">
        <v>55000</v>
      </c>
      <c r="D459" t="s">
        <v>18</v>
      </c>
      <c r="E459" t="s">
        <v>30</v>
      </c>
      <c r="F459" t="s">
        <v>20</v>
      </c>
      <c r="G459" s="2">
        <v>43549</v>
      </c>
      <c r="H459" t="s">
        <v>27</v>
      </c>
      <c r="I459" t="s">
        <v>15</v>
      </c>
      <c r="J459" t="s">
        <v>16</v>
      </c>
    </row>
    <row r="460" spans="1:10" x14ac:dyDescent="0.3">
      <c r="A460" t="s">
        <v>47</v>
      </c>
      <c r="B460">
        <v>25</v>
      </c>
      <c r="C460">
        <v>55000</v>
      </c>
      <c r="D460" t="s">
        <v>18</v>
      </c>
      <c r="E460" t="s">
        <v>19</v>
      </c>
      <c r="F460" t="s">
        <v>43</v>
      </c>
      <c r="G460" s="2">
        <v>43845</v>
      </c>
      <c r="H460" t="s">
        <v>27</v>
      </c>
      <c r="I460" t="s">
        <v>15</v>
      </c>
      <c r="J460" t="s">
        <v>23</v>
      </c>
    </row>
    <row r="461" spans="1:10" x14ac:dyDescent="0.3">
      <c r="A461" t="s">
        <v>38</v>
      </c>
      <c r="B461" t="s">
        <v>42</v>
      </c>
      <c r="C461">
        <v>70000</v>
      </c>
      <c r="D461" t="s">
        <v>36</v>
      </c>
      <c r="E461" t="s">
        <v>37</v>
      </c>
      <c r="F461" t="s">
        <v>44</v>
      </c>
      <c r="G461" s="2">
        <v>43845</v>
      </c>
      <c r="H461" t="s">
        <v>31</v>
      </c>
      <c r="I461" t="s">
        <v>22</v>
      </c>
      <c r="J461" t="s">
        <v>33</v>
      </c>
    </row>
    <row r="462" spans="1:10" x14ac:dyDescent="0.3">
      <c r="A462" t="s">
        <v>10</v>
      </c>
      <c r="B462">
        <v>35</v>
      </c>
      <c r="C462">
        <v>50000</v>
      </c>
      <c r="D462" t="s">
        <v>11</v>
      </c>
      <c r="E462" t="s">
        <v>19</v>
      </c>
      <c r="F462" t="s">
        <v>44</v>
      </c>
      <c r="G462" s="2">
        <v>43845</v>
      </c>
      <c r="H462" t="s">
        <v>21</v>
      </c>
      <c r="J462" t="s">
        <v>16</v>
      </c>
    </row>
    <row r="463" spans="1:10" x14ac:dyDescent="0.3">
      <c r="A463" t="s">
        <v>48</v>
      </c>
      <c r="B463">
        <v>50</v>
      </c>
      <c r="C463">
        <v>70000</v>
      </c>
      <c r="D463" t="s">
        <v>36</v>
      </c>
      <c r="E463" t="s">
        <v>26</v>
      </c>
      <c r="F463" t="s">
        <v>39</v>
      </c>
      <c r="G463" s="2">
        <v>43549</v>
      </c>
      <c r="H463" t="s">
        <v>41</v>
      </c>
      <c r="J463" t="s">
        <v>28</v>
      </c>
    </row>
    <row r="464" spans="1:10" x14ac:dyDescent="0.3">
      <c r="A464" t="s">
        <v>35</v>
      </c>
      <c r="B464">
        <v>40</v>
      </c>
      <c r="C464">
        <v>70000</v>
      </c>
      <c r="D464" t="s">
        <v>11</v>
      </c>
      <c r="E464" t="s">
        <v>19</v>
      </c>
      <c r="F464" t="s">
        <v>39</v>
      </c>
      <c r="G464" s="2">
        <v>43845</v>
      </c>
      <c r="H464" t="s">
        <v>27</v>
      </c>
      <c r="I464" t="s">
        <v>16</v>
      </c>
      <c r="J464" t="s">
        <v>28</v>
      </c>
    </row>
    <row r="465" spans="1:10" x14ac:dyDescent="0.3">
      <c r="A465" t="s">
        <v>24</v>
      </c>
      <c r="B465">
        <v>40</v>
      </c>
      <c r="C465">
        <v>55000</v>
      </c>
      <c r="D465" t="s">
        <v>18</v>
      </c>
      <c r="E465" t="s">
        <v>30</v>
      </c>
      <c r="F465" t="s">
        <v>39</v>
      </c>
      <c r="G465" s="1">
        <v>43195</v>
      </c>
      <c r="H465" t="s">
        <v>14</v>
      </c>
      <c r="I465" t="s">
        <v>15</v>
      </c>
      <c r="J465" t="s">
        <v>28</v>
      </c>
    </row>
    <row r="466" spans="1:10" x14ac:dyDescent="0.3">
      <c r="A466" t="s">
        <v>35</v>
      </c>
      <c r="B466">
        <v>50</v>
      </c>
      <c r="C466">
        <v>55000</v>
      </c>
      <c r="D466" t="s">
        <v>18</v>
      </c>
      <c r="E466" t="s">
        <v>12</v>
      </c>
      <c r="F466" t="s">
        <v>43</v>
      </c>
      <c r="G466" s="2">
        <v>43549</v>
      </c>
      <c r="H466" t="s">
        <v>27</v>
      </c>
      <c r="I466" t="s">
        <v>16</v>
      </c>
      <c r="J466" t="s">
        <v>16</v>
      </c>
    </row>
    <row r="467" spans="1:10" x14ac:dyDescent="0.3">
      <c r="A467" t="s">
        <v>35</v>
      </c>
      <c r="B467">
        <v>25</v>
      </c>
      <c r="C467">
        <v>70000</v>
      </c>
      <c r="D467" t="s">
        <v>11</v>
      </c>
      <c r="E467" t="s">
        <v>19</v>
      </c>
      <c r="F467" t="s">
        <v>43</v>
      </c>
      <c r="G467" t="s">
        <v>40</v>
      </c>
      <c r="H467" t="s">
        <v>41</v>
      </c>
      <c r="I467" t="s">
        <v>15</v>
      </c>
      <c r="J467" t="s">
        <v>33</v>
      </c>
    </row>
    <row r="468" spans="1:10" x14ac:dyDescent="0.3">
      <c r="A468" t="s">
        <v>35</v>
      </c>
      <c r="B468">
        <v>25</v>
      </c>
      <c r="C468">
        <v>70000</v>
      </c>
      <c r="D468" t="s">
        <v>18</v>
      </c>
      <c r="E468" t="s">
        <v>19</v>
      </c>
      <c r="F468" t="s">
        <v>20</v>
      </c>
      <c r="G468" s="2">
        <v>43549</v>
      </c>
      <c r="H468" t="s">
        <v>27</v>
      </c>
      <c r="I468" t="s">
        <v>22</v>
      </c>
      <c r="J468" t="s">
        <v>45</v>
      </c>
    </row>
    <row r="469" spans="1:10" x14ac:dyDescent="0.3">
      <c r="A469" t="s">
        <v>47</v>
      </c>
      <c r="B469">
        <v>35</v>
      </c>
      <c r="C469">
        <v>70000</v>
      </c>
      <c r="D469" t="s">
        <v>11</v>
      </c>
      <c r="E469" t="s">
        <v>30</v>
      </c>
      <c r="F469" t="s">
        <v>39</v>
      </c>
      <c r="G469" s="1">
        <v>43195</v>
      </c>
      <c r="H469" t="s">
        <v>31</v>
      </c>
      <c r="J469" t="s">
        <v>23</v>
      </c>
    </row>
    <row r="470" spans="1:10" x14ac:dyDescent="0.3">
      <c r="A470" t="s">
        <v>38</v>
      </c>
      <c r="B470" t="s">
        <v>16</v>
      </c>
      <c r="C470">
        <v>55000</v>
      </c>
      <c r="D470" t="s">
        <v>11</v>
      </c>
      <c r="E470" t="s">
        <v>12</v>
      </c>
      <c r="F470" t="s">
        <v>13</v>
      </c>
      <c r="G470" t="s">
        <v>40</v>
      </c>
      <c r="H470" t="s">
        <v>27</v>
      </c>
      <c r="J470" t="s">
        <v>45</v>
      </c>
    </row>
    <row r="471" spans="1:10" x14ac:dyDescent="0.3">
      <c r="A471" t="s">
        <v>49</v>
      </c>
      <c r="B471" t="s">
        <v>42</v>
      </c>
      <c r="C471">
        <v>70000</v>
      </c>
      <c r="D471" t="s">
        <v>18</v>
      </c>
      <c r="E471" t="s">
        <v>12</v>
      </c>
      <c r="F471" t="s">
        <v>20</v>
      </c>
      <c r="G471" s="2">
        <v>43549</v>
      </c>
      <c r="H471" t="s">
        <v>27</v>
      </c>
      <c r="I471" t="s">
        <v>22</v>
      </c>
      <c r="J471" t="s">
        <v>33</v>
      </c>
    </row>
    <row r="472" spans="1:10" x14ac:dyDescent="0.3">
      <c r="A472" t="s">
        <v>10</v>
      </c>
      <c r="B472">
        <v>25</v>
      </c>
      <c r="C472">
        <v>70000</v>
      </c>
      <c r="D472" t="s">
        <v>11</v>
      </c>
      <c r="E472" t="s">
        <v>26</v>
      </c>
      <c r="F472" t="s">
        <v>13</v>
      </c>
      <c r="G472" s="2">
        <v>43845</v>
      </c>
      <c r="H472" t="s">
        <v>14</v>
      </c>
      <c r="I472" t="s">
        <v>16</v>
      </c>
      <c r="J472" t="s">
        <v>45</v>
      </c>
    </row>
    <row r="473" spans="1:10" x14ac:dyDescent="0.3">
      <c r="A473" t="s">
        <v>17</v>
      </c>
      <c r="B473">
        <v>40</v>
      </c>
      <c r="C473">
        <v>65000</v>
      </c>
      <c r="D473" t="s">
        <v>36</v>
      </c>
      <c r="E473" t="s">
        <v>19</v>
      </c>
      <c r="F473" t="s">
        <v>43</v>
      </c>
      <c r="G473" s="2">
        <v>43881</v>
      </c>
      <c r="H473" t="s">
        <v>31</v>
      </c>
      <c r="I473" t="s">
        <v>16</v>
      </c>
      <c r="J473" t="s">
        <v>16</v>
      </c>
    </row>
    <row r="474" spans="1:10" x14ac:dyDescent="0.3">
      <c r="A474" t="s">
        <v>35</v>
      </c>
      <c r="B474">
        <v>35</v>
      </c>
      <c r="C474">
        <v>50000</v>
      </c>
      <c r="D474" t="s">
        <v>36</v>
      </c>
      <c r="E474" t="s">
        <v>12</v>
      </c>
      <c r="F474" t="s">
        <v>20</v>
      </c>
      <c r="G474" s="2">
        <v>43881</v>
      </c>
      <c r="H474" t="s">
        <v>31</v>
      </c>
      <c r="I474" t="s">
        <v>32</v>
      </c>
      <c r="J474" t="s">
        <v>28</v>
      </c>
    </row>
    <row r="475" spans="1:10" x14ac:dyDescent="0.3">
      <c r="A475" t="s">
        <v>29</v>
      </c>
      <c r="B475" t="s">
        <v>42</v>
      </c>
      <c r="C475" t="s">
        <v>25</v>
      </c>
      <c r="D475" t="s">
        <v>18</v>
      </c>
      <c r="E475" t="s">
        <v>12</v>
      </c>
      <c r="F475" t="s">
        <v>20</v>
      </c>
      <c r="G475" s="2">
        <v>43845</v>
      </c>
      <c r="H475" t="s">
        <v>27</v>
      </c>
      <c r="I475" t="s">
        <v>15</v>
      </c>
      <c r="J475" t="s">
        <v>33</v>
      </c>
    </row>
    <row r="476" spans="1:10" x14ac:dyDescent="0.3">
      <c r="A476" t="s">
        <v>47</v>
      </c>
      <c r="B476">
        <v>35</v>
      </c>
      <c r="C476">
        <v>50000</v>
      </c>
      <c r="D476" t="s">
        <v>18</v>
      </c>
      <c r="E476" t="s">
        <v>37</v>
      </c>
      <c r="F476" t="s">
        <v>44</v>
      </c>
      <c r="G476" s="2">
        <v>43881</v>
      </c>
      <c r="H476" t="s">
        <v>14</v>
      </c>
      <c r="I476" t="s">
        <v>16</v>
      </c>
      <c r="J476" t="s">
        <v>33</v>
      </c>
    </row>
    <row r="477" spans="1:10" x14ac:dyDescent="0.3">
      <c r="A477" t="s">
        <v>24</v>
      </c>
      <c r="B477" t="s">
        <v>42</v>
      </c>
      <c r="C477">
        <v>65000</v>
      </c>
      <c r="D477" t="s">
        <v>11</v>
      </c>
      <c r="E477" t="s">
        <v>37</v>
      </c>
      <c r="F477" t="s">
        <v>43</v>
      </c>
      <c r="G477" s="2">
        <v>43881</v>
      </c>
      <c r="H477" t="s">
        <v>27</v>
      </c>
      <c r="I477" t="s">
        <v>22</v>
      </c>
      <c r="J477" t="s">
        <v>45</v>
      </c>
    </row>
    <row r="478" spans="1:10" x14ac:dyDescent="0.3">
      <c r="A478" t="s">
        <v>17</v>
      </c>
      <c r="B478" t="s">
        <v>42</v>
      </c>
      <c r="C478" t="s">
        <v>25</v>
      </c>
      <c r="D478" t="s">
        <v>11</v>
      </c>
      <c r="E478" t="s">
        <v>12</v>
      </c>
      <c r="F478" t="s">
        <v>43</v>
      </c>
      <c r="G478" s="2">
        <v>43845</v>
      </c>
      <c r="H478" t="s">
        <v>27</v>
      </c>
      <c r="I478" t="s">
        <v>16</v>
      </c>
      <c r="J478" t="s">
        <v>16</v>
      </c>
    </row>
    <row r="479" spans="1:10" x14ac:dyDescent="0.3">
      <c r="A479" t="s">
        <v>49</v>
      </c>
      <c r="B479">
        <v>50</v>
      </c>
      <c r="C479">
        <v>70000</v>
      </c>
      <c r="D479" t="s">
        <v>11</v>
      </c>
      <c r="E479" t="s">
        <v>26</v>
      </c>
      <c r="F479" t="s">
        <v>20</v>
      </c>
      <c r="G479" s="2">
        <v>43845</v>
      </c>
      <c r="H479" t="s">
        <v>41</v>
      </c>
      <c r="J479" t="s">
        <v>45</v>
      </c>
    </row>
    <row r="480" spans="1:10" x14ac:dyDescent="0.3">
      <c r="A480" t="s">
        <v>29</v>
      </c>
      <c r="B480">
        <v>25</v>
      </c>
      <c r="C480">
        <v>65000</v>
      </c>
      <c r="D480" t="s">
        <v>11</v>
      </c>
      <c r="E480" t="s">
        <v>12</v>
      </c>
      <c r="F480" t="s">
        <v>43</v>
      </c>
      <c r="G480" s="2">
        <v>43549</v>
      </c>
      <c r="H480" t="s">
        <v>41</v>
      </c>
      <c r="I480" t="s">
        <v>15</v>
      </c>
      <c r="J480" t="s">
        <v>45</v>
      </c>
    </row>
    <row r="481" spans="1:10" x14ac:dyDescent="0.3">
      <c r="A481" t="s">
        <v>49</v>
      </c>
      <c r="B481">
        <v>35</v>
      </c>
      <c r="C481">
        <v>70000</v>
      </c>
      <c r="D481" t="s">
        <v>36</v>
      </c>
      <c r="E481" t="s">
        <v>30</v>
      </c>
      <c r="F481" t="s">
        <v>20</v>
      </c>
      <c r="G481" s="2">
        <v>43549</v>
      </c>
      <c r="H481" t="s">
        <v>14</v>
      </c>
      <c r="I481" t="s">
        <v>32</v>
      </c>
      <c r="J481" t="s">
        <v>33</v>
      </c>
    </row>
    <row r="482" spans="1:10" x14ac:dyDescent="0.3">
      <c r="A482" t="s">
        <v>17</v>
      </c>
      <c r="B482">
        <v>35</v>
      </c>
      <c r="C482">
        <v>55000</v>
      </c>
      <c r="D482" t="s">
        <v>36</v>
      </c>
      <c r="E482" t="s">
        <v>19</v>
      </c>
      <c r="F482" t="s">
        <v>44</v>
      </c>
      <c r="G482" s="2">
        <v>43845</v>
      </c>
      <c r="H482" t="s">
        <v>21</v>
      </c>
      <c r="I482" t="s">
        <v>15</v>
      </c>
      <c r="J482" t="s">
        <v>45</v>
      </c>
    </row>
    <row r="483" spans="1:10" x14ac:dyDescent="0.3">
      <c r="A483" t="s">
        <v>35</v>
      </c>
      <c r="B483">
        <v>50</v>
      </c>
      <c r="C483" t="s">
        <v>34</v>
      </c>
      <c r="D483" t="s">
        <v>18</v>
      </c>
      <c r="E483" t="s">
        <v>26</v>
      </c>
      <c r="F483" t="s">
        <v>20</v>
      </c>
      <c r="G483" s="1">
        <v>43195</v>
      </c>
      <c r="H483" t="s">
        <v>41</v>
      </c>
      <c r="J483" t="s">
        <v>28</v>
      </c>
    </row>
    <row r="484" spans="1:10" x14ac:dyDescent="0.3">
      <c r="A484" t="s">
        <v>29</v>
      </c>
      <c r="B484">
        <v>40</v>
      </c>
      <c r="C484">
        <v>65000</v>
      </c>
      <c r="D484" t="s">
        <v>11</v>
      </c>
      <c r="E484" t="s">
        <v>30</v>
      </c>
      <c r="F484" t="s">
        <v>43</v>
      </c>
      <c r="G484" s="2">
        <v>43881</v>
      </c>
      <c r="H484" t="s">
        <v>21</v>
      </c>
      <c r="J484" t="s">
        <v>45</v>
      </c>
    </row>
    <row r="485" spans="1:10" x14ac:dyDescent="0.3">
      <c r="A485" t="s">
        <v>49</v>
      </c>
      <c r="B485">
        <v>40</v>
      </c>
      <c r="C485">
        <v>55000</v>
      </c>
      <c r="D485" t="s">
        <v>11</v>
      </c>
      <c r="E485" t="s">
        <v>26</v>
      </c>
      <c r="F485" t="s">
        <v>43</v>
      </c>
      <c r="G485" s="2">
        <v>43549</v>
      </c>
      <c r="H485" t="s">
        <v>31</v>
      </c>
      <c r="J485" t="s">
        <v>28</v>
      </c>
    </row>
    <row r="486" spans="1:10" x14ac:dyDescent="0.3">
      <c r="A486" t="s">
        <v>24</v>
      </c>
      <c r="B486">
        <v>25</v>
      </c>
      <c r="C486">
        <v>65000</v>
      </c>
      <c r="D486" t="s">
        <v>18</v>
      </c>
      <c r="E486" t="s">
        <v>30</v>
      </c>
      <c r="F486" t="s">
        <v>20</v>
      </c>
      <c r="G486" s="2">
        <v>43881</v>
      </c>
      <c r="H486" t="s">
        <v>41</v>
      </c>
      <c r="J486" t="s">
        <v>33</v>
      </c>
    </row>
    <row r="487" spans="1:10" x14ac:dyDescent="0.3">
      <c r="A487" t="s">
        <v>38</v>
      </c>
      <c r="B487">
        <v>25</v>
      </c>
      <c r="C487">
        <v>65000</v>
      </c>
      <c r="D487" t="s">
        <v>11</v>
      </c>
      <c r="E487" t="s">
        <v>19</v>
      </c>
      <c r="F487" t="s">
        <v>20</v>
      </c>
      <c r="G487" t="s">
        <v>40</v>
      </c>
      <c r="H487" t="s">
        <v>41</v>
      </c>
      <c r="I487" t="s">
        <v>22</v>
      </c>
      <c r="J487" t="s">
        <v>16</v>
      </c>
    </row>
    <row r="488" spans="1:10" x14ac:dyDescent="0.3">
      <c r="A488" t="s">
        <v>48</v>
      </c>
      <c r="B488" t="s">
        <v>16</v>
      </c>
      <c r="C488">
        <v>55000</v>
      </c>
      <c r="D488" t="s">
        <v>11</v>
      </c>
      <c r="E488" t="s">
        <v>19</v>
      </c>
      <c r="F488" t="s">
        <v>20</v>
      </c>
      <c r="G488" s="2">
        <v>43845</v>
      </c>
      <c r="H488" t="s">
        <v>14</v>
      </c>
      <c r="I488" t="s">
        <v>32</v>
      </c>
      <c r="J488" t="s">
        <v>28</v>
      </c>
    </row>
    <row r="489" spans="1:10" x14ac:dyDescent="0.3">
      <c r="A489" t="s">
        <v>38</v>
      </c>
      <c r="B489">
        <v>50</v>
      </c>
      <c r="C489" t="s">
        <v>25</v>
      </c>
      <c r="D489" t="s">
        <v>11</v>
      </c>
      <c r="E489" t="s">
        <v>37</v>
      </c>
      <c r="F489" t="s">
        <v>39</v>
      </c>
      <c r="G489" s="1">
        <v>43195</v>
      </c>
      <c r="H489" t="s">
        <v>21</v>
      </c>
      <c r="J489" t="s">
        <v>16</v>
      </c>
    </row>
    <row r="490" spans="1:10" x14ac:dyDescent="0.3">
      <c r="A490" t="s">
        <v>17</v>
      </c>
      <c r="B490">
        <v>40</v>
      </c>
      <c r="C490">
        <v>50000</v>
      </c>
      <c r="D490" t="s">
        <v>11</v>
      </c>
      <c r="E490" t="s">
        <v>30</v>
      </c>
      <c r="F490" t="s">
        <v>43</v>
      </c>
      <c r="G490" t="s">
        <v>40</v>
      </c>
      <c r="H490" t="s">
        <v>41</v>
      </c>
      <c r="J490" t="s">
        <v>16</v>
      </c>
    </row>
    <row r="491" spans="1:10" x14ac:dyDescent="0.3">
      <c r="A491" t="s">
        <v>47</v>
      </c>
      <c r="B491" t="s">
        <v>42</v>
      </c>
      <c r="C491">
        <v>70000</v>
      </c>
      <c r="D491" t="s">
        <v>11</v>
      </c>
      <c r="E491" t="s">
        <v>37</v>
      </c>
      <c r="F491" t="s">
        <v>43</v>
      </c>
      <c r="G491" t="s">
        <v>40</v>
      </c>
      <c r="H491" t="s">
        <v>41</v>
      </c>
      <c r="I491" t="s">
        <v>16</v>
      </c>
      <c r="J491" t="s">
        <v>28</v>
      </c>
    </row>
    <row r="492" spans="1:10" x14ac:dyDescent="0.3">
      <c r="A492" t="s">
        <v>48</v>
      </c>
      <c r="B492">
        <v>35</v>
      </c>
      <c r="C492">
        <v>65000</v>
      </c>
      <c r="D492" t="s">
        <v>18</v>
      </c>
      <c r="E492" t="s">
        <v>30</v>
      </c>
      <c r="F492" t="s">
        <v>39</v>
      </c>
      <c r="G492" t="s">
        <v>40</v>
      </c>
      <c r="H492" t="s">
        <v>14</v>
      </c>
      <c r="I492" t="s">
        <v>32</v>
      </c>
      <c r="J492" t="s">
        <v>33</v>
      </c>
    </row>
    <row r="493" spans="1:10" x14ac:dyDescent="0.3">
      <c r="A493" t="s">
        <v>10</v>
      </c>
      <c r="B493">
        <v>25</v>
      </c>
      <c r="C493">
        <v>70000</v>
      </c>
      <c r="D493" t="s">
        <v>11</v>
      </c>
      <c r="E493" t="s">
        <v>37</v>
      </c>
      <c r="F493" t="s">
        <v>20</v>
      </c>
      <c r="G493" s="2">
        <v>43845</v>
      </c>
      <c r="H493" t="s">
        <v>14</v>
      </c>
      <c r="I493" t="s">
        <v>15</v>
      </c>
      <c r="J493" t="s">
        <v>23</v>
      </c>
    </row>
    <row r="494" spans="1:10" x14ac:dyDescent="0.3">
      <c r="A494" t="s">
        <v>24</v>
      </c>
      <c r="B494">
        <v>35</v>
      </c>
      <c r="C494" t="s">
        <v>34</v>
      </c>
      <c r="D494" t="s">
        <v>18</v>
      </c>
      <c r="E494" t="s">
        <v>19</v>
      </c>
      <c r="F494" t="s">
        <v>44</v>
      </c>
      <c r="G494" s="2">
        <v>43549</v>
      </c>
      <c r="H494" t="s">
        <v>21</v>
      </c>
      <c r="I494" t="s">
        <v>32</v>
      </c>
      <c r="J494" t="s">
        <v>16</v>
      </c>
    </row>
    <row r="495" spans="1:10" x14ac:dyDescent="0.3">
      <c r="A495" t="s">
        <v>10</v>
      </c>
      <c r="B495">
        <v>35</v>
      </c>
      <c r="C495">
        <v>55000</v>
      </c>
      <c r="D495" t="s">
        <v>11</v>
      </c>
      <c r="E495" t="s">
        <v>26</v>
      </c>
      <c r="F495" t="s">
        <v>20</v>
      </c>
      <c r="G495" s="2">
        <v>43845</v>
      </c>
      <c r="H495" t="s">
        <v>31</v>
      </c>
      <c r="I495" t="s">
        <v>32</v>
      </c>
      <c r="J495" t="s">
        <v>16</v>
      </c>
    </row>
    <row r="496" spans="1:10" x14ac:dyDescent="0.3">
      <c r="A496" t="s">
        <v>29</v>
      </c>
      <c r="B496" t="s">
        <v>16</v>
      </c>
      <c r="C496">
        <v>70000</v>
      </c>
      <c r="D496" t="s">
        <v>36</v>
      </c>
      <c r="E496" t="s">
        <v>37</v>
      </c>
      <c r="F496" t="s">
        <v>20</v>
      </c>
      <c r="G496" s="2">
        <v>43549</v>
      </c>
      <c r="H496" t="s">
        <v>31</v>
      </c>
      <c r="I496" t="s">
        <v>32</v>
      </c>
      <c r="J496" t="s">
        <v>33</v>
      </c>
    </row>
    <row r="497" spans="1:10" x14ac:dyDescent="0.3">
      <c r="A497" t="s">
        <v>48</v>
      </c>
      <c r="B497">
        <v>40</v>
      </c>
      <c r="C497">
        <v>55000</v>
      </c>
      <c r="D497" t="s">
        <v>36</v>
      </c>
      <c r="E497" t="s">
        <v>30</v>
      </c>
      <c r="F497" t="s">
        <v>39</v>
      </c>
      <c r="G497" t="s">
        <v>40</v>
      </c>
      <c r="H497" t="s">
        <v>27</v>
      </c>
      <c r="J497" t="s">
        <v>33</v>
      </c>
    </row>
    <row r="498" spans="1:10" x14ac:dyDescent="0.3">
      <c r="A498" t="s">
        <v>10</v>
      </c>
      <c r="B498">
        <v>25</v>
      </c>
      <c r="C498">
        <v>70000</v>
      </c>
      <c r="D498" t="s">
        <v>36</v>
      </c>
      <c r="E498" t="s">
        <v>30</v>
      </c>
      <c r="F498" t="s">
        <v>43</v>
      </c>
      <c r="G498" t="s">
        <v>40</v>
      </c>
      <c r="H498" t="s">
        <v>41</v>
      </c>
      <c r="J498" t="s">
        <v>45</v>
      </c>
    </row>
    <row r="499" spans="1:10" x14ac:dyDescent="0.3">
      <c r="A499" t="s">
        <v>10</v>
      </c>
      <c r="B499">
        <v>35</v>
      </c>
      <c r="C499">
        <v>50000</v>
      </c>
      <c r="D499" t="s">
        <v>36</v>
      </c>
      <c r="E499" t="s">
        <v>19</v>
      </c>
      <c r="F499" t="s">
        <v>20</v>
      </c>
      <c r="G499" s="1">
        <v>43195</v>
      </c>
      <c r="H499" t="s">
        <v>21</v>
      </c>
      <c r="I499" t="s">
        <v>22</v>
      </c>
      <c r="J499" t="s">
        <v>33</v>
      </c>
    </row>
    <row r="500" spans="1:10" x14ac:dyDescent="0.3">
      <c r="A500" t="s">
        <v>49</v>
      </c>
      <c r="B500">
        <v>25</v>
      </c>
      <c r="C500">
        <v>50000</v>
      </c>
      <c r="D500" t="s">
        <v>18</v>
      </c>
      <c r="E500" t="s">
        <v>30</v>
      </c>
      <c r="F500" t="s">
        <v>43</v>
      </c>
      <c r="G500" s="2">
        <v>43549</v>
      </c>
      <c r="H500" t="s">
        <v>41</v>
      </c>
      <c r="I500" t="s">
        <v>15</v>
      </c>
      <c r="J500" t="s">
        <v>16</v>
      </c>
    </row>
    <row r="501" spans="1:10" x14ac:dyDescent="0.3">
      <c r="A501" t="s">
        <v>38</v>
      </c>
      <c r="B501" t="s">
        <v>42</v>
      </c>
      <c r="C501">
        <v>50000</v>
      </c>
      <c r="D501" t="s">
        <v>18</v>
      </c>
      <c r="E501" t="s">
        <v>12</v>
      </c>
      <c r="F501" t="s">
        <v>13</v>
      </c>
      <c r="G501" t="s">
        <v>40</v>
      </c>
      <c r="H501" t="s">
        <v>21</v>
      </c>
      <c r="I501" t="s">
        <v>16</v>
      </c>
      <c r="J501" t="s">
        <v>28</v>
      </c>
    </row>
    <row r="502" spans="1:10" x14ac:dyDescent="0.3">
      <c r="A502" t="s">
        <v>49</v>
      </c>
      <c r="B502" t="s">
        <v>16</v>
      </c>
      <c r="C502">
        <v>50000</v>
      </c>
      <c r="D502" t="s">
        <v>11</v>
      </c>
      <c r="E502" t="s">
        <v>26</v>
      </c>
      <c r="F502" t="s">
        <v>43</v>
      </c>
      <c r="G502" s="2">
        <v>43881</v>
      </c>
      <c r="H502" t="s">
        <v>21</v>
      </c>
      <c r="I502" t="s">
        <v>32</v>
      </c>
      <c r="J502" t="s">
        <v>23</v>
      </c>
    </row>
    <row r="503" spans="1:10" x14ac:dyDescent="0.3">
      <c r="A503" t="s">
        <v>48</v>
      </c>
      <c r="B503" t="s">
        <v>42</v>
      </c>
      <c r="C503">
        <v>50000</v>
      </c>
      <c r="D503" t="s">
        <v>36</v>
      </c>
      <c r="E503" t="s">
        <v>37</v>
      </c>
      <c r="F503" t="s">
        <v>44</v>
      </c>
      <c r="G503" s="1">
        <v>43195</v>
      </c>
      <c r="H503" t="s">
        <v>21</v>
      </c>
      <c r="I503" t="s">
        <v>15</v>
      </c>
      <c r="J503" t="s">
        <v>45</v>
      </c>
    </row>
    <row r="504" spans="1:10" x14ac:dyDescent="0.3">
      <c r="A504" t="s">
        <v>48</v>
      </c>
      <c r="B504">
        <v>25</v>
      </c>
      <c r="C504">
        <v>50000</v>
      </c>
      <c r="D504" t="s">
        <v>18</v>
      </c>
      <c r="E504" t="s">
        <v>26</v>
      </c>
      <c r="F504" t="s">
        <v>44</v>
      </c>
      <c r="G504" s="2">
        <v>43845</v>
      </c>
      <c r="H504" t="s">
        <v>41</v>
      </c>
      <c r="I504" t="s">
        <v>15</v>
      </c>
      <c r="J504" t="s">
        <v>28</v>
      </c>
    </row>
    <row r="505" spans="1:10" x14ac:dyDescent="0.3">
      <c r="A505" t="s">
        <v>17</v>
      </c>
      <c r="B505">
        <v>25</v>
      </c>
      <c r="C505">
        <v>55000</v>
      </c>
      <c r="D505" t="s">
        <v>11</v>
      </c>
      <c r="E505" t="s">
        <v>19</v>
      </c>
      <c r="F505" t="s">
        <v>20</v>
      </c>
      <c r="G505" s="1">
        <v>43195</v>
      </c>
      <c r="H505" t="s">
        <v>14</v>
      </c>
      <c r="I505" t="s">
        <v>22</v>
      </c>
      <c r="J505" t="s">
        <v>23</v>
      </c>
    </row>
    <row r="506" spans="1:10" x14ac:dyDescent="0.3">
      <c r="A506" t="s">
        <v>49</v>
      </c>
      <c r="B506">
        <v>40</v>
      </c>
      <c r="C506">
        <v>65000</v>
      </c>
      <c r="D506" t="s">
        <v>11</v>
      </c>
      <c r="E506" t="s">
        <v>37</v>
      </c>
      <c r="F506" t="s">
        <v>43</v>
      </c>
      <c r="G506" s="2">
        <v>43881</v>
      </c>
      <c r="H506" t="s">
        <v>41</v>
      </c>
      <c r="I506" t="s">
        <v>16</v>
      </c>
      <c r="J506" t="s">
        <v>23</v>
      </c>
    </row>
    <row r="507" spans="1:10" x14ac:dyDescent="0.3">
      <c r="A507" t="s">
        <v>46</v>
      </c>
      <c r="B507">
        <v>35</v>
      </c>
      <c r="C507">
        <v>70000</v>
      </c>
      <c r="D507" t="s">
        <v>18</v>
      </c>
      <c r="E507" t="s">
        <v>37</v>
      </c>
      <c r="F507" t="s">
        <v>20</v>
      </c>
      <c r="G507" s="2">
        <v>43549</v>
      </c>
      <c r="H507" t="s">
        <v>21</v>
      </c>
      <c r="I507" t="s">
        <v>32</v>
      </c>
      <c r="J507" t="s">
        <v>23</v>
      </c>
    </row>
    <row r="508" spans="1:10" x14ac:dyDescent="0.3">
      <c r="A508" t="s">
        <v>38</v>
      </c>
      <c r="B508">
        <v>35</v>
      </c>
      <c r="C508">
        <v>50000</v>
      </c>
      <c r="D508" t="s">
        <v>36</v>
      </c>
      <c r="E508" t="s">
        <v>12</v>
      </c>
      <c r="F508" t="s">
        <v>39</v>
      </c>
      <c r="G508" s="2">
        <v>43845</v>
      </c>
      <c r="H508" t="s">
        <v>27</v>
      </c>
      <c r="I508" t="s">
        <v>16</v>
      </c>
      <c r="J508" t="s">
        <v>28</v>
      </c>
    </row>
    <row r="509" spans="1:10" x14ac:dyDescent="0.3">
      <c r="A509" t="s">
        <v>48</v>
      </c>
      <c r="B509" t="s">
        <v>42</v>
      </c>
      <c r="C509">
        <v>55000</v>
      </c>
      <c r="D509" t="s">
        <v>11</v>
      </c>
      <c r="E509" t="s">
        <v>19</v>
      </c>
      <c r="F509" t="s">
        <v>44</v>
      </c>
      <c r="G509" s="2">
        <v>43845</v>
      </c>
      <c r="H509" t="s">
        <v>31</v>
      </c>
      <c r="I509" t="s">
        <v>22</v>
      </c>
      <c r="J509" t="s">
        <v>45</v>
      </c>
    </row>
    <row r="510" spans="1:10" x14ac:dyDescent="0.3">
      <c r="A510" t="s">
        <v>17</v>
      </c>
      <c r="B510" t="s">
        <v>16</v>
      </c>
      <c r="C510">
        <v>55000</v>
      </c>
      <c r="D510" t="s">
        <v>36</v>
      </c>
      <c r="E510" t="s">
        <v>30</v>
      </c>
      <c r="F510" t="s">
        <v>20</v>
      </c>
      <c r="G510" s="2">
        <v>43549</v>
      </c>
      <c r="H510" t="s">
        <v>21</v>
      </c>
      <c r="J510" t="s">
        <v>45</v>
      </c>
    </row>
    <row r="511" spans="1:10" x14ac:dyDescent="0.3">
      <c r="A511" t="s">
        <v>49</v>
      </c>
      <c r="B511">
        <v>50</v>
      </c>
      <c r="C511">
        <v>55000</v>
      </c>
      <c r="D511" t="s">
        <v>36</v>
      </c>
      <c r="E511" t="s">
        <v>12</v>
      </c>
      <c r="F511" t="s">
        <v>39</v>
      </c>
      <c r="G511" s="1">
        <v>43195</v>
      </c>
      <c r="H511" t="s">
        <v>27</v>
      </c>
      <c r="I511" t="s">
        <v>15</v>
      </c>
      <c r="J511" t="s">
        <v>23</v>
      </c>
    </row>
    <row r="512" spans="1:10" x14ac:dyDescent="0.3">
      <c r="A512" t="s">
        <v>38</v>
      </c>
      <c r="B512">
        <v>35</v>
      </c>
      <c r="C512">
        <v>65000</v>
      </c>
      <c r="D512" t="s">
        <v>36</v>
      </c>
      <c r="E512" t="s">
        <v>12</v>
      </c>
      <c r="F512" t="s">
        <v>20</v>
      </c>
      <c r="G512" t="s">
        <v>40</v>
      </c>
      <c r="H512" t="s">
        <v>14</v>
      </c>
      <c r="I512" t="s">
        <v>32</v>
      </c>
      <c r="J512" t="s">
        <v>28</v>
      </c>
    </row>
    <row r="513" spans="1:10" x14ac:dyDescent="0.3">
      <c r="A513" t="s">
        <v>49</v>
      </c>
      <c r="B513">
        <v>40</v>
      </c>
      <c r="C513">
        <v>70000</v>
      </c>
      <c r="D513" t="s">
        <v>11</v>
      </c>
      <c r="E513" t="s">
        <v>26</v>
      </c>
      <c r="F513" t="s">
        <v>43</v>
      </c>
      <c r="G513" s="1">
        <v>43195</v>
      </c>
      <c r="H513" t="s">
        <v>21</v>
      </c>
      <c r="J513" t="s">
        <v>23</v>
      </c>
    </row>
    <row r="514" spans="1:10" x14ac:dyDescent="0.3">
      <c r="A514" t="s">
        <v>10</v>
      </c>
      <c r="B514" t="s">
        <v>42</v>
      </c>
      <c r="C514">
        <v>65000</v>
      </c>
      <c r="D514" t="s">
        <v>36</v>
      </c>
      <c r="E514" t="s">
        <v>26</v>
      </c>
      <c r="F514" t="s">
        <v>43</v>
      </c>
      <c r="G514" s="2">
        <v>43881</v>
      </c>
      <c r="H514" t="s">
        <v>27</v>
      </c>
      <c r="I514" t="s">
        <v>22</v>
      </c>
      <c r="J514" t="s">
        <v>33</v>
      </c>
    </row>
    <row r="515" spans="1:10" x14ac:dyDescent="0.3">
      <c r="A515" t="s">
        <v>17</v>
      </c>
      <c r="B515" t="s">
        <v>42</v>
      </c>
      <c r="C515" t="s">
        <v>25</v>
      </c>
      <c r="D515" t="s">
        <v>11</v>
      </c>
      <c r="E515" t="s">
        <v>26</v>
      </c>
      <c r="F515" t="s">
        <v>43</v>
      </c>
      <c r="G515" t="s">
        <v>40</v>
      </c>
      <c r="H515" t="s">
        <v>21</v>
      </c>
      <c r="I515" t="s">
        <v>16</v>
      </c>
      <c r="J515" t="s">
        <v>45</v>
      </c>
    </row>
    <row r="516" spans="1:10" x14ac:dyDescent="0.3">
      <c r="A516" t="s">
        <v>38</v>
      </c>
      <c r="B516">
        <v>50</v>
      </c>
      <c r="C516">
        <v>55000</v>
      </c>
      <c r="D516" t="s">
        <v>36</v>
      </c>
      <c r="E516" t="s">
        <v>12</v>
      </c>
      <c r="F516" t="s">
        <v>43</v>
      </c>
      <c r="G516" s="1">
        <v>43195</v>
      </c>
      <c r="H516" t="s">
        <v>41</v>
      </c>
      <c r="I516" t="s">
        <v>15</v>
      </c>
      <c r="J516" t="s">
        <v>16</v>
      </c>
    </row>
    <row r="517" spans="1:10" x14ac:dyDescent="0.3">
      <c r="A517" t="s">
        <v>35</v>
      </c>
      <c r="B517">
        <v>40</v>
      </c>
      <c r="C517" t="s">
        <v>25</v>
      </c>
      <c r="D517" t="s">
        <v>11</v>
      </c>
      <c r="E517" t="s">
        <v>30</v>
      </c>
      <c r="F517" t="s">
        <v>13</v>
      </c>
      <c r="G517" s="2">
        <v>43549</v>
      </c>
      <c r="H517" t="s">
        <v>27</v>
      </c>
      <c r="I517" t="s">
        <v>32</v>
      </c>
      <c r="J517" t="s">
        <v>23</v>
      </c>
    </row>
    <row r="518" spans="1:10" x14ac:dyDescent="0.3">
      <c r="A518" t="s">
        <v>29</v>
      </c>
      <c r="B518" t="s">
        <v>16</v>
      </c>
      <c r="C518" t="s">
        <v>34</v>
      </c>
      <c r="D518" t="s">
        <v>36</v>
      </c>
      <c r="E518" t="s">
        <v>37</v>
      </c>
      <c r="F518" t="s">
        <v>39</v>
      </c>
      <c r="G518" s="2">
        <v>43881</v>
      </c>
      <c r="H518" t="s">
        <v>41</v>
      </c>
      <c r="J518" t="s">
        <v>33</v>
      </c>
    </row>
    <row r="519" spans="1:10" x14ac:dyDescent="0.3">
      <c r="A519" t="s">
        <v>29</v>
      </c>
      <c r="B519">
        <v>40</v>
      </c>
      <c r="C519">
        <v>50000</v>
      </c>
      <c r="D519" t="s">
        <v>18</v>
      </c>
      <c r="E519" t="s">
        <v>26</v>
      </c>
      <c r="F519" t="s">
        <v>39</v>
      </c>
      <c r="G519" s="2">
        <v>43881</v>
      </c>
      <c r="H519" t="s">
        <v>41</v>
      </c>
      <c r="J519" t="s">
        <v>45</v>
      </c>
    </row>
    <row r="520" spans="1:10" x14ac:dyDescent="0.3">
      <c r="A520" t="s">
        <v>38</v>
      </c>
      <c r="B520" t="s">
        <v>16</v>
      </c>
      <c r="C520">
        <v>50000</v>
      </c>
      <c r="D520" t="s">
        <v>36</v>
      </c>
      <c r="E520" t="s">
        <v>30</v>
      </c>
      <c r="F520" t="s">
        <v>43</v>
      </c>
      <c r="G520" s="2">
        <v>43881</v>
      </c>
      <c r="H520" t="s">
        <v>27</v>
      </c>
      <c r="I520" t="s">
        <v>15</v>
      </c>
      <c r="J520" t="s">
        <v>28</v>
      </c>
    </row>
    <row r="521" spans="1:10" x14ac:dyDescent="0.3">
      <c r="A521" t="s">
        <v>49</v>
      </c>
      <c r="B521">
        <v>40</v>
      </c>
      <c r="C521">
        <v>65000</v>
      </c>
      <c r="D521" t="s">
        <v>36</v>
      </c>
      <c r="E521" t="s">
        <v>19</v>
      </c>
      <c r="F521" t="s">
        <v>13</v>
      </c>
      <c r="G521" t="s">
        <v>40</v>
      </c>
      <c r="H521" t="s">
        <v>31</v>
      </c>
      <c r="I521" t="s">
        <v>16</v>
      </c>
      <c r="J521" t="s">
        <v>45</v>
      </c>
    </row>
    <row r="522" spans="1:10" x14ac:dyDescent="0.3">
      <c r="A522" t="s">
        <v>17</v>
      </c>
      <c r="B522">
        <v>40</v>
      </c>
      <c r="C522">
        <v>70000</v>
      </c>
      <c r="D522" t="s">
        <v>11</v>
      </c>
      <c r="E522" t="s">
        <v>26</v>
      </c>
      <c r="F522" t="s">
        <v>43</v>
      </c>
      <c r="G522" s="2">
        <v>43845</v>
      </c>
      <c r="H522" t="s">
        <v>27</v>
      </c>
      <c r="I522" t="s">
        <v>22</v>
      </c>
      <c r="J522" t="s">
        <v>28</v>
      </c>
    </row>
    <row r="523" spans="1:10" x14ac:dyDescent="0.3">
      <c r="A523" t="s">
        <v>29</v>
      </c>
      <c r="B523">
        <v>25</v>
      </c>
      <c r="C523" t="s">
        <v>25</v>
      </c>
      <c r="D523" t="s">
        <v>11</v>
      </c>
      <c r="E523" t="s">
        <v>37</v>
      </c>
      <c r="F523" t="s">
        <v>13</v>
      </c>
      <c r="G523" t="s">
        <v>40</v>
      </c>
      <c r="H523" t="s">
        <v>31</v>
      </c>
      <c r="I523" t="s">
        <v>16</v>
      </c>
      <c r="J523" t="s">
        <v>28</v>
      </c>
    </row>
    <row r="524" spans="1:10" x14ac:dyDescent="0.3">
      <c r="A524" t="s">
        <v>17</v>
      </c>
      <c r="B524" t="s">
        <v>42</v>
      </c>
      <c r="C524">
        <v>70000</v>
      </c>
      <c r="D524" t="s">
        <v>36</v>
      </c>
      <c r="E524" t="s">
        <v>19</v>
      </c>
      <c r="F524" t="s">
        <v>43</v>
      </c>
      <c r="G524" s="1">
        <v>43195</v>
      </c>
      <c r="H524" t="s">
        <v>21</v>
      </c>
      <c r="I524" t="s">
        <v>16</v>
      </c>
      <c r="J524" t="s">
        <v>23</v>
      </c>
    </row>
    <row r="525" spans="1:10" x14ac:dyDescent="0.3">
      <c r="A525" t="s">
        <v>29</v>
      </c>
      <c r="B525">
        <v>40</v>
      </c>
      <c r="C525">
        <v>65000</v>
      </c>
      <c r="D525" t="s">
        <v>18</v>
      </c>
      <c r="E525" t="s">
        <v>19</v>
      </c>
      <c r="F525" t="s">
        <v>44</v>
      </c>
      <c r="G525" s="2">
        <v>43845</v>
      </c>
      <c r="H525" t="s">
        <v>21</v>
      </c>
      <c r="I525" t="s">
        <v>16</v>
      </c>
      <c r="J525" t="s">
        <v>23</v>
      </c>
    </row>
    <row r="526" spans="1:10" x14ac:dyDescent="0.3">
      <c r="A526" t="s">
        <v>10</v>
      </c>
      <c r="B526">
        <v>50</v>
      </c>
      <c r="C526">
        <v>50000</v>
      </c>
      <c r="D526" t="s">
        <v>18</v>
      </c>
      <c r="E526" t="s">
        <v>37</v>
      </c>
      <c r="F526" t="s">
        <v>44</v>
      </c>
      <c r="G526" s="1">
        <v>43195</v>
      </c>
      <c r="H526" t="s">
        <v>27</v>
      </c>
      <c r="I526" t="s">
        <v>15</v>
      </c>
      <c r="J526" t="s">
        <v>45</v>
      </c>
    </row>
    <row r="527" spans="1:10" x14ac:dyDescent="0.3">
      <c r="A527" t="s">
        <v>49</v>
      </c>
      <c r="B527">
        <v>40</v>
      </c>
      <c r="C527">
        <v>70000</v>
      </c>
      <c r="D527" t="s">
        <v>11</v>
      </c>
      <c r="E527" t="s">
        <v>26</v>
      </c>
      <c r="F527" t="s">
        <v>20</v>
      </c>
      <c r="G527" s="2">
        <v>43845</v>
      </c>
      <c r="H527" t="s">
        <v>21</v>
      </c>
      <c r="I527" t="s">
        <v>15</v>
      </c>
      <c r="J527" t="s">
        <v>33</v>
      </c>
    </row>
    <row r="528" spans="1:10" x14ac:dyDescent="0.3">
      <c r="A528" t="s">
        <v>10</v>
      </c>
      <c r="B528">
        <v>35</v>
      </c>
      <c r="C528">
        <v>70000</v>
      </c>
      <c r="D528" t="s">
        <v>18</v>
      </c>
      <c r="E528" t="s">
        <v>12</v>
      </c>
      <c r="F528" t="s">
        <v>43</v>
      </c>
      <c r="G528" t="s">
        <v>40</v>
      </c>
      <c r="H528" t="s">
        <v>14</v>
      </c>
      <c r="I528" t="s">
        <v>22</v>
      </c>
      <c r="J528" t="s">
        <v>45</v>
      </c>
    </row>
    <row r="529" spans="1:10" x14ac:dyDescent="0.3">
      <c r="A529" t="s">
        <v>29</v>
      </c>
      <c r="B529" t="s">
        <v>42</v>
      </c>
      <c r="C529">
        <v>50000</v>
      </c>
      <c r="D529" t="s">
        <v>36</v>
      </c>
      <c r="E529" t="s">
        <v>37</v>
      </c>
      <c r="F529" t="s">
        <v>39</v>
      </c>
      <c r="G529" s="2">
        <v>43881</v>
      </c>
      <c r="H529" t="s">
        <v>41</v>
      </c>
      <c r="I529" t="s">
        <v>16</v>
      </c>
      <c r="J529" t="s">
        <v>16</v>
      </c>
    </row>
    <row r="530" spans="1:10" x14ac:dyDescent="0.3">
      <c r="A530" t="s">
        <v>35</v>
      </c>
      <c r="B530">
        <v>35</v>
      </c>
      <c r="C530" t="s">
        <v>25</v>
      </c>
      <c r="D530" t="s">
        <v>11</v>
      </c>
      <c r="E530" t="s">
        <v>37</v>
      </c>
      <c r="F530" t="s">
        <v>20</v>
      </c>
      <c r="G530" s="2">
        <v>43549</v>
      </c>
      <c r="H530" t="s">
        <v>41</v>
      </c>
      <c r="I530" t="s">
        <v>15</v>
      </c>
      <c r="J530" t="s">
        <v>28</v>
      </c>
    </row>
    <row r="531" spans="1:10" x14ac:dyDescent="0.3">
      <c r="A531" t="s">
        <v>35</v>
      </c>
      <c r="B531" t="s">
        <v>42</v>
      </c>
      <c r="C531">
        <v>50000</v>
      </c>
      <c r="D531" t="s">
        <v>36</v>
      </c>
      <c r="E531" t="s">
        <v>37</v>
      </c>
      <c r="F531" t="s">
        <v>44</v>
      </c>
      <c r="G531" s="2">
        <v>43881</v>
      </c>
      <c r="H531" t="s">
        <v>31</v>
      </c>
      <c r="I531" t="s">
        <v>22</v>
      </c>
      <c r="J531" t="s">
        <v>28</v>
      </c>
    </row>
    <row r="532" spans="1:10" x14ac:dyDescent="0.3">
      <c r="A532" t="s">
        <v>10</v>
      </c>
      <c r="B532">
        <v>35</v>
      </c>
      <c r="C532">
        <v>70000</v>
      </c>
      <c r="D532" t="s">
        <v>11</v>
      </c>
      <c r="E532" t="s">
        <v>19</v>
      </c>
      <c r="F532" t="s">
        <v>43</v>
      </c>
      <c r="G532" t="s">
        <v>40</v>
      </c>
      <c r="H532" t="s">
        <v>21</v>
      </c>
      <c r="I532" t="s">
        <v>22</v>
      </c>
      <c r="J532" t="s">
        <v>23</v>
      </c>
    </row>
    <row r="533" spans="1:10" x14ac:dyDescent="0.3">
      <c r="A533" t="s">
        <v>35</v>
      </c>
      <c r="B533">
        <v>40</v>
      </c>
      <c r="C533" t="s">
        <v>25</v>
      </c>
      <c r="D533" t="s">
        <v>11</v>
      </c>
      <c r="E533" t="s">
        <v>30</v>
      </c>
      <c r="F533" t="s">
        <v>20</v>
      </c>
      <c r="G533" s="2">
        <v>43845</v>
      </c>
      <c r="H533" t="s">
        <v>31</v>
      </c>
      <c r="I533" t="s">
        <v>16</v>
      </c>
      <c r="J533" t="s">
        <v>33</v>
      </c>
    </row>
    <row r="534" spans="1:10" x14ac:dyDescent="0.3">
      <c r="A534" t="s">
        <v>29</v>
      </c>
      <c r="B534">
        <v>40</v>
      </c>
      <c r="C534" t="s">
        <v>25</v>
      </c>
      <c r="D534" t="s">
        <v>11</v>
      </c>
      <c r="E534" t="s">
        <v>12</v>
      </c>
      <c r="F534" t="s">
        <v>43</v>
      </c>
      <c r="G534" s="2">
        <v>43881</v>
      </c>
      <c r="H534" t="s">
        <v>41</v>
      </c>
      <c r="I534" t="s">
        <v>32</v>
      </c>
      <c r="J534" t="s">
        <v>23</v>
      </c>
    </row>
    <row r="535" spans="1:10" x14ac:dyDescent="0.3">
      <c r="A535" t="s">
        <v>38</v>
      </c>
      <c r="B535">
        <v>25</v>
      </c>
      <c r="C535">
        <v>50000</v>
      </c>
      <c r="D535" t="s">
        <v>11</v>
      </c>
      <c r="E535" t="s">
        <v>26</v>
      </c>
      <c r="F535" t="s">
        <v>44</v>
      </c>
      <c r="G535" t="s">
        <v>40</v>
      </c>
      <c r="H535" t="s">
        <v>41</v>
      </c>
      <c r="I535" t="s">
        <v>16</v>
      </c>
      <c r="J535" t="s">
        <v>16</v>
      </c>
    </row>
    <row r="536" spans="1:10" x14ac:dyDescent="0.3">
      <c r="A536" t="s">
        <v>10</v>
      </c>
      <c r="B536">
        <v>50</v>
      </c>
      <c r="C536">
        <v>70000</v>
      </c>
      <c r="D536" t="s">
        <v>18</v>
      </c>
      <c r="E536" t="s">
        <v>26</v>
      </c>
      <c r="F536" t="s">
        <v>20</v>
      </c>
      <c r="G536" s="1">
        <v>43195</v>
      </c>
      <c r="H536" t="s">
        <v>21</v>
      </c>
      <c r="I536" t="s">
        <v>32</v>
      </c>
      <c r="J536" t="s">
        <v>45</v>
      </c>
    </row>
    <row r="537" spans="1:10" x14ac:dyDescent="0.3">
      <c r="A537" t="s">
        <v>47</v>
      </c>
      <c r="B537">
        <v>35</v>
      </c>
      <c r="C537">
        <v>65000</v>
      </c>
      <c r="D537" t="s">
        <v>36</v>
      </c>
      <c r="E537" t="s">
        <v>30</v>
      </c>
      <c r="F537" t="s">
        <v>44</v>
      </c>
      <c r="G537" s="2">
        <v>43549</v>
      </c>
      <c r="H537" t="s">
        <v>14</v>
      </c>
      <c r="I537" t="s">
        <v>22</v>
      </c>
      <c r="J537" t="s">
        <v>45</v>
      </c>
    </row>
    <row r="538" spans="1:10" x14ac:dyDescent="0.3">
      <c r="A538" t="s">
        <v>49</v>
      </c>
      <c r="B538" t="s">
        <v>16</v>
      </c>
      <c r="C538">
        <v>70000</v>
      </c>
      <c r="D538" t="s">
        <v>36</v>
      </c>
      <c r="E538" t="s">
        <v>37</v>
      </c>
      <c r="F538" t="s">
        <v>13</v>
      </c>
      <c r="G538" s="2">
        <v>43881</v>
      </c>
      <c r="H538" t="s">
        <v>14</v>
      </c>
      <c r="I538" t="s">
        <v>15</v>
      </c>
      <c r="J538" t="s">
        <v>33</v>
      </c>
    </row>
    <row r="539" spans="1:10" x14ac:dyDescent="0.3">
      <c r="A539" t="s">
        <v>35</v>
      </c>
      <c r="B539">
        <v>25</v>
      </c>
      <c r="C539">
        <v>55000</v>
      </c>
      <c r="D539" t="s">
        <v>36</v>
      </c>
      <c r="E539" t="s">
        <v>12</v>
      </c>
      <c r="F539" t="s">
        <v>44</v>
      </c>
      <c r="G539" s="2">
        <v>43845</v>
      </c>
      <c r="H539" t="s">
        <v>21</v>
      </c>
      <c r="J539" t="s">
        <v>23</v>
      </c>
    </row>
    <row r="540" spans="1:10" x14ac:dyDescent="0.3">
      <c r="A540" t="s">
        <v>35</v>
      </c>
      <c r="B540">
        <v>35</v>
      </c>
      <c r="C540" t="s">
        <v>34</v>
      </c>
      <c r="D540" t="s">
        <v>11</v>
      </c>
      <c r="E540" t="s">
        <v>26</v>
      </c>
      <c r="F540" t="s">
        <v>43</v>
      </c>
      <c r="G540" s="1">
        <v>43195</v>
      </c>
      <c r="H540" t="s">
        <v>21</v>
      </c>
      <c r="I540" t="s">
        <v>22</v>
      </c>
      <c r="J540" t="s">
        <v>23</v>
      </c>
    </row>
    <row r="541" spans="1:10" x14ac:dyDescent="0.3">
      <c r="A541" t="s">
        <v>48</v>
      </c>
      <c r="B541">
        <v>35</v>
      </c>
      <c r="C541">
        <v>65000</v>
      </c>
      <c r="D541" t="s">
        <v>18</v>
      </c>
      <c r="E541" t="s">
        <v>26</v>
      </c>
      <c r="F541" t="s">
        <v>39</v>
      </c>
      <c r="G541" t="s">
        <v>40</v>
      </c>
      <c r="H541" t="s">
        <v>31</v>
      </c>
      <c r="I541" t="s">
        <v>15</v>
      </c>
      <c r="J541" t="s">
        <v>16</v>
      </c>
    </row>
    <row r="542" spans="1:10" x14ac:dyDescent="0.3">
      <c r="A542" t="s">
        <v>46</v>
      </c>
      <c r="B542">
        <v>25</v>
      </c>
      <c r="C542" t="s">
        <v>25</v>
      </c>
      <c r="D542" t="s">
        <v>36</v>
      </c>
      <c r="E542" t="s">
        <v>37</v>
      </c>
      <c r="F542" t="s">
        <v>44</v>
      </c>
      <c r="G542" s="2">
        <v>43549</v>
      </c>
      <c r="H542" t="s">
        <v>21</v>
      </c>
      <c r="I542" t="s">
        <v>22</v>
      </c>
      <c r="J542" t="s">
        <v>45</v>
      </c>
    </row>
    <row r="543" spans="1:10" x14ac:dyDescent="0.3">
      <c r="A543" t="s">
        <v>10</v>
      </c>
      <c r="B543">
        <v>40</v>
      </c>
      <c r="C543">
        <v>65000</v>
      </c>
      <c r="D543" t="s">
        <v>18</v>
      </c>
      <c r="E543" t="s">
        <v>30</v>
      </c>
      <c r="F543" t="s">
        <v>39</v>
      </c>
      <c r="G543" s="2">
        <v>43845</v>
      </c>
      <c r="H543" t="s">
        <v>14</v>
      </c>
      <c r="I543" t="s">
        <v>16</v>
      </c>
      <c r="J543" t="s">
        <v>23</v>
      </c>
    </row>
    <row r="544" spans="1:10" x14ac:dyDescent="0.3">
      <c r="A544" t="s">
        <v>24</v>
      </c>
      <c r="B544">
        <v>35</v>
      </c>
      <c r="C544" t="s">
        <v>25</v>
      </c>
      <c r="D544" t="s">
        <v>11</v>
      </c>
      <c r="E544" t="s">
        <v>12</v>
      </c>
      <c r="F544" t="s">
        <v>13</v>
      </c>
      <c r="G544" t="s">
        <v>40</v>
      </c>
      <c r="H544" t="s">
        <v>21</v>
      </c>
      <c r="I544" t="s">
        <v>32</v>
      </c>
      <c r="J544" t="s">
        <v>33</v>
      </c>
    </row>
    <row r="545" spans="1:10" x14ac:dyDescent="0.3">
      <c r="A545" t="s">
        <v>35</v>
      </c>
      <c r="B545">
        <v>40</v>
      </c>
      <c r="C545" t="s">
        <v>25</v>
      </c>
      <c r="D545" t="s">
        <v>36</v>
      </c>
      <c r="E545" t="s">
        <v>30</v>
      </c>
      <c r="F545" t="s">
        <v>20</v>
      </c>
      <c r="G545" t="s">
        <v>40</v>
      </c>
      <c r="H545" t="s">
        <v>31</v>
      </c>
      <c r="I545" t="s">
        <v>22</v>
      </c>
      <c r="J545" t="s">
        <v>45</v>
      </c>
    </row>
    <row r="546" spans="1:10" x14ac:dyDescent="0.3">
      <c r="A546" t="s">
        <v>49</v>
      </c>
      <c r="B546">
        <v>25</v>
      </c>
      <c r="C546">
        <v>65000</v>
      </c>
      <c r="D546" t="s">
        <v>18</v>
      </c>
      <c r="E546" t="s">
        <v>30</v>
      </c>
      <c r="F546" t="s">
        <v>20</v>
      </c>
      <c r="G546" s="2">
        <v>43881</v>
      </c>
      <c r="H546" t="s">
        <v>31</v>
      </c>
      <c r="I546" t="s">
        <v>15</v>
      </c>
      <c r="J546" t="s">
        <v>16</v>
      </c>
    </row>
    <row r="547" spans="1:10" x14ac:dyDescent="0.3">
      <c r="A547" t="s">
        <v>47</v>
      </c>
      <c r="B547">
        <v>40</v>
      </c>
      <c r="C547" t="s">
        <v>25</v>
      </c>
      <c r="D547" t="s">
        <v>11</v>
      </c>
      <c r="E547" t="s">
        <v>12</v>
      </c>
      <c r="F547" t="s">
        <v>39</v>
      </c>
      <c r="G547" s="2">
        <v>43881</v>
      </c>
      <c r="H547" t="s">
        <v>31</v>
      </c>
      <c r="I547" t="s">
        <v>16</v>
      </c>
      <c r="J547" t="s">
        <v>33</v>
      </c>
    </row>
    <row r="548" spans="1:10" x14ac:dyDescent="0.3">
      <c r="A548" t="s">
        <v>35</v>
      </c>
      <c r="B548" t="s">
        <v>42</v>
      </c>
      <c r="C548" t="s">
        <v>25</v>
      </c>
      <c r="D548" t="s">
        <v>18</v>
      </c>
      <c r="E548" t="s">
        <v>12</v>
      </c>
      <c r="F548" t="s">
        <v>20</v>
      </c>
      <c r="G548" s="2">
        <v>43845</v>
      </c>
      <c r="H548" t="s">
        <v>31</v>
      </c>
      <c r="J548" t="s">
        <v>28</v>
      </c>
    </row>
    <row r="549" spans="1:10" x14ac:dyDescent="0.3">
      <c r="A549" t="s">
        <v>47</v>
      </c>
      <c r="B549" t="s">
        <v>16</v>
      </c>
      <c r="C549">
        <v>55000</v>
      </c>
      <c r="D549" t="s">
        <v>36</v>
      </c>
      <c r="E549" t="s">
        <v>26</v>
      </c>
      <c r="F549" t="s">
        <v>44</v>
      </c>
      <c r="G549" t="s">
        <v>40</v>
      </c>
      <c r="H549" t="s">
        <v>27</v>
      </c>
      <c r="I549" t="s">
        <v>16</v>
      </c>
      <c r="J549" t="s">
        <v>16</v>
      </c>
    </row>
    <row r="550" spans="1:10" x14ac:dyDescent="0.3">
      <c r="A550" t="s">
        <v>29</v>
      </c>
      <c r="B550">
        <v>35</v>
      </c>
      <c r="C550">
        <v>70000</v>
      </c>
      <c r="D550" t="s">
        <v>36</v>
      </c>
      <c r="E550" t="s">
        <v>26</v>
      </c>
      <c r="F550" t="s">
        <v>39</v>
      </c>
      <c r="G550" s="2">
        <v>43881</v>
      </c>
      <c r="H550" t="s">
        <v>21</v>
      </c>
      <c r="I550" t="s">
        <v>32</v>
      </c>
      <c r="J550" t="s">
        <v>33</v>
      </c>
    </row>
    <row r="551" spans="1:10" x14ac:dyDescent="0.3">
      <c r="A551" t="s">
        <v>29</v>
      </c>
      <c r="B551">
        <v>50</v>
      </c>
      <c r="C551">
        <v>70000</v>
      </c>
      <c r="D551" t="s">
        <v>11</v>
      </c>
      <c r="E551" t="s">
        <v>12</v>
      </c>
      <c r="F551" t="s">
        <v>43</v>
      </c>
      <c r="G551" s="2">
        <v>43549</v>
      </c>
      <c r="H551" t="s">
        <v>41</v>
      </c>
      <c r="I551" t="s">
        <v>16</v>
      </c>
      <c r="J551" t="s">
        <v>23</v>
      </c>
    </row>
    <row r="552" spans="1:10" x14ac:dyDescent="0.3">
      <c r="A552" t="s">
        <v>46</v>
      </c>
      <c r="B552" t="s">
        <v>16</v>
      </c>
      <c r="C552" t="s">
        <v>34</v>
      </c>
      <c r="D552" t="s">
        <v>11</v>
      </c>
      <c r="E552" t="s">
        <v>19</v>
      </c>
      <c r="F552" t="s">
        <v>44</v>
      </c>
      <c r="G552" s="2">
        <v>43549</v>
      </c>
      <c r="H552" t="s">
        <v>21</v>
      </c>
      <c r="J552" t="s">
        <v>28</v>
      </c>
    </row>
    <row r="553" spans="1:10" x14ac:dyDescent="0.3">
      <c r="A553" t="s">
        <v>38</v>
      </c>
      <c r="B553">
        <v>40</v>
      </c>
      <c r="C553" t="s">
        <v>34</v>
      </c>
      <c r="D553" t="s">
        <v>11</v>
      </c>
      <c r="E553" t="s">
        <v>26</v>
      </c>
      <c r="F553" t="s">
        <v>44</v>
      </c>
      <c r="G553" t="s">
        <v>40</v>
      </c>
      <c r="H553" t="s">
        <v>27</v>
      </c>
      <c r="I553" t="s">
        <v>15</v>
      </c>
      <c r="J553" t="s">
        <v>16</v>
      </c>
    </row>
    <row r="554" spans="1:10" x14ac:dyDescent="0.3">
      <c r="A554" t="s">
        <v>24</v>
      </c>
      <c r="B554">
        <v>35</v>
      </c>
      <c r="C554">
        <v>55000</v>
      </c>
      <c r="D554" t="s">
        <v>18</v>
      </c>
      <c r="E554" t="s">
        <v>19</v>
      </c>
      <c r="F554" t="s">
        <v>44</v>
      </c>
      <c r="G554" s="2">
        <v>43881</v>
      </c>
      <c r="H554" t="s">
        <v>31</v>
      </c>
      <c r="I554" t="s">
        <v>22</v>
      </c>
      <c r="J554" t="s">
        <v>23</v>
      </c>
    </row>
    <row r="555" spans="1:10" x14ac:dyDescent="0.3">
      <c r="A555" t="s">
        <v>48</v>
      </c>
      <c r="B555">
        <v>40</v>
      </c>
      <c r="C555" t="s">
        <v>34</v>
      </c>
      <c r="D555" t="s">
        <v>18</v>
      </c>
      <c r="E555" t="s">
        <v>12</v>
      </c>
      <c r="F555" t="s">
        <v>43</v>
      </c>
      <c r="G555" s="2">
        <v>43845</v>
      </c>
      <c r="H555" t="s">
        <v>27</v>
      </c>
      <c r="I555" t="s">
        <v>32</v>
      </c>
      <c r="J555" t="s">
        <v>28</v>
      </c>
    </row>
    <row r="556" spans="1:10" x14ac:dyDescent="0.3">
      <c r="A556" t="s">
        <v>46</v>
      </c>
      <c r="B556" t="s">
        <v>42</v>
      </c>
      <c r="C556">
        <v>65000</v>
      </c>
      <c r="D556" t="s">
        <v>18</v>
      </c>
      <c r="E556" t="s">
        <v>26</v>
      </c>
      <c r="F556" t="s">
        <v>13</v>
      </c>
      <c r="G556" s="2">
        <v>43845</v>
      </c>
      <c r="H556" t="s">
        <v>14</v>
      </c>
      <c r="J556" t="s">
        <v>45</v>
      </c>
    </row>
    <row r="557" spans="1:10" x14ac:dyDescent="0.3">
      <c r="A557" t="s">
        <v>17</v>
      </c>
      <c r="B557">
        <v>25</v>
      </c>
      <c r="C557">
        <v>50000</v>
      </c>
      <c r="D557" t="s">
        <v>11</v>
      </c>
      <c r="E557" t="s">
        <v>30</v>
      </c>
      <c r="F557" t="s">
        <v>20</v>
      </c>
      <c r="G557" s="2">
        <v>43845</v>
      </c>
      <c r="H557" t="s">
        <v>14</v>
      </c>
      <c r="I557" t="s">
        <v>32</v>
      </c>
      <c r="J557" t="s">
        <v>23</v>
      </c>
    </row>
    <row r="558" spans="1:10" x14ac:dyDescent="0.3">
      <c r="A558" t="s">
        <v>48</v>
      </c>
      <c r="B558">
        <v>35</v>
      </c>
      <c r="C558">
        <v>50000</v>
      </c>
      <c r="D558" t="s">
        <v>36</v>
      </c>
      <c r="E558" t="s">
        <v>12</v>
      </c>
      <c r="F558" t="s">
        <v>39</v>
      </c>
      <c r="G558" s="2">
        <v>43549</v>
      </c>
      <c r="H558" t="s">
        <v>21</v>
      </c>
      <c r="I558" t="s">
        <v>16</v>
      </c>
      <c r="J558" t="s">
        <v>33</v>
      </c>
    </row>
    <row r="559" spans="1:10" x14ac:dyDescent="0.3">
      <c r="A559" t="s">
        <v>10</v>
      </c>
      <c r="B559" t="s">
        <v>42</v>
      </c>
      <c r="C559">
        <v>50000</v>
      </c>
      <c r="D559" t="s">
        <v>36</v>
      </c>
      <c r="E559" t="s">
        <v>37</v>
      </c>
      <c r="F559" t="s">
        <v>13</v>
      </c>
      <c r="G559" s="2">
        <v>43881</v>
      </c>
      <c r="H559" t="s">
        <v>21</v>
      </c>
      <c r="I559" t="s">
        <v>32</v>
      </c>
      <c r="J559" t="s">
        <v>16</v>
      </c>
    </row>
    <row r="560" spans="1:10" x14ac:dyDescent="0.3">
      <c r="A560" t="s">
        <v>49</v>
      </c>
      <c r="B560" t="s">
        <v>42</v>
      </c>
      <c r="C560">
        <v>55000</v>
      </c>
      <c r="D560" t="s">
        <v>18</v>
      </c>
      <c r="E560" t="s">
        <v>19</v>
      </c>
      <c r="F560" t="s">
        <v>39</v>
      </c>
      <c r="G560" s="2">
        <v>43881</v>
      </c>
      <c r="H560" t="s">
        <v>41</v>
      </c>
      <c r="J560" t="s">
        <v>28</v>
      </c>
    </row>
    <row r="561" spans="1:10" x14ac:dyDescent="0.3">
      <c r="A561" t="s">
        <v>17</v>
      </c>
      <c r="B561">
        <v>35</v>
      </c>
      <c r="C561">
        <v>55000</v>
      </c>
      <c r="D561" t="s">
        <v>18</v>
      </c>
      <c r="E561" t="s">
        <v>12</v>
      </c>
      <c r="F561" t="s">
        <v>20</v>
      </c>
      <c r="G561" s="2">
        <v>43549</v>
      </c>
      <c r="H561" t="s">
        <v>41</v>
      </c>
      <c r="I561" t="s">
        <v>22</v>
      </c>
      <c r="J561" t="s">
        <v>23</v>
      </c>
    </row>
    <row r="562" spans="1:10" x14ac:dyDescent="0.3">
      <c r="A562" t="s">
        <v>17</v>
      </c>
      <c r="B562">
        <v>40</v>
      </c>
      <c r="C562" t="s">
        <v>25</v>
      </c>
      <c r="D562" t="s">
        <v>36</v>
      </c>
      <c r="E562" t="s">
        <v>12</v>
      </c>
      <c r="F562" t="s">
        <v>43</v>
      </c>
      <c r="G562" s="2">
        <v>43845</v>
      </c>
      <c r="H562" t="s">
        <v>14</v>
      </c>
      <c r="I562" t="s">
        <v>22</v>
      </c>
      <c r="J562" t="s">
        <v>45</v>
      </c>
    </row>
    <row r="563" spans="1:10" x14ac:dyDescent="0.3">
      <c r="A563" t="s">
        <v>46</v>
      </c>
      <c r="B563">
        <v>50</v>
      </c>
      <c r="C563">
        <v>50000</v>
      </c>
      <c r="D563" t="s">
        <v>36</v>
      </c>
      <c r="E563" t="s">
        <v>26</v>
      </c>
      <c r="F563" t="s">
        <v>44</v>
      </c>
      <c r="G563" s="2">
        <v>43845</v>
      </c>
      <c r="H563" t="s">
        <v>31</v>
      </c>
      <c r="I563" t="s">
        <v>32</v>
      </c>
      <c r="J563" t="s">
        <v>16</v>
      </c>
    </row>
    <row r="564" spans="1:10" x14ac:dyDescent="0.3">
      <c r="A564" t="s">
        <v>38</v>
      </c>
      <c r="B564" t="s">
        <v>42</v>
      </c>
      <c r="C564">
        <v>65000</v>
      </c>
      <c r="D564" t="s">
        <v>18</v>
      </c>
      <c r="E564" t="s">
        <v>26</v>
      </c>
      <c r="F564" t="s">
        <v>44</v>
      </c>
      <c r="G564" t="s">
        <v>40</v>
      </c>
      <c r="H564" t="s">
        <v>27</v>
      </c>
      <c r="I564" t="s">
        <v>15</v>
      </c>
      <c r="J564" t="s">
        <v>16</v>
      </c>
    </row>
    <row r="565" spans="1:10" x14ac:dyDescent="0.3">
      <c r="A565" t="s">
        <v>46</v>
      </c>
      <c r="B565" t="s">
        <v>16</v>
      </c>
      <c r="C565" t="s">
        <v>34</v>
      </c>
      <c r="D565" t="s">
        <v>18</v>
      </c>
      <c r="E565" t="s">
        <v>26</v>
      </c>
      <c r="F565" t="s">
        <v>43</v>
      </c>
      <c r="G565" s="1">
        <v>43195</v>
      </c>
      <c r="H565" t="s">
        <v>41</v>
      </c>
      <c r="I565" t="s">
        <v>32</v>
      </c>
      <c r="J565" t="s">
        <v>23</v>
      </c>
    </row>
    <row r="566" spans="1:10" x14ac:dyDescent="0.3">
      <c r="A566" t="s">
        <v>10</v>
      </c>
      <c r="B566" t="s">
        <v>42</v>
      </c>
      <c r="C566">
        <v>65000</v>
      </c>
      <c r="D566" t="s">
        <v>36</v>
      </c>
      <c r="E566" t="s">
        <v>37</v>
      </c>
      <c r="F566" t="s">
        <v>13</v>
      </c>
      <c r="G566" s="2">
        <v>43881</v>
      </c>
      <c r="H566" t="s">
        <v>41</v>
      </c>
      <c r="I566" t="s">
        <v>16</v>
      </c>
      <c r="J566" t="s">
        <v>45</v>
      </c>
    </row>
    <row r="567" spans="1:10" x14ac:dyDescent="0.3">
      <c r="A567" t="s">
        <v>35</v>
      </c>
      <c r="B567">
        <v>50</v>
      </c>
      <c r="C567" t="s">
        <v>34</v>
      </c>
      <c r="D567" t="s">
        <v>11</v>
      </c>
      <c r="E567" t="s">
        <v>26</v>
      </c>
      <c r="F567" t="s">
        <v>13</v>
      </c>
      <c r="G567" s="2">
        <v>43881</v>
      </c>
      <c r="H567" t="s">
        <v>31</v>
      </c>
      <c r="I567" t="s">
        <v>22</v>
      </c>
      <c r="J567" t="s">
        <v>28</v>
      </c>
    </row>
    <row r="568" spans="1:10" x14ac:dyDescent="0.3">
      <c r="A568" t="s">
        <v>35</v>
      </c>
      <c r="B568">
        <v>40</v>
      </c>
      <c r="C568">
        <v>50000</v>
      </c>
      <c r="D568" t="s">
        <v>18</v>
      </c>
      <c r="E568" t="s">
        <v>12</v>
      </c>
      <c r="F568" t="s">
        <v>39</v>
      </c>
      <c r="G568" s="2">
        <v>43881</v>
      </c>
      <c r="H568" t="s">
        <v>31</v>
      </c>
      <c r="I568" t="s">
        <v>22</v>
      </c>
      <c r="J568" t="s">
        <v>23</v>
      </c>
    </row>
    <row r="569" spans="1:10" x14ac:dyDescent="0.3">
      <c r="A569" t="s">
        <v>38</v>
      </c>
      <c r="B569">
        <v>40</v>
      </c>
      <c r="C569">
        <v>50000</v>
      </c>
      <c r="D569" t="s">
        <v>36</v>
      </c>
      <c r="E569" t="s">
        <v>26</v>
      </c>
      <c r="F569" t="s">
        <v>43</v>
      </c>
      <c r="G569" s="1">
        <v>43195</v>
      </c>
      <c r="H569" t="s">
        <v>21</v>
      </c>
      <c r="I569" t="s">
        <v>22</v>
      </c>
      <c r="J569" t="s">
        <v>28</v>
      </c>
    </row>
    <row r="570" spans="1:10" x14ac:dyDescent="0.3">
      <c r="A570" t="s">
        <v>10</v>
      </c>
      <c r="B570" t="s">
        <v>16</v>
      </c>
      <c r="C570">
        <v>50000</v>
      </c>
      <c r="D570" t="s">
        <v>36</v>
      </c>
      <c r="E570" t="s">
        <v>30</v>
      </c>
      <c r="F570" t="s">
        <v>13</v>
      </c>
      <c r="G570" t="s">
        <v>40</v>
      </c>
      <c r="H570" t="s">
        <v>27</v>
      </c>
      <c r="I570" t="s">
        <v>15</v>
      </c>
      <c r="J570" t="s">
        <v>16</v>
      </c>
    </row>
    <row r="571" spans="1:10" x14ac:dyDescent="0.3">
      <c r="A571" t="s">
        <v>38</v>
      </c>
      <c r="B571" t="s">
        <v>42</v>
      </c>
      <c r="C571">
        <v>55000</v>
      </c>
      <c r="D571" t="s">
        <v>36</v>
      </c>
      <c r="E571" t="s">
        <v>26</v>
      </c>
      <c r="F571" t="s">
        <v>43</v>
      </c>
      <c r="G571" s="1">
        <v>43195</v>
      </c>
      <c r="H571" t="s">
        <v>31</v>
      </c>
      <c r="I571" t="s">
        <v>15</v>
      </c>
      <c r="J571" t="s">
        <v>28</v>
      </c>
    </row>
    <row r="572" spans="1:10" x14ac:dyDescent="0.3">
      <c r="A572" t="s">
        <v>47</v>
      </c>
      <c r="B572">
        <v>40</v>
      </c>
      <c r="C572" t="s">
        <v>34</v>
      </c>
      <c r="D572" t="s">
        <v>36</v>
      </c>
      <c r="E572" t="s">
        <v>37</v>
      </c>
      <c r="F572" t="s">
        <v>20</v>
      </c>
      <c r="G572" s="2">
        <v>43845</v>
      </c>
      <c r="H572" t="s">
        <v>41</v>
      </c>
      <c r="J572" t="s">
        <v>45</v>
      </c>
    </row>
    <row r="573" spans="1:10" x14ac:dyDescent="0.3">
      <c r="A573" t="s">
        <v>35</v>
      </c>
      <c r="B573">
        <v>50</v>
      </c>
      <c r="C573">
        <v>55000</v>
      </c>
      <c r="D573" t="s">
        <v>11</v>
      </c>
      <c r="E573" t="s">
        <v>30</v>
      </c>
      <c r="F573" t="s">
        <v>44</v>
      </c>
      <c r="G573" s="2">
        <v>43845</v>
      </c>
      <c r="H573" t="s">
        <v>41</v>
      </c>
      <c r="I573" t="s">
        <v>32</v>
      </c>
      <c r="J573" t="s">
        <v>33</v>
      </c>
    </row>
    <row r="574" spans="1:10" x14ac:dyDescent="0.3">
      <c r="A574" t="s">
        <v>17</v>
      </c>
      <c r="B574">
        <v>35</v>
      </c>
      <c r="C574">
        <v>55000</v>
      </c>
      <c r="D574" t="s">
        <v>36</v>
      </c>
      <c r="E574" t="s">
        <v>12</v>
      </c>
      <c r="F574" t="s">
        <v>44</v>
      </c>
      <c r="G574" s="2">
        <v>43881</v>
      </c>
      <c r="H574" t="s">
        <v>14</v>
      </c>
      <c r="I574" t="s">
        <v>32</v>
      </c>
      <c r="J574" t="s">
        <v>45</v>
      </c>
    </row>
    <row r="575" spans="1:10" x14ac:dyDescent="0.3">
      <c r="A575" t="s">
        <v>24</v>
      </c>
      <c r="B575">
        <v>25</v>
      </c>
      <c r="C575">
        <v>70000</v>
      </c>
      <c r="D575" t="s">
        <v>18</v>
      </c>
      <c r="E575" t="s">
        <v>12</v>
      </c>
      <c r="F575" t="s">
        <v>44</v>
      </c>
      <c r="G575" s="2">
        <v>43549</v>
      </c>
      <c r="H575" t="s">
        <v>31</v>
      </c>
      <c r="I575" t="s">
        <v>16</v>
      </c>
      <c r="J575" t="s">
        <v>28</v>
      </c>
    </row>
    <row r="576" spans="1:10" x14ac:dyDescent="0.3">
      <c r="A576" t="s">
        <v>49</v>
      </c>
      <c r="B576">
        <v>25</v>
      </c>
      <c r="C576">
        <v>65000</v>
      </c>
      <c r="D576" t="s">
        <v>11</v>
      </c>
      <c r="E576" t="s">
        <v>19</v>
      </c>
      <c r="F576" t="s">
        <v>43</v>
      </c>
      <c r="G576" s="2">
        <v>43881</v>
      </c>
      <c r="H576" t="s">
        <v>21</v>
      </c>
      <c r="I576" t="s">
        <v>22</v>
      </c>
      <c r="J576" t="s">
        <v>23</v>
      </c>
    </row>
    <row r="577" spans="1:10" x14ac:dyDescent="0.3">
      <c r="A577" t="s">
        <v>10</v>
      </c>
      <c r="B577">
        <v>25</v>
      </c>
      <c r="C577">
        <v>65000</v>
      </c>
      <c r="D577" t="s">
        <v>36</v>
      </c>
      <c r="E577" t="s">
        <v>30</v>
      </c>
      <c r="F577" t="s">
        <v>43</v>
      </c>
      <c r="G577" s="2">
        <v>43549</v>
      </c>
      <c r="H577" t="s">
        <v>27</v>
      </c>
      <c r="I577" t="s">
        <v>15</v>
      </c>
      <c r="J577" t="s">
        <v>16</v>
      </c>
    </row>
    <row r="578" spans="1:10" x14ac:dyDescent="0.3">
      <c r="A578" t="s">
        <v>48</v>
      </c>
      <c r="B578" t="s">
        <v>42</v>
      </c>
      <c r="C578" t="s">
        <v>25</v>
      </c>
      <c r="D578" t="s">
        <v>11</v>
      </c>
      <c r="E578" t="s">
        <v>19</v>
      </c>
      <c r="F578" t="s">
        <v>39</v>
      </c>
      <c r="G578" s="1">
        <v>43195</v>
      </c>
      <c r="H578" t="s">
        <v>21</v>
      </c>
      <c r="I578" t="s">
        <v>16</v>
      </c>
      <c r="J578" t="s">
        <v>33</v>
      </c>
    </row>
    <row r="579" spans="1:10" x14ac:dyDescent="0.3">
      <c r="A579" t="s">
        <v>38</v>
      </c>
      <c r="B579" t="s">
        <v>16</v>
      </c>
      <c r="C579">
        <v>55000</v>
      </c>
      <c r="D579" t="s">
        <v>18</v>
      </c>
      <c r="E579" t="s">
        <v>30</v>
      </c>
      <c r="F579" t="s">
        <v>44</v>
      </c>
      <c r="G579" s="2">
        <v>43845</v>
      </c>
      <c r="H579" t="s">
        <v>41</v>
      </c>
      <c r="I579" t="s">
        <v>16</v>
      </c>
      <c r="J579" t="s">
        <v>23</v>
      </c>
    </row>
    <row r="580" spans="1:10" x14ac:dyDescent="0.3">
      <c r="A580" t="s">
        <v>49</v>
      </c>
      <c r="B580">
        <v>40</v>
      </c>
      <c r="C580" t="s">
        <v>34</v>
      </c>
      <c r="D580" t="s">
        <v>36</v>
      </c>
      <c r="E580" t="s">
        <v>30</v>
      </c>
      <c r="F580" t="s">
        <v>39</v>
      </c>
      <c r="G580" s="2">
        <v>43549</v>
      </c>
      <c r="H580" t="s">
        <v>21</v>
      </c>
      <c r="I580" t="s">
        <v>15</v>
      </c>
      <c r="J580" t="s">
        <v>23</v>
      </c>
    </row>
    <row r="581" spans="1:10" x14ac:dyDescent="0.3">
      <c r="A581" t="s">
        <v>48</v>
      </c>
      <c r="B581">
        <v>35</v>
      </c>
      <c r="C581">
        <v>70000</v>
      </c>
      <c r="D581" t="s">
        <v>18</v>
      </c>
      <c r="E581" t="s">
        <v>37</v>
      </c>
      <c r="F581" t="s">
        <v>44</v>
      </c>
      <c r="G581" s="1">
        <v>43195</v>
      </c>
      <c r="H581" t="s">
        <v>41</v>
      </c>
      <c r="I581" t="s">
        <v>32</v>
      </c>
      <c r="J581" t="s">
        <v>45</v>
      </c>
    </row>
    <row r="582" spans="1:10" x14ac:dyDescent="0.3">
      <c r="A582" t="s">
        <v>49</v>
      </c>
      <c r="B582">
        <v>50</v>
      </c>
      <c r="C582">
        <v>70000</v>
      </c>
      <c r="D582" t="s">
        <v>36</v>
      </c>
      <c r="E582" t="s">
        <v>19</v>
      </c>
      <c r="F582" t="s">
        <v>39</v>
      </c>
      <c r="G582" s="2">
        <v>43845</v>
      </c>
      <c r="H582" t="s">
        <v>41</v>
      </c>
      <c r="I582" t="s">
        <v>22</v>
      </c>
      <c r="J582" t="s">
        <v>28</v>
      </c>
    </row>
    <row r="583" spans="1:10" x14ac:dyDescent="0.3">
      <c r="A583" t="s">
        <v>24</v>
      </c>
      <c r="B583">
        <v>35</v>
      </c>
      <c r="C583">
        <v>65000</v>
      </c>
      <c r="D583" t="s">
        <v>36</v>
      </c>
      <c r="E583" t="s">
        <v>37</v>
      </c>
      <c r="F583" t="s">
        <v>39</v>
      </c>
      <c r="G583" s="2">
        <v>43549</v>
      </c>
      <c r="H583" t="s">
        <v>41</v>
      </c>
      <c r="I583" t="s">
        <v>32</v>
      </c>
      <c r="J583" t="s">
        <v>45</v>
      </c>
    </row>
    <row r="584" spans="1:10" x14ac:dyDescent="0.3">
      <c r="A584" t="s">
        <v>48</v>
      </c>
      <c r="B584">
        <v>50</v>
      </c>
      <c r="C584">
        <v>55000</v>
      </c>
      <c r="D584" t="s">
        <v>36</v>
      </c>
      <c r="E584" t="s">
        <v>30</v>
      </c>
      <c r="F584" t="s">
        <v>20</v>
      </c>
      <c r="G584" s="2">
        <v>43881</v>
      </c>
      <c r="H584" t="s">
        <v>41</v>
      </c>
      <c r="I584" t="s">
        <v>16</v>
      </c>
      <c r="J584" t="s">
        <v>28</v>
      </c>
    </row>
    <row r="585" spans="1:10" x14ac:dyDescent="0.3">
      <c r="A585" t="s">
        <v>46</v>
      </c>
      <c r="B585" t="s">
        <v>42</v>
      </c>
      <c r="C585" t="s">
        <v>25</v>
      </c>
      <c r="D585" t="s">
        <v>36</v>
      </c>
      <c r="E585" t="s">
        <v>12</v>
      </c>
      <c r="F585" t="s">
        <v>39</v>
      </c>
      <c r="G585" s="2">
        <v>43881</v>
      </c>
      <c r="H585" t="s">
        <v>41</v>
      </c>
      <c r="I585" t="s">
        <v>22</v>
      </c>
      <c r="J585" t="s">
        <v>45</v>
      </c>
    </row>
    <row r="586" spans="1:10" x14ac:dyDescent="0.3">
      <c r="A586" t="s">
        <v>29</v>
      </c>
      <c r="B586">
        <v>25</v>
      </c>
      <c r="C586">
        <v>55000</v>
      </c>
      <c r="D586" t="s">
        <v>36</v>
      </c>
      <c r="E586" t="s">
        <v>30</v>
      </c>
      <c r="F586" t="s">
        <v>43</v>
      </c>
      <c r="G586" s="2">
        <v>43881</v>
      </c>
      <c r="H586" t="s">
        <v>14</v>
      </c>
      <c r="J586" t="s">
        <v>23</v>
      </c>
    </row>
    <row r="587" spans="1:10" x14ac:dyDescent="0.3">
      <c r="A587" t="s">
        <v>46</v>
      </c>
      <c r="B587" t="s">
        <v>42</v>
      </c>
      <c r="C587">
        <v>50000</v>
      </c>
      <c r="D587" t="s">
        <v>11</v>
      </c>
      <c r="E587" t="s">
        <v>37</v>
      </c>
      <c r="F587" t="s">
        <v>39</v>
      </c>
      <c r="G587" s="1">
        <v>43195</v>
      </c>
      <c r="H587" t="s">
        <v>21</v>
      </c>
      <c r="I587" t="s">
        <v>16</v>
      </c>
      <c r="J587" t="s">
        <v>16</v>
      </c>
    </row>
    <row r="588" spans="1:10" x14ac:dyDescent="0.3">
      <c r="A588" t="s">
        <v>35</v>
      </c>
      <c r="B588" t="s">
        <v>16</v>
      </c>
      <c r="C588">
        <v>55000</v>
      </c>
      <c r="D588" t="s">
        <v>36</v>
      </c>
      <c r="E588" t="s">
        <v>19</v>
      </c>
      <c r="F588" t="s">
        <v>44</v>
      </c>
      <c r="G588" s="2">
        <v>43881</v>
      </c>
      <c r="H588" t="s">
        <v>14</v>
      </c>
      <c r="I588" t="s">
        <v>32</v>
      </c>
      <c r="J588" t="s">
        <v>28</v>
      </c>
    </row>
    <row r="589" spans="1:10" x14ac:dyDescent="0.3">
      <c r="A589" t="s">
        <v>29</v>
      </c>
      <c r="B589" t="s">
        <v>16</v>
      </c>
      <c r="C589">
        <v>50000</v>
      </c>
      <c r="D589" t="s">
        <v>36</v>
      </c>
      <c r="E589" t="s">
        <v>19</v>
      </c>
      <c r="F589" t="s">
        <v>39</v>
      </c>
      <c r="G589" t="s">
        <v>40</v>
      </c>
      <c r="H589" t="s">
        <v>14</v>
      </c>
      <c r="I589" t="s">
        <v>32</v>
      </c>
      <c r="J589" t="s">
        <v>33</v>
      </c>
    </row>
    <row r="590" spans="1:10" x14ac:dyDescent="0.3">
      <c r="A590" t="s">
        <v>46</v>
      </c>
      <c r="B590">
        <v>50</v>
      </c>
      <c r="C590">
        <v>50000</v>
      </c>
      <c r="D590" t="s">
        <v>11</v>
      </c>
      <c r="E590" t="s">
        <v>37</v>
      </c>
      <c r="F590" t="s">
        <v>13</v>
      </c>
      <c r="G590" s="2">
        <v>43845</v>
      </c>
      <c r="H590" t="s">
        <v>31</v>
      </c>
      <c r="I590" t="s">
        <v>32</v>
      </c>
      <c r="J590" t="s">
        <v>33</v>
      </c>
    </row>
    <row r="591" spans="1:10" x14ac:dyDescent="0.3">
      <c r="A591" t="s">
        <v>29</v>
      </c>
      <c r="B591">
        <v>40</v>
      </c>
      <c r="C591" t="s">
        <v>25</v>
      </c>
      <c r="D591" t="s">
        <v>11</v>
      </c>
      <c r="E591" t="s">
        <v>19</v>
      </c>
      <c r="F591" t="s">
        <v>44</v>
      </c>
      <c r="G591" s="1">
        <v>43195</v>
      </c>
      <c r="H591" t="s">
        <v>31</v>
      </c>
      <c r="I591" t="s">
        <v>15</v>
      </c>
      <c r="J591" t="s">
        <v>23</v>
      </c>
    </row>
    <row r="592" spans="1:10" x14ac:dyDescent="0.3">
      <c r="A592" t="s">
        <v>29</v>
      </c>
      <c r="B592">
        <v>40</v>
      </c>
      <c r="C592" t="s">
        <v>34</v>
      </c>
      <c r="D592" t="s">
        <v>11</v>
      </c>
      <c r="E592" t="s">
        <v>26</v>
      </c>
      <c r="F592" t="s">
        <v>13</v>
      </c>
      <c r="G592" s="2">
        <v>43881</v>
      </c>
      <c r="H592" t="s">
        <v>31</v>
      </c>
      <c r="I592" t="s">
        <v>16</v>
      </c>
      <c r="J592" t="s">
        <v>45</v>
      </c>
    </row>
    <row r="593" spans="1:10" x14ac:dyDescent="0.3">
      <c r="A593" t="s">
        <v>17</v>
      </c>
      <c r="B593">
        <v>50</v>
      </c>
      <c r="C593">
        <v>65000</v>
      </c>
      <c r="D593" t="s">
        <v>11</v>
      </c>
      <c r="E593" t="s">
        <v>12</v>
      </c>
      <c r="F593" t="s">
        <v>44</v>
      </c>
      <c r="G593" s="2">
        <v>43845</v>
      </c>
      <c r="H593" t="s">
        <v>27</v>
      </c>
      <c r="I593" t="s">
        <v>22</v>
      </c>
      <c r="J593" t="s">
        <v>45</v>
      </c>
    </row>
    <row r="594" spans="1:10" x14ac:dyDescent="0.3">
      <c r="A594" t="s">
        <v>38</v>
      </c>
      <c r="B594" t="s">
        <v>16</v>
      </c>
      <c r="C594">
        <v>55000</v>
      </c>
      <c r="D594" t="s">
        <v>11</v>
      </c>
      <c r="E594" t="s">
        <v>12</v>
      </c>
      <c r="F594" t="s">
        <v>43</v>
      </c>
      <c r="G594" s="2">
        <v>43549</v>
      </c>
      <c r="H594" t="s">
        <v>31</v>
      </c>
      <c r="I594" t="s">
        <v>32</v>
      </c>
      <c r="J594" t="s">
        <v>23</v>
      </c>
    </row>
    <row r="595" spans="1:10" x14ac:dyDescent="0.3">
      <c r="A595" t="s">
        <v>38</v>
      </c>
      <c r="B595" t="s">
        <v>16</v>
      </c>
      <c r="C595">
        <v>50000</v>
      </c>
      <c r="D595" t="s">
        <v>11</v>
      </c>
      <c r="E595" t="s">
        <v>12</v>
      </c>
      <c r="F595" t="s">
        <v>43</v>
      </c>
      <c r="G595" s="2">
        <v>43881</v>
      </c>
      <c r="H595" t="s">
        <v>21</v>
      </c>
      <c r="I595" t="s">
        <v>32</v>
      </c>
      <c r="J595" t="s">
        <v>33</v>
      </c>
    </row>
    <row r="596" spans="1:10" x14ac:dyDescent="0.3">
      <c r="A596" t="s">
        <v>17</v>
      </c>
      <c r="B596" t="s">
        <v>16</v>
      </c>
      <c r="C596">
        <v>55000</v>
      </c>
      <c r="D596" t="s">
        <v>36</v>
      </c>
      <c r="E596" t="s">
        <v>19</v>
      </c>
      <c r="F596" t="s">
        <v>43</v>
      </c>
      <c r="G596" s="2">
        <v>43845</v>
      </c>
      <c r="H596" t="s">
        <v>14</v>
      </c>
      <c r="I596" t="s">
        <v>15</v>
      </c>
      <c r="J596" t="s">
        <v>33</v>
      </c>
    </row>
    <row r="597" spans="1:10" x14ac:dyDescent="0.3">
      <c r="A597" t="s">
        <v>49</v>
      </c>
      <c r="B597" t="s">
        <v>42</v>
      </c>
      <c r="C597" t="s">
        <v>34</v>
      </c>
      <c r="D597" t="s">
        <v>36</v>
      </c>
      <c r="E597" t="s">
        <v>19</v>
      </c>
      <c r="F597" t="s">
        <v>13</v>
      </c>
      <c r="G597" t="s">
        <v>40</v>
      </c>
      <c r="H597" t="s">
        <v>21</v>
      </c>
      <c r="I597" t="s">
        <v>22</v>
      </c>
      <c r="J597" t="s">
        <v>45</v>
      </c>
    </row>
    <row r="598" spans="1:10" x14ac:dyDescent="0.3">
      <c r="A598" t="s">
        <v>47</v>
      </c>
      <c r="B598" t="s">
        <v>16</v>
      </c>
      <c r="C598">
        <v>65000</v>
      </c>
      <c r="D598" t="s">
        <v>18</v>
      </c>
      <c r="E598" t="s">
        <v>30</v>
      </c>
      <c r="F598" t="s">
        <v>20</v>
      </c>
      <c r="G598" s="2">
        <v>43549</v>
      </c>
      <c r="H598" t="s">
        <v>31</v>
      </c>
      <c r="I598" t="s">
        <v>16</v>
      </c>
      <c r="J598" t="s">
        <v>28</v>
      </c>
    </row>
    <row r="599" spans="1:10" x14ac:dyDescent="0.3">
      <c r="A599" t="s">
        <v>49</v>
      </c>
      <c r="B599">
        <v>35</v>
      </c>
      <c r="C599" t="s">
        <v>34</v>
      </c>
      <c r="D599" t="s">
        <v>36</v>
      </c>
      <c r="E599" t="s">
        <v>30</v>
      </c>
      <c r="F599" t="s">
        <v>44</v>
      </c>
      <c r="G599" t="s">
        <v>40</v>
      </c>
      <c r="H599" t="s">
        <v>27</v>
      </c>
      <c r="J599" t="s">
        <v>16</v>
      </c>
    </row>
    <row r="600" spans="1:10" x14ac:dyDescent="0.3">
      <c r="A600" t="s">
        <v>48</v>
      </c>
      <c r="B600">
        <v>25</v>
      </c>
      <c r="C600">
        <v>65000</v>
      </c>
      <c r="D600" t="s">
        <v>36</v>
      </c>
      <c r="E600" t="s">
        <v>12</v>
      </c>
      <c r="F600" t="s">
        <v>43</v>
      </c>
      <c r="G600" s="2">
        <v>43845</v>
      </c>
      <c r="H600" t="s">
        <v>27</v>
      </c>
      <c r="I600" t="s">
        <v>15</v>
      </c>
      <c r="J600" t="s">
        <v>28</v>
      </c>
    </row>
    <row r="601" spans="1:10" x14ac:dyDescent="0.3">
      <c r="A601" t="s">
        <v>48</v>
      </c>
      <c r="B601" t="s">
        <v>16</v>
      </c>
      <c r="C601">
        <v>70000</v>
      </c>
      <c r="D601" t="s">
        <v>11</v>
      </c>
      <c r="E601" t="s">
        <v>26</v>
      </c>
      <c r="F601" t="s">
        <v>44</v>
      </c>
      <c r="G601" t="s">
        <v>40</v>
      </c>
      <c r="H601" t="s">
        <v>14</v>
      </c>
      <c r="I601" t="s">
        <v>16</v>
      </c>
      <c r="J601" t="s">
        <v>33</v>
      </c>
    </row>
    <row r="602" spans="1:10" x14ac:dyDescent="0.3">
      <c r="A602" t="s">
        <v>29</v>
      </c>
      <c r="B602">
        <v>50</v>
      </c>
      <c r="C602">
        <v>65000</v>
      </c>
      <c r="D602" t="s">
        <v>11</v>
      </c>
      <c r="E602" t="s">
        <v>30</v>
      </c>
      <c r="F602" t="s">
        <v>13</v>
      </c>
      <c r="G602" s="2">
        <v>43845</v>
      </c>
      <c r="H602" t="s">
        <v>21</v>
      </c>
      <c r="J602" t="s">
        <v>28</v>
      </c>
    </row>
    <row r="603" spans="1:10" x14ac:dyDescent="0.3">
      <c r="A603" t="s">
        <v>46</v>
      </c>
      <c r="B603">
        <v>25</v>
      </c>
      <c r="C603" t="s">
        <v>25</v>
      </c>
      <c r="D603" t="s">
        <v>36</v>
      </c>
      <c r="E603" t="s">
        <v>30</v>
      </c>
      <c r="F603" t="s">
        <v>20</v>
      </c>
      <c r="G603" s="2">
        <v>43845</v>
      </c>
      <c r="H603" t="s">
        <v>41</v>
      </c>
      <c r="I603" t="s">
        <v>32</v>
      </c>
      <c r="J603" t="s">
        <v>16</v>
      </c>
    </row>
    <row r="604" spans="1:10" x14ac:dyDescent="0.3">
      <c r="A604" t="s">
        <v>46</v>
      </c>
      <c r="B604" t="s">
        <v>42</v>
      </c>
      <c r="C604" t="s">
        <v>34</v>
      </c>
      <c r="D604" t="s">
        <v>18</v>
      </c>
      <c r="E604" t="s">
        <v>19</v>
      </c>
      <c r="F604" t="s">
        <v>13</v>
      </c>
      <c r="G604" t="s">
        <v>40</v>
      </c>
      <c r="H604" t="s">
        <v>21</v>
      </c>
      <c r="I604" t="s">
        <v>32</v>
      </c>
      <c r="J604" t="s">
        <v>28</v>
      </c>
    </row>
    <row r="605" spans="1:10" x14ac:dyDescent="0.3">
      <c r="A605" t="s">
        <v>38</v>
      </c>
      <c r="B605">
        <v>50</v>
      </c>
      <c r="C605">
        <v>50000</v>
      </c>
      <c r="D605" t="s">
        <v>11</v>
      </c>
      <c r="E605" t="s">
        <v>26</v>
      </c>
      <c r="F605" t="s">
        <v>44</v>
      </c>
      <c r="G605" s="2">
        <v>43845</v>
      </c>
      <c r="H605" t="s">
        <v>31</v>
      </c>
      <c r="I605" t="s">
        <v>22</v>
      </c>
      <c r="J605" t="s">
        <v>28</v>
      </c>
    </row>
    <row r="606" spans="1:10" x14ac:dyDescent="0.3">
      <c r="A606" t="s">
        <v>10</v>
      </c>
      <c r="B606">
        <v>25</v>
      </c>
      <c r="C606">
        <v>70000</v>
      </c>
      <c r="D606" t="s">
        <v>36</v>
      </c>
      <c r="E606" t="s">
        <v>12</v>
      </c>
      <c r="F606" t="s">
        <v>20</v>
      </c>
      <c r="G606" s="2">
        <v>43881</v>
      </c>
      <c r="H606" t="s">
        <v>41</v>
      </c>
      <c r="J606" t="s">
        <v>28</v>
      </c>
    </row>
    <row r="607" spans="1:10" x14ac:dyDescent="0.3">
      <c r="A607" t="s">
        <v>49</v>
      </c>
      <c r="B607">
        <v>50</v>
      </c>
      <c r="C607" t="s">
        <v>25</v>
      </c>
      <c r="D607" t="s">
        <v>36</v>
      </c>
      <c r="E607" t="s">
        <v>30</v>
      </c>
      <c r="F607" t="s">
        <v>20</v>
      </c>
      <c r="G607" s="2">
        <v>43845</v>
      </c>
      <c r="H607" t="s">
        <v>27</v>
      </c>
      <c r="I607" t="s">
        <v>32</v>
      </c>
      <c r="J607" t="s">
        <v>28</v>
      </c>
    </row>
    <row r="608" spans="1:10" x14ac:dyDescent="0.3">
      <c r="A608" t="s">
        <v>35</v>
      </c>
      <c r="B608" t="s">
        <v>42</v>
      </c>
      <c r="C608">
        <v>55000</v>
      </c>
      <c r="D608" t="s">
        <v>18</v>
      </c>
      <c r="E608" t="s">
        <v>26</v>
      </c>
      <c r="F608" t="s">
        <v>13</v>
      </c>
      <c r="G608" s="1">
        <v>43195</v>
      </c>
      <c r="H608" t="s">
        <v>14</v>
      </c>
      <c r="I608" t="s">
        <v>32</v>
      </c>
      <c r="J608" t="s">
        <v>23</v>
      </c>
    </row>
    <row r="609" spans="1:10" x14ac:dyDescent="0.3">
      <c r="A609" t="s">
        <v>24</v>
      </c>
      <c r="B609">
        <v>35</v>
      </c>
      <c r="C609" t="s">
        <v>34</v>
      </c>
      <c r="D609" t="s">
        <v>18</v>
      </c>
      <c r="E609" t="s">
        <v>26</v>
      </c>
      <c r="F609" t="s">
        <v>43</v>
      </c>
      <c r="G609" s="2">
        <v>43845</v>
      </c>
      <c r="H609" t="s">
        <v>14</v>
      </c>
      <c r="I609" t="s">
        <v>22</v>
      </c>
      <c r="J609" t="s">
        <v>33</v>
      </c>
    </row>
    <row r="610" spans="1:10" x14ac:dyDescent="0.3">
      <c r="A610" t="s">
        <v>46</v>
      </c>
      <c r="B610" t="s">
        <v>42</v>
      </c>
      <c r="C610">
        <v>50000</v>
      </c>
      <c r="D610" t="s">
        <v>11</v>
      </c>
      <c r="E610" t="s">
        <v>12</v>
      </c>
      <c r="F610" t="s">
        <v>44</v>
      </c>
      <c r="G610" s="1">
        <v>43195</v>
      </c>
      <c r="H610" t="s">
        <v>27</v>
      </c>
      <c r="I610" t="s">
        <v>16</v>
      </c>
      <c r="J610" t="s">
        <v>16</v>
      </c>
    </row>
    <row r="611" spans="1:10" x14ac:dyDescent="0.3">
      <c r="A611" t="s">
        <v>24</v>
      </c>
      <c r="B611" t="s">
        <v>42</v>
      </c>
      <c r="C611">
        <v>65000</v>
      </c>
      <c r="D611" t="s">
        <v>18</v>
      </c>
      <c r="E611" t="s">
        <v>26</v>
      </c>
      <c r="F611" t="s">
        <v>39</v>
      </c>
      <c r="G611" s="2">
        <v>43845</v>
      </c>
      <c r="H611" t="s">
        <v>31</v>
      </c>
      <c r="I611" t="s">
        <v>32</v>
      </c>
      <c r="J611" t="s">
        <v>33</v>
      </c>
    </row>
    <row r="612" spans="1:10" x14ac:dyDescent="0.3">
      <c r="A612" t="s">
        <v>29</v>
      </c>
      <c r="B612">
        <v>50</v>
      </c>
      <c r="C612">
        <v>50000</v>
      </c>
      <c r="D612" t="s">
        <v>36</v>
      </c>
      <c r="E612" t="s">
        <v>26</v>
      </c>
      <c r="F612" t="s">
        <v>39</v>
      </c>
      <c r="G612" s="2">
        <v>43845</v>
      </c>
      <c r="H612" t="s">
        <v>27</v>
      </c>
      <c r="I612" t="s">
        <v>15</v>
      </c>
      <c r="J612" t="s">
        <v>23</v>
      </c>
    </row>
    <row r="613" spans="1:10" x14ac:dyDescent="0.3">
      <c r="A613" t="s">
        <v>24</v>
      </c>
      <c r="B613">
        <v>40</v>
      </c>
      <c r="C613">
        <v>55000</v>
      </c>
      <c r="D613" t="s">
        <v>36</v>
      </c>
      <c r="E613" t="s">
        <v>26</v>
      </c>
      <c r="F613" t="s">
        <v>13</v>
      </c>
      <c r="G613" t="s">
        <v>40</v>
      </c>
      <c r="H613" t="s">
        <v>31</v>
      </c>
      <c r="I613" t="s">
        <v>15</v>
      </c>
      <c r="J613" t="s">
        <v>23</v>
      </c>
    </row>
    <row r="614" spans="1:10" x14ac:dyDescent="0.3">
      <c r="A614" t="s">
        <v>35</v>
      </c>
      <c r="B614" t="s">
        <v>16</v>
      </c>
      <c r="C614">
        <v>70000</v>
      </c>
      <c r="D614" t="s">
        <v>18</v>
      </c>
      <c r="E614" t="s">
        <v>30</v>
      </c>
      <c r="F614" t="s">
        <v>44</v>
      </c>
      <c r="G614" s="2">
        <v>43881</v>
      </c>
      <c r="H614" t="s">
        <v>41</v>
      </c>
      <c r="I614" t="s">
        <v>16</v>
      </c>
      <c r="J614" t="s">
        <v>23</v>
      </c>
    </row>
    <row r="615" spans="1:10" x14ac:dyDescent="0.3">
      <c r="A615" t="s">
        <v>17</v>
      </c>
      <c r="B615" t="s">
        <v>16</v>
      </c>
      <c r="C615">
        <v>70000</v>
      </c>
      <c r="D615" t="s">
        <v>18</v>
      </c>
      <c r="E615" t="s">
        <v>12</v>
      </c>
      <c r="F615" t="s">
        <v>44</v>
      </c>
      <c r="G615" s="2">
        <v>43881</v>
      </c>
      <c r="H615" t="s">
        <v>27</v>
      </c>
      <c r="J615" t="s">
        <v>23</v>
      </c>
    </row>
    <row r="616" spans="1:10" x14ac:dyDescent="0.3">
      <c r="A616" t="s">
        <v>35</v>
      </c>
      <c r="B616">
        <v>35</v>
      </c>
      <c r="C616" t="s">
        <v>34</v>
      </c>
      <c r="D616" t="s">
        <v>18</v>
      </c>
      <c r="E616" t="s">
        <v>26</v>
      </c>
      <c r="F616" t="s">
        <v>13</v>
      </c>
      <c r="G616" s="2">
        <v>43549</v>
      </c>
      <c r="H616" t="s">
        <v>31</v>
      </c>
      <c r="I616" t="s">
        <v>22</v>
      </c>
      <c r="J616" t="s">
        <v>28</v>
      </c>
    </row>
    <row r="617" spans="1:10" x14ac:dyDescent="0.3">
      <c r="A617" t="s">
        <v>24</v>
      </c>
      <c r="B617">
        <v>35</v>
      </c>
      <c r="C617">
        <v>70000</v>
      </c>
      <c r="D617" t="s">
        <v>18</v>
      </c>
      <c r="E617" t="s">
        <v>26</v>
      </c>
      <c r="F617" t="s">
        <v>44</v>
      </c>
      <c r="G617" t="s">
        <v>40</v>
      </c>
      <c r="H617" t="s">
        <v>41</v>
      </c>
      <c r="I617" t="s">
        <v>15</v>
      </c>
      <c r="J617" t="s">
        <v>33</v>
      </c>
    </row>
    <row r="618" spans="1:10" x14ac:dyDescent="0.3">
      <c r="A618" t="s">
        <v>35</v>
      </c>
      <c r="B618" t="s">
        <v>16</v>
      </c>
      <c r="C618" t="s">
        <v>34</v>
      </c>
      <c r="D618" t="s">
        <v>11</v>
      </c>
      <c r="E618" t="s">
        <v>30</v>
      </c>
      <c r="F618" t="s">
        <v>43</v>
      </c>
      <c r="G618" t="s">
        <v>40</v>
      </c>
      <c r="H618" t="s">
        <v>27</v>
      </c>
      <c r="I618" t="s">
        <v>15</v>
      </c>
      <c r="J618" t="s">
        <v>45</v>
      </c>
    </row>
    <row r="619" spans="1:10" x14ac:dyDescent="0.3">
      <c r="A619" t="s">
        <v>47</v>
      </c>
      <c r="B619">
        <v>40</v>
      </c>
      <c r="C619" t="s">
        <v>34</v>
      </c>
      <c r="D619" t="s">
        <v>18</v>
      </c>
      <c r="E619" t="s">
        <v>12</v>
      </c>
      <c r="F619" t="s">
        <v>13</v>
      </c>
      <c r="G619" s="2">
        <v>43881</v>
      </c>
      <c r="H619" t="s">
        <v>14</v>
      </c>
      <c r="I619" t="s">
        <v>16</v>
      </c>
      <c r="J619" t="s">
        <v>16</v>
      </c>
    </row>
    <row r="620" spans="1:10" x14ac:dyDescent="0.3">
      <c r="A620" t="s">
        <v>29</v>
      </c>
      <c r="B620" t="s">
        <v>16</v>
      </c>
      <c r="C620" t="s">
        <v>34</v>
      </c>
      <c r="D620" t="s">
        <v>11</v>
      </c>
      <c r="E620" t="s">
        <v>19</v>
      </c>
      <c r="F620" t="s">
        <v>43</v>
      </c>
      <c r="G620" t="s">
        <v>40</v>
      </c>
      <c r="H620" t="s">
        <v>27</v>
      </c>
      <c r="J620" t="s">
        <v>23</v>
      </c>
    </row>
    <row r="621" spans="1:10" x14ac:dyDescent="0.3">
      <c r="A621" t="s">
        <v>49</v>
      </c>
      <c r="B621">
        <v>40</v>
      </c>
      <c r="C621">
        <v>65000</v>
      </c>
      <c r="D621" t="s">
        <v>36</v>
      </c>
      <c r="E621" t="s">
        <v>30</v>
      </c>
      <c r="F621" t="s">
        <v>44</v>
      </c>
      <c r="G621" s="2">
        <v>43881</v>
      </c>
      <c r="H621" t="s">
        <v>21</v>
      </c>
      <c r="J621" t="s">
        <v>33</v>
      </c>
    </row>
    <row r="622" spans="1:10" x14ac:dyDescent="0.3">
      <c r="A622" t="s">
        <v>17</v>
      </c>
      <c r="B622">
        <v>35</v>
      </c>
      <c r="C622" t="s">
        <v>25</v>
      </c>
      <c r="D622" t="s">
        <v>18</v>
      </c>
      <c r="E622" t="s">
        <v>12</v>
      </c>
      <c r="F622" t="s">
        <v>13</v>
      </c>
      <c r="G622" t="s">
        <v>40</v>
      </c>
      <c r="H622" t="s">
        <v>27</v>
      </c>
      <c r="I622" t="s">
        <v>16</v>
      </c>
      <c r="J622" t="s">
        <v>23</v>
      </c>
    </row>
    <row r="623" spans="1:10" x14ac:dyDescent="0.3">
      <c r="A623" t="s">
        <v>46</v>
      </c>
      <c r="B623">
        <v>25</v>
      </c>
      <c r="C623" t="s">
        <v>34</v>
      </c>
      <c r="D623" t="s">
        <v>11</v>
      </c>
      <c r="E623" t="s">
        <v>26</v>
      </c>
      <c r="F623" t="s">
        <v>44</v>
      </c>
      <c r="G623" s="2">
        <v>43845</v>
      </c>
      <c r="H623" t="s">
        <v>21</v>
      </c>
      <c r="I623" t="s">
        <v>15</v>
      </c>
      <c r="J623" t="s">
        <v>23</v>
      </c>
    </row>
    <row r="624" spans="1:10" x14ac:dyDescent="0.3">
      <c r="A624" t="s">
        <v>48</v>
      </c>
      <c r="B624">
        <v>50</v>
      </c>
      <c r="C624" t="s">
        <v>34</v>
      </c>
      <c r="D624" t="s">
        <v>18</v>
      </c>
      <c r="E624" t="s">
        <v>12</v>
      </c>
      <c r="F624" t="s">
        <v>13</v>
      </c>
      <c r="G624" s="2">
        <v>43881</v>
      </c>
      <c r="H624" t="s">
        <v>41</v>
      </c>
      <c r="I624" t="s">
        <v>22</v>
      </c>
      <c r="J624" t="s">
        <v>23</v>
      </c>
    </row>
    <row r="625" spans="1:10" x14ac:dyDescent="0.3">
      <c r="A625" t="s">
        <v>49</v>
      </c>
      <c r="B625">
        <v>35</v>
      </c>
      <c r="C625" t="s">
        <v>25</v>
      </c>
      <c r="D625" t="s">
        <v>36</v>
      </c>
      <c r="E625" t="s">
        <v>12</v>
      </c>
      <c r="F625" t="s">
        <v>44</v>
      </c>
      <c r="G625" s="2">
        <v>43881</v>
      </c>
      <c r="H625" t="s">
        <v>27</v>
      </c>
      <c r="I625" t="s">
        <v>15</v>
      </c>
      <c r="J625" t="s">
        <v>23</v>
      </c>
    </row>
    <row r="626" spans="1:10" x14ac:dyDescent="0.3">
      <c r="A626" t="s">
        <v>48</v>
      </c>
      <c r="B626">
        <v>35</v>
      </c>
      <c r="C626">
        <v>50000</v>
      </c>
      <c r="D626" t="s">
        <v>36</v>
      </c>
      <c r="E626" t="s">
        <v>12</v>
      </c>
      <c r="F626" t="s">
        <v>43</v>
      </c>
      <c r="G626" s="1">
        <v>43195</v>
      </c>
      <c r="H626" t="s">
        <v>41</v>
      </c>
      <c r="J626" t="s">
        <v>23</v>
      </c>
    </row>
    <row r="627" spans="1:10" x14ac:dyDescent="0.3">
      <c r="A627" t="s">
        <v>29</v>
      </c>
      <c r="B627" t="s">
        <v>42</v>
      </c>
      <c r="C627" t="s">
        <v>34</v>
      </c>
      <c r="D627" t="s">
        <v>36</v>
      </c>
      <c r="E627" t="s">
        <v>19</v>
      </c>
      <c r="F627" t="s">
        <v>43</v>
      </c>
      <c r="G627" t="s">
        <v>40</v>
      </c>
      <c r="H627" t="s">
        <v>41</v>
      </c>
      <c r="I627" t="s">
        <v>15</v>
      </c>
      <c r="J627" t="s">
        <v>16</v>
      </c>
    </row>
    <row r="628" spans="1:10" x14ac:dyDescent="0.3">
      <c r="A628" t="s">
        <v>17</v>
      </c>
      <c r="B628" t="s">
        <v>42</v>
      </c>
      <c r="C628">
        <v>65000</v>
      </c>
      <c r="D628" t="s">
        <v>18</v>
      </c>
      <c r="E628" t="s">
        <v>12</v>
      </c>
      <c r="F628" t="s">
        <v>44</v>
      </c>
      <c r="G628" t="s">
        <v>40</v>
      </c>
      <c r="H628" t="s">
        <v>31</v>
      </c>
      <c r="I628" t="s">
        <v>22</v>
      </c>
      <c r="J628" t="s">
        <v>33</v>
      </c>
    </row>
    <row r="629" spans="1:10" x14ac:dyDescent="0.3">
      <c r="A629" t="s">
        <v>38</v>
      </c>
      <c r="B629" t="s">
        <v>42</v>
      </c>
      <c r="C629">
        <v>70000</v>
      </c>
      <c r="D629" t="s">
        <v>18</v>
      </c>
      <c r="E629" t="s">
        <v>19</v>
      </c>
      <c r="F629" t="s">
        <v>13</v>
      </c>
      <c r="G629" s="2">
        <v>43881</v>
      </c>
      <c r="H629" t="s">
        <v>41</v>
      </c>
      <c r="I629" t="s">
        <v>32</v>
      </c>
      <c r="J629" t="s">
        <v>23</v>
      </c>
    </row>
    <row r="630" spans="1:10" x14ac:dyDescent="0.3">
      <c r="A630" t="s">
        <v>46</v>
      </c>
      <c r="B630">
        <v>50</v>
      </c>
      <c r="C630">
        <v>70000</v>
      </c>
      <c r="D630" t="s">
        <v>11</v>
      </c>
      <c r="E630" t="s">
        <v>26</v>
      </c>
      <c r="F630" t="s">
        <v>39</v>
      </c>
      <c r="G630" s="2">
        <v>43845</v>
      </c>
      <c r="H630" t="s">
        <v>41</v>
      </c>
      <c r="I630" t="s">
        <v>15</v>
      </c>
      <c r="J630" t="s">
        <v>23</v>
      </c>
    </row>
    <row r="631" spans="1:10" x14ac:dyDescent="0.3">
      <c r="A631" t="s">
        <v>47</v>
      </c>
      <c r="B631" t="s">
        <v>42</v>
      </c>
      <c r="C631">
        <v>55000</v>
      </c>
      <c r="D631" t="s">
        <v>36</v>
      </c>
      <c r="E631" t="s">
        <v>19</v>
      </c>
      <c r="F631" t="s">
        <v>43</v>
      </c>
      <c r="G631" s="2">
        <v>43845</v>
      </c>
      <c r="H631" t="s">
        <v>27</v>
      </c>
      <c r="I631" t="s">
        <v>16</v>
      </c>
      <c r="J631" t="s">
        <v>23</v>
      </c>
    </row>
    <row r="632" spans="1:10" x14ac:dyDescent="0.3">
      <c r="A632" t="s">
        <v>38</v>
      </c>
      <c r="B632">
        <v>40</v>
      </c>
      <c r="C632">
        <v>55000</v>
      </c>
      <c r="D632" t="s">
        <v>18</v>
      </c>
      <c r="E632" t="s">
        <v>26</v>
      </c>
      <c r="F632" t="s">
        <v>43</v>
      </c>
      <c r="G632" s="2">
        <v>43845</v>
      </c>
      <c r="H632" t="s">
        <v>27</v>
      </c>
      <c r="I632" t="s">
        <v>32</v>
      </c>
      <c r="J632" t="s">
        <v>23</v>
      </c>
    </row>
    <row r="633" spans="1:10" x14ac:dyDescent="0.3">
      <c r="A633" t="s">
        <v>29</v>
      </c>
      <c r="B633" t="s">
        <v>16</v>
      </c>
      <c r="C633">
        <v>70000</v>
      </c>
      <c r="D633" t="s">
        <v>36</v>
      </c>
      <c r="E633" t="s">
        <v>26</v>
      </c>
      <c r="F633" t="s">
        <v>39</v>
      </c>
      <c r="G633" t="s">
        <v>40</v>
      </c>
      <c r="H633" t="s">
        <v>14</v>
      </c>
      <c r="I633" t="s">
        <v>16</v>
      </c>
      <c r="J633" t="s">
        <v>28</v>
      </c>
    </row>
    <row r="634" spans="1:10" x14ac:dyDescent="0.3">
      <c r="A634" t="s">
        <v>49</v>
      </c>
      <c r="B634">
        <v>25</v>
      </c>
      <c r="C634">
        <v>70000</v>
      </c>
      <c r="D634" t="s">
        <v>36</v>
      </c>
      <c r="E634" t="s">
        <v>19</v>
      </c>
      <c r="F634" t="s">
        <v>44</v>
      </c>
      <c r="G634" s="1">
        <v>43195</v>
      </c>
      <c r="H634" t="s">
        <v>31</v>
      </c>
      <c r="I634" t="s">
        <v>16</v>
      </c>
      <c r="J634" t="s">
        <v>28</v>
      </c>
    </row>
    <row r="635" spans="1:10" x14ac:dyDescent="0.3">
      <c r="A635" t="s">
        <v>47</v>
      </c>
      <c r="B635">
        <v>35</v>
      </c>
      <c r="C635">
        <v>65000</v>
      </c>
      <c r="D635" t="s">
        <v>11</v>
      </c>
      <c r="E635" t="s">
        <v>30</v>
      </c>
      <c r="F635" t="s">
        <v>13</v>
      </c>
      <c r="G635" s="2">
        <v>43881</v>
      </c>
      <c r="H635" t="s">
        <v>41</v>
      </c>
      <c r="I635" t="s">
        <v>16</v>
      </c>
      <c r="J635" t="s">
        <v>45</v>
      </c>
    </row>
    <row r="636" spans="1:10" x14ac:dyDescent="0.3">
      <c r="A636" t="s">
        <v>35</v>
      </c>
      <c r="B636">
        <v>40</v>
      </c>
      <c r="C636" t="s">
        <v>25</v>
      </c>
      <c r="D636" t="s">
        <v>11</v>
      </c>
      <c r="E636" t="s">
        <v>37</v>
      </c>
      <c r="F636" t="s">
        <v>44</v>
      </c>
      <c r="G636" s="2">
        <v>43549</v>
      </c>
      <c r="H636" t="s">
        <v>31</v>
      </c>
      <c r="I636" t="s">
        <v>15</v>
      </c>
      <c r="J636" t="s">
        <v>23</v>
      </c>
    </row>
    <row r="637" spans="1:10" x14ac:dyDescent="0.3">
      <c r="A637" t="s">
        <v>24</v>
      </c>
      <c r="B637">
        <v>25</v>
      </c>
      <c r="C637">
        <v>55000</v>
      </c>
      <c r="D637" t="s">
        <v>11</v>
      </c>
      <c r="E637" t="s">
        <v>12</v>
      </c>
      <c r="F637" t="s">
        <v>20</v>
      </c>
      <c r="G637" s="1">
        <v>43195</v>
      </c>
      <c r="H637" t="s">
        <v>21</v>
      </c>
      <c r="J637" t="s">
        <v>45</v>
      </c>
    </row>
    <row r="638" spans="1:10" x14ac:dyDescent="0.3">
      <c r="A638" t="s">
        <v>47</v>
      </c>
      <c r="B638">
        <v>40</v>
      </c>
      <c r="C638" t="s">
        <v>25</v>
      </c>
      <c r="D638" t="s">
        <v>11</v>
      </c>
      <c r="E638" t="s">
        <v>37</v>
      </c>
      <c r="F638" t="s">
        <v>43</v>
      </c>
      <c r="G638" s="2">
        <v>43549</v>
      </c>
      <c r="H638" t="s">
        <v>41</v>
      </c>
      <c r="I638" t="s">
        <v>32</v>
      </c>
      <c r="J638" t="s">
        <v>16</v>
      </c>
    </row>
    <row r="639" spans="1:10" x14ac:dyDescent="0.3">
      <c r="A639" t="s">
        <v>29</v>
      </c>
      <c r="B639">
        <v>40</v>
      </c>
      <c r="C639">
        <v>65000</v>
      </c>
      <c r="D639" t="s">
        <v>36</v>
      </c>
      <c r="E639" t="s">
        <v>12</v>
      </c>
      <c r="F639" t="s">
        <v>20</v>
      </c>
      <c r="G639" s="1">
        <v>43195</v>
      </c>
      <c r="H639" t="s">
        <v>31</v>
      </c>
      <c r="I639" t="s">
        <v>22</v>
      </c>
      <c r="J639" t="s">
        <v>45</v>
      </c>
    </row>
    <row r="640" spans="1:10" x14ac:dyDescent="0.3">
      <c r="A640" t="s">
        <v>10</v>
      </c>
      <c r="B640">
        <v>35</v>
      </c>
      <c r="C640">
        <v>70000</v>
      </c>
      <c r="D640" t="s">
        <v>11</v>
      </c>
      <c r="E640" t="s">
        <v>12</v>
      </c>
      <c r="F640" t="s">
        <v>43</v>
      </c>
      <c r="G640" s="2">
        <v>43845</v>
      </c>
      <c r="H640" t="s">
        <v>14</v>
      </c>
      <c r="J640" t="s">
        <v>33</v>
      </c>
    </row>
    <row r="641" spans="1:10" x14ac:dyDescent="0.3">
      <c r="A641" t="s">
        <v>24</v>
      </c>
      <c r="B641" t="s">
        <v>16</v>
      </c>
      <c r="C641" t="s">
        <v>34</v>
      </c>
      <c r="D641" t="s">
        <v>11</v>
      </c>
      <c r="E641" t="s">
        <v>26</v>
      </c>
      <c r="F641" t="s">
        <v>43</v>
      </c>
      <c r="G641" t="s">
        <v>40</v>
      </c>
      <c r="H641" t="s">
        <v>14</v>
      </c>
      <c r="I641" t="s">
        <v>15</v>
      </c>
      <c r="J641" t="s">
        <v>28</v>
      </c>
    </row>
    <row r="642" spans="1:10" x14ac:dyDescent="0.3">
      <c r="A642" t="s">
        <v>48</v>
      </c>
      <c r="B642" t="s">
        <v>42</v>
      </c>
      <c r="C642" t="s">
        <v>25</v>
      </c>
      <c r="D642" t="s">
        <v>11</v>
      </c>
      <c r="E642" t="s">
        <v>12</v>
      </c>
      <c r="F642" t="s">
        <v>20</v>
      </c>
      <c r="G642" s="2">
        <v>43549</v>
      </c>
      <c r="H642" t="s">
        <v>41</v>
      </c>
      <c r="I642" t="s">
        <v>16</v>
      </c>
      <c r="J642" t="s">
        <v>28</v>
      </c>
    </row>
    <row r="643" spans="1:10" x14ac:dyDescent="0.3">
      <c r="A643" t="s">
        <v>46</v>
      </c>
      <c r="B643">
        <v>50</v>
      </c>
      <c r="C643">
        <v>70000</v>
      </c>
      <c r="D643" t="s">
        <v>11</v>
      </c>
      <c r="E643" t="s">
        <v>12</v>
      </c>
      <c r="F643" t="s">
        <v>20</v>
      </c>
      <c r="G643" s="1">
        <v>43195</v>
      </c>
      <c r="H643" t="s">
        <v>21</v>
      </c>
      <c r="I643" t="s">
        <v>22</v>
      </c>
      <c r="J643" t="s">
        <v>23</v>
      </c>
    </row>
    <row r="644" spans="1:10" x14ac:dyDescent="0.3">
      <c r="A644" t="s">
        <v>48</v>
      </c>
      <c r="B644" t="s">
        <v>16</v>
      </c>
      <c r="C644">
        <v>70000</v>
      </c>
      <c r="D644" t="s">
        <v>36</v>
      </c>
      <c r="E644" t="s">
        <v>19</v>
      </c>
      <c r="F644" t="s">
        <v>44</v>
      </c>
      <c r="G644" t="s">
        <v>40</v>
      </c>
      <c r="H644" t="s">
        <v>14</v>
      </c>
      <c r="I644" t="s">
        <v>32</v>
      </c>
      <c r="J644" t="s">
        <v>23</v>
      </c>
    </row>
    <row r="645" spans="1:10" x14ac:dyDescent="0.3">
      <c r="A645" t="s">
        <v>47</v>
      </c>
      <c r="B645">
        <v>50</v>
      </c>
      <c r="C645">
        <v>50000</v>
      </c>
      <c r="D645" t="s">
        <v>11</v>
      </c>
      <c r="E645" t="s">
        <v>37</v>
      </c>
      <c r="F645" t="s">
        <v>20</v>
      </c>
      <c r="G645" s="2">
        <v>43549</v>
      </c>
      <c r="H645" t="s">
        <v>14</v>
      </c>
      <c r="J645" t="s">
        <v>16</v>
      </c>
    </row>
    <row r="646" spans="1:10" x14ac:dyDescent="0.3">
      <c r="A646" t="s">
        <v>48</v>
      </c>
      <c r="B646">
        <v>35</v>
      </c>
      <c r="C646" t="s">
        <v>25</v>
      </c>
      <c r="D646" t="s">
        <v>36</v>
      </c>
      <c r="E646" t="s">
        <v>19</v>
      </c>
      <c r="F646" t="s">
        <v>44</v>
      </c>
      <c r="G646" s="2">
        <v>43881</v>
      </c>
      <c r="H646" t="s">
        <v>21</v>
      </c>
      <c r="J646" t="s">
        <v>16</v>
      </c>
    </row>
    <row r="647" spans="1:10" x14ac:dyDescent="0.3">
      <c r="A647" t="s">
        <v>29</v>
      </c>
      <c r="B647">
        <v>35</v>
      </c>
      <c r="C647" t="s">
        <v>34</v>
      </c>
      <c r="D647" t="s">
        <v>18</v>
      </c>
      <c r="E647" t="s">
        <v>12</v>
      </c>
      <c r="F647" t="s">
        <v>44</v>
      </c>
      <c r="G647" s="1">
        <v>43195</v>
      </c>
      <c r="H647" t="s">
        <v>31</v>
      </c>
      <c r="I647" t="s">
        <v>22</v>
      </c>
      <c r="J647" t="s">
        <v>33</v>
      </c>
    </row>
    <row r="648" spans="1:10" x14ac:dyDescent="0.3">
      <c r="A648" t="s">
        <v>35</v>
      </c>
      <c r="B648">
        <v>35</v>
      </c>
      <c r="C648" t="s">
        <v>25</v>
      </c>
      <c r="D648" t="s">
        <v>36</v>
      </c>
      <c r="E648" t="s">
        <v>26</v>
      </c>
      <c r="F648" t="s">
        <v>44</v>
      </c>
      <c r="G648" s="2">
        <v>43881</v>
      </c>
      <c r="H648" t="s">
        <v>14</v>
      </c>
      <c r="I648" t="s">
        <v>15</v>
      </c>
      <c r="J648" t="s">
        <v>23</v>
      </c>
    </row>
    <row r="649" spans="1:10" x14ac:dyDescent="0.3">
      <c r="A649" t="s">
        <v>49</v>
      </c>
      <c r="B649">
        <v>25</v>
      </c>
      <c r="C649">
        <v>70000</v>
      </c>
      <c r="D649" t="s">
        <v>36</v>
      </c>
      <c r="E649" t="s">
        <v>19</v>
      </c>
      <c r="F649" t="s">
        <v>43</v>
      </c>
      <c r="G649" s="2">
        <v>43845</v>
      </c>
      <c r="H649" t="s">
        <v>27</v>
      </c>
      <c r="I649" t="s">
        <v>32</v>
      </c>
      <c r="J649" t="s">
        <v>23</v>
      </c>
    </row>
    <row r="650" spans="1:10" x14ac:dyDescent="0.3">
      <c r="A650" t="s">
        <v>46</v>
      </c>
      <c r="B650">
        <v>50</v>
      </c>
      <c r="C650" t="s">
        <v>34</v>
      </c>
      <c r="D650" t="s">
        <v>11</v>
      </c>
      <c r="E650" t="s">
        <v>19</v>
      </c>
      <c r="F650" t="s">
        <v>43</v>
      </c>
      <c r="G650" s="2">
        <v>43881</v>
      </c>
      <c r="H650" t="s">
        <v>14</v>
      </c>
      <c r="I650" t="s">
        <v>22</v>
      </c>
      <c r="J650" t="s">
        <v>16</v>
      </c>
    </row>
    <row r="651" spans="1:10" x14ac:dyDescent="0.3">
      <c r="A651" t="s">
        <v>48</v>
      </c>
      <c r="B651" t="s">
        <v>16</v>
      </c>
      <c r="C651">
        <v>65000</v>
      </c>
      <c r="D651" t="s">
        <v>18</v>
      </c>
      <c r="E651" t="s">
        <v>30</v>
      </c>
      <c r="F651" t="s">
        <v>20</v>
      </c>
      <c r="G651" s="2">
        <v>43881</v>
      </c>
      <c r="H651" t="s">
        <v>31</v>
      </c>
      <c r="I651" t="s">
        <v>16</v>
      </c>
      <c r="J651" t="s">
        <v>16</v>
      </c>
    </row>
    <row r="652" spans="1:10" x14ac:dyDescent="0.3">
      <c r="A652" t="s">
        <v>48</v>
      </c>
      <c r="B652" t="s">
        <v>16</v>
      </c>
      <c r="C652">
        <v>50000</v>
      </c>
      <c r="D652" t="s">
        <v>18</v>
      </c>
      <c r="E652" t="s">
        <v>12</v>
      </c>
      <c r="F652" t="s">
        <v>43</v>
      </c>
      <c r="G652" s="1">
        <v>43195</v>
      </c>
      <c r="H652" t="s">
        <v>31</v>
      </c>
      <c r="I652" t="s">
        <v>32</v>
      </c>
      <c r="J652" t="s">
        <v>16</v>
      </c>
    </row>
    <row r="653" spans="1:10" x14ac:dyDescent="0.3">
      <c r="A653" t="s">
        <v>47</v>
      </c>
      <c r="B653">
        <v>40</v>
      </c>
      <c r="C653">
        <v>70000</v>
      </c>
      <c r="D653" t="s">
        <v>18</v>
      </c>
      <c r="E653" t="s">
        <v>26</v>
      </c>
      <c r="F653" t="s">
        <v>20</v>
      </c>
      <c r="G653" s="2">
        <v>43845</v>
      </c>
      <c r="H653" t="s">
        <v>41</v>
      </c>
      <c r="J653" t="s">
        <v>28</v>
      </c>
    </row>
    <row r="654" spans="1:10" x14ac:dyDescent="0.3">
      <c r="A654" t="s">
        <v>49</v>
      </c>
      <c r="B654">
        <v>40</v>
      </c>
      <c r="C654">
        <v>55000</v>
      </c>
      <c r="D654" t="s">
        <v>18</v>
      </c>
      <c r="E654" t="s">
        <v>19</v>
      </c>
      <c r="F654" t="s">
        <v>43</v>
      </c>
      <c r="G654" s="2">
        <v>43881</v>
      </c>
      <c r="H654" t="s">
        <v>27</v>
      </c>
      <c r="I654" t="s">
        <v>22</v>
      </c>
      <c r="J654" t="s">
        <v>45</v>
      </c>
    </row>
    <row r="655" spans="1:10" x14ac:dyDescent="0.3">
      <c r="A655" t="s">
        <v>38</v>
      </c>
      <c r="B655">
        <v>40</v>
      </c>
      <c r="C655">
        <v>55000</v>
      </c>
      <c r="D655" t="s">
        <v>36</v>
      </c>
      <c r="E655" t="s">
        <v>19</v>
      </c>
      <c r="F655" t="s">
        <v>13</v>
      </c>
      <c r="G655" t="s">
        <v>40</v>
      </c>
      <c r="H655" t="s">
        <v>31</v>
      </c>
      <c r="J655" t="s">
        <v>45</v>
      </c>
    </row>
    <row r="656" spans="1:10" x14ac:dyDescent="0.3">
      <c r="A656" t="s">
        <v>48</v>
      </c>
      <c r="B656">
        <v>35</v>
      </c>
      <c r="C656">
        <v>50000</v>
      </c>
      <c r="D656" t="s">
        <v>18</v>
      </c>
      <c r="E656" t="s">
        <v>26</v>
      </c>
      <c r="F656" t="s">
        <v>13</v>
      </c>
      <c r="G656" s="2">
        <v>43549</v>
      </c>
      <c r="H656" t="s">
        <v>21</v>
      </c>
      <c r="J656" t="s">
        <v>23</v>
      </c>
    </row>
    <row r="657" spans="1:10" x14ac:dyDescent="0.3">
      <c r="A657" t="s">
        <v>29</v>
      </c>
      <c r="B657" t="s">
        <v>16</v>
      </c>
      <c r="C657">
        <v>65000</v>
      </c>
      <c r="D657" t="s">
        <v>36</v>
      </c>
      <c r="E657" t="s">
        <v>12</v>
      </c>
      <c r="F657" t="s">
        <v>20</v>
      </c>
      <c r="G657" s="2">
        <v>43881</v>
      </c>
      <c r="H657" t="s">
        <v>27</v>
      </c>
      <c r="J657" t="s">
        <v>28</v>
      </c>
    </row>
    <row r="658" spans="1:10" x14ac:dyDescent="0.3">
      <c r="A658" t="s">
        <v>10</v>
      </c>
      <c r="B658">
        <v>50</v>
      </c>
      <c r="C658">
        <v>70000</v>
      </c>
      <c r="D658" t="s">
        <v>36</v>
      </c>
      <c r="E658" t="s">
        <v>30</v>
      </c>
      <c r="F658" t="s">
        <v>43</v>
      </c>
      <c r="G658" s="2">
        <v>43845</v>
      </c>
      <c r="H658" t="s">
        <v>27</v>
      </c>
      <c r="I658" t="s">
        <v>15</v>
      </c>
      <c r="J658" t="s">
        <v>16</v>
      </c>
    </row>
    <row r="659" spans="1:10" x14ac:dyDescent="0.3">
      <c r="A659" t="s">
        <v>46</v>
      </c>
      <c r="B659">
        <v>35</v>
      </c>
      <c r="C659" t="s">
        <v>25</v>
      </c>
      <c r="D659" t="s">
        <v>36</v>
      </c>
      <c r="E659" t="s">
        <v>19</v>
      </c>
      <c r="F659" t="s">
        <v>43</v>
      </c>
      <c r="G659" s="2">
        <v>43881</v>
      </c>
      <c r="H659" t="s">
        <v>21</v>
      </c>
      <c r="J659" t="s">
        <v>23</v>
      </c>
    </row>
    <row r="660" spans="1:10" x14ac:dyDescent="0.3">
      <c r="A660" t="s">
        <v>48</v>
      </c>
      <c r="B660">
        <v>25</v>
      </c>
      <c r="C660">
        <v>50000</v>
      </c>
      <c r="D660" t="s">
        <v>18</v>
      </c>
      <c r="E660" t="s">
        <v>30</v>
      </c>
      <c r="F660" t="s">
        <v>44</v>
      </c>
      <c r="G660" s="2">
        <v>43549</v>
      </c>
      <c r="H660" t="s">
        <v>14</v>
      </c>
      <c r="I660" t="s">
        <v>16</v>
      </c>
      <c r="J660" t="s">
        <v>28</v>
      </c>
    </row>
    <row r="661" spans="1:10" x14ac:dyDescent="0.3">
      <c r="A661" t="s">
        <v>29</v>
      </c>
      <c r="B661">
        <v>40</v>
      </c>
      <c r="C661">
        <v>65000</v>
      </c>
      <c r="D661" t="s">
        <v>11</v>
      </c>
      <c r="E661" t="s">
        <v>37</v>
      </c>
      <c r="F661" t="s">
        <v>39</v>
      </c>
      <c r="G661" s="2">
        <v>43845</v>
      </c>
      <c r="H661" t="s">
        <v>21</v>
      </c>
      <c r="I661" t="s">
        <v>16</v>
      </c>
      <c r="J661" t="s">
        <v>33</v>
      </c>
    </row>
    <row r="662" spans="1:10" x14ac:dyDescent="0.3">
      <c r="A662" t="s">
        <v>29</v>
      </c>
      <c r="B662">
        <v>35</v>
      </c>
      <c r="C662" t="s">
        <v>25</v>
      </c>
      <c r="D662" t="s">
        <v>11</v>
      </c>
      <c r="E662" t="s">
        <v>12</v>
      </c>
      <c r="F662" t="s">
        <v>20</v>
      </c>
      <c r="G662" s="1">
        <v>43195</v>
      </c>
      <c r="H662" t="s">
        <v>21</v>
      </c>
      <c r="I662" t="s">
        <v>32</v>
      </c>
      <c r="J662" t="s">
        <v>28</v>
      </c>
    </row>
    <row r="663" spans="1:10" x14ac:dyDescent="0.3">
      <c r="A663" t="s">
        <v>46</v>
      </c>
      <c r="B663">
        <v>35</v>
      </c>
      <c r="C663">
        <v>55000</v>
      </c>
      <c r="D663" t="s">
        <v>18</v>
      </c>
      <c r="E663" t="s">
        <v>37</v>
      </c>
      <c r="F663" t="s">
        <v>39</v>
      </c>
      <c r="G663" s="2">
        <v>43845</v>
      </c>
      <c r="H663" t="s">
        <v>14</v>
      </c>
      <c r="J663" t="s">
        <v>23</v>
      </c>
    </row>
    <row r="664" spans="1:10" x14ac:dyDescent="0.3">
      <c r="A664" t="s">
        <v>38</v>
      </c>
      <c r="B664">
        <v>25</v>
      </c>
      <c r="C664">
        <v>55000</v>
      </c>
      <c r="D664" t="s">
        <v>11</v>
      </c>
      <c r="E664" t="s">
        <v>37</v>
      </c>
      <c r="F664" t="s">
        <v>39</v>
      </c>
      <c r="G664" s="1">
        <v>43195</v>
      </c>
      <c r="H664" t="s">
        <v>14</v>
      </c>
      <c r="J664" t="s">
        <v>45</v>
      </c>
    </row>
    <row r="665" spans="1:10" x14ac:dyDescent="0.3">
      <c r="A665" t="s">
        <v>29</v>
      </c>
      <c r="B665" t="s">
        <v>42</v>
      </c>
      <c r="C665" t="s">
        <v>25</v>
      </c>
      <c r="D665" t="s">
        <v>11</v>
      </c>
      <c r="E665" t="s">
        <v>37</v>
      </c>
      <c r="F665" t="s">
        <v>20</v>
      </c>
      <c r="G665" s="2">
        <v>43845</v>
      </c>
      <c r="H665" t="s">
        <v>14</v>
      </c>
      <c r="I665" t="s">
        <v>22</v>
      </c>
      <c r="J665" t="s">
        <v>16</v>
      </c>
    </row>
    <row r="666" spans="1:10" x14ac:dyDescent="0.3">
      <c r="A666" t="s">
        <v>10</v>
      </c>
      <c r="B666" t="s">
        <v>16</v>
      </c>
      <c r="C666">
        <v>50000</v>
      </c>
      <c r="D666" t="s">
        <v>36</v>
      </c>
      <c r="E666" t="s">
        <v>12</v>
      </c>
      <c r="F666" t="s">
        <v>43</v>
      </c>
      <c r="G666" s="2">
        <v>43549</v>
      </c>
      <c r="H666" t="s">
        <v>14</v>
      </c>
      <c r="I666" t="s">
        <v>15</v>
      </c>
      <c r="J666" t="s">
        <v>33</v>
      </c>
    </row>
    <row r="667" spans="1:10" x14ac:dyDescent="0.3">
      <c r="A667" t="s">
        <v>29</v>
      </c>
      <c r="B667">
        <v>50</v>
      </c>
      <c r="C667">
        <v>55000</v>
      </c>
      <c r="D667" t="s">
        <v>36</v>
      </c>
      <c r="E667" t="s">
        <v>12</v>
      </c>
      <c r="F667" t="s">
        <v>20</v>
      </c>
      <c r="G667" s="2">
        <v>43549</v>
      </c>
      <c r="H667" t="s">
        <v>14</v>
      </c>
      <c r="I667" t="s">
        <v>32</v>
      </c>
      <c r="J667" t="s">
        <v>28</v>
      </c>
    </row>
    <row r="668" spans="1:10" x14ac:dyDescent="0.3">
      <c r="A668" t="s">
        <v>29</v>
      </c>
      <c r="B668" t="s">
        <v>42</v>
      </c>
      <c r="C668">
        <v>70000</v>
      </c>
      <c r="D668" t="s">
        <v>18</v>
      </c>
      <c r="E668" t="s">
        <v>26</v>
      </c>
      <c r="F668" t="s">
        <v>39</v>
      </c>
      <c r="G668" s="2">
        <v>43845</v>
      </c>
      <c r="H668" t="s">
        <v>21</v>
      </c>
      <c r="J668" t="s">
        <v>23</v>
      </c>
    </row>
    <row r="669" spans="1:10" x14ac:dyDescent="0.3">
      <c r="A669" t="s">
        <v>29</v>
      </c>
      <c r="B669">
        <v>40</v>
      </c>
      <c r="C669" t="s">
        <v>34</v>
      </c>
      <c r="D669" t="s">
        <v>18</v>
      </c>
      <c r="E669" t="s">
        <v>30</v>
      </c>
      <c r="F669" t="s">
        <v>43</v>
      </c>
      <c r="G669" s="2">
        <v>43881</v>
      </c>
      <c r="H669" t="s">
        <v>41</v>
      </c>
      <c r="I669" t="s">
        <v>22</v>
      </c>
      <c r="J669" t="s">
        <v>23</v>
      </c>
    </row>
    <row r="670" spans="1:10" x14ac:dyDescent="0.3">
      <c r="A670" t="s">
        <v>35</v>
      </c>
      <c r="B670">
        <v>35</v>
      </c>
      <c r="C670" t="s">
        <v>25</v>
      </c>
      <c r="D670" t="s">
        <v>11</v>
      </c>
      <c r="E670" t="s">
        <v>30</v>
      </c>
      <c r="F670" t="s">
        <v>13</v>
      </c>
      <c r="G670" s="2">
        <v>43549</v>
      </c>
      <c r="H670" t="s">
        <v>41</v>
      </c>
      <c r="I670" t="s">
        <v>15</v>
      </c>
      <c r="J670" t="s">
        <v>16</v>
      </c>
    </row>
    <row r="671" spans="1:10" x14ac:dyDescent="0.3">
      <c r="A671" t="s">
        <v>35</v>
      </c>
      <c r="B671">
        <v>25</v>
      </c>
      <c r="C671" t="s">
        <v>25</v>
      </c>
      <c r="D671" t="s">
        <v>36</v>
      </c>
      <c r="E671" t="s">
        <v>26</v>
      </c>
      <c r="F671" t="s">
        <v>20</v>
      </c>
      <c r="G671" s="1">
        <v>43195</v>
      </c>
      <c r="H671" t="s">
        <v>31</v>
      </c>
      <c r="I671" t="s">
        <v>32</v>
      </c>
      <c r="J671" t="s">
        <v>23</v>
      </c>
    </row>
    <row r="672" spans="1:10" x14ac:dyDescent="0.3">
      <c r="A672" t="s">
        <v>38</v>
      </c>
      <c r="B672">
        <v>25</v>
      </c>
      <c r="C672">
        <v>55000</v>
      </c>
      <c r="D672" t="s">
        <v>18</v>
      </c>
      <c r="E672" t="s">
        <v>26</v>
      </c>
      <c r="F672" t="s">
        <v>20</v>
      </c>
      <c r="G672" s="1">
        <v>43195</v>
      </c>
      <c r="H672" t="s">
        <v>41</v>
      </c>
      <c r="I672" t="s">
        <v>32</v>
      </c>
      <c r="J672" t="s">
        <v>23</v>
      </c>
    </row>
    <row r="673" spans="1:10" x14ac:dyDescent="0.3">
      <c r="A673" t="s">
        <v>48</v>
      </c>
      <c r="B673" t="s">
        <v>16</v>
      </c>
      <c r="C673">
        <v>50000</v>
      </c>
      <c r="D673" t="s">
        <v>18</v>
      </c>
      <c r="E673" t="s">
        <v>37</v>
      </c>
      <c r="F673" t="s">
        <v>43</v>
      </c>
      <c r="G673" t="s">
        <v>40</v>
      </c>
      <c r="H673" t="s">
        <v>41</v>
      </c>
      <c r="J673" t="s">
        <v>16</v>
      </c>
    </row>
    <row r="674" spans="1:10" x14ac:dyDescent="0.3">
      <c r="A674" t="s">
        <v>29</v>
      </c>
      <c r="B674" t="s">
        <v>42</v>
      </c>
      <c r="C674">
        <v>70000</v>
      </c>
      <c r="D674" t="s">
        <v>18</v>
      </c>
      <c r="E674" t="s">
        <v>26</v>
      </c>
      <c r="F674" t="s">
        <v>13</v>
      </c>
      <c r="G674" s="1">
        <v>43195</v>
      </c>
      <c r="H674" t="s">
        <v>21</v>
      </c>
      <c r="I674" t="s">
        <v>32</v>
      </c>
      <c r="J674" t="s">
        <v>33</v>
      </c>
    </row>
    <row r="675" spans="1:10" x14ac:dyDescent="0.3">
      <c r="A675" t="s">
        <v>49</v>
      </c>
      <c r="B675" t="s">
        <v>16</v>
      </c>
      <c r="C675">
        <v>50000</v>
      </c>
      <c r="D675" t="s">
        <v>18</v>
      </c>
      <c r="E675" t="s">
        <v>19</v>
      </c>
      <c r="F675" t="s">
        <v>13</v>
      </c>
      <c r="G675" t="s">
        <v>40</v>
      </c>
      <c r="H675" t="s">
        <v>14</v>
      </c>
      <c r="I675" t="s">
        <v>22</v>
      </c>
      <c r="J675" t="s">
        <v>45</v>
      </c>
    </row>
    <row r="676" spans="1:10" x14ac:dyDescent="0.3">
      <c r="A676" t="s">
        <v>48</v>
      </c>
      <c r="B676">
        <v>35</v>
      </c>
      <c r="C676">
        <v>65000</v>
      </c>
      <c r="D676" t="s">
        <v>18</v>
      </c>
      <c r="E676" t="s">
        <v>30</v>
      </c>
      <c r="F676" t="s">
        <v>43</v>
      </c>
      <c r="G676" s="2">
        <v>43845</v>
      </c>
      <c r="H676" t="s">
        <v>14</v>
      </c>
      <c r="I676" t="s">
        <v>32</v>
      </c>
      <c r="J676" t="s">
        <v>45</v>
      </c>
    </row>
    <row r="677" spans="1:10" x14ac:dyDescent="0.3">
      <c r="A677" t="s">
        <v>38</v>
      </c>
      <c r="B677" t="s">
        <v>16</v>
      </c>
      <c r="C677">
        <v>65000</v>
      </c>
      <c r="D677" t="s">
        <v>18</v>
      </c>
      <c r="E677" t="s">
        <v>26</v>
      </c>
      <c r="F677" t="s">
        <v>44</v>
      </c>
      <c r="G677" s="2">
        <v>43845</v>
      </c>
      <c r="H677" t="s">
        <v>21</v>
      </c>
      <c r="I677" t="s">
        <v>16</v>
      </c>
      <c r="J677" t="s">
        <v>28</v>
      </c>
    </row>
    <row r="678" spans="1:10" x14ac:dyDescent="0.3">
      <c r="A678" t="s">
        <v>17</v>
      </c>
      <c r="B678">
        <v>50</v>
      </c>
      <c r="C678" t="s">
        <v>34</v>
      </c>
      <c r="D678" t="s">
        <v>11</v>
      </c>
      <c r="E678" t="s">
        <v>19</v>
      </c>
      <c r="F678" t="s">
        <v>20</v>
      </c>
      <c r="G678" s="2">
        <v>43845</v>
      </c>
      <c r="H678" t="s">
        <v>41</v>
      </c>
      <c r="I678" t="s">
        <v>22</v>
      </c>
      <c r="J678" t="s">
        <v>33</v>
      </c>
    </row>
    <row r="679" spans="1:10" x14ac:dyDescent="0.3">
      <c r="A679" t="s">
        <v>48</v>
      </c>
      <c r="B679">
        <v>25</v>
      </c>
      <c r="C679">
        <v>55000</v>
      </c>
      <c r="D679" t="s">
        <v>36</v>
      </c>
      <c r="E679" t="s">
        <v>19</v>
      </c>
      <c r="F679" t="s">
        <v>20</v>
      </c>
      <c r="G679" s="2">
        <v>43881</v>
      </c>
      <c r="H679" t="s">
        <v>21</v>
      </c>
      <c r="I679" t="s">
        <v>15</v>
      </c>
      <c r="J679" t="s">
        <v>28</v>
      </c>
    </row>
    <row r="680" spans="1:10" x14ac:dyDescent="0.3">
      <c r="A680" t="s">
        <v>48</v>
      </c>
      <c r="B680">
        <v>25</v>
      </c>
      <c r="C680">
        <v>55000</v>
      </c>
      <c r="D680" t="s">
        <v>36</v>
      </c>
      <c r="E680" t="s">
        <v>19</v>
      </c>
      <c r="F680" t="s">
        <v>39</v>
      </c>
      <c r="G680" s="2">
        <v>43881</v>
      </c>
      <c r="H680" t="s">
        <v>31</v>
      </c>
      <c r="I680" t="s">
        <v>15</v>
      </c>
      <c r="J680" t="s">
        <v>45</v>
      </c>
    </row>
    <row r="681" spans="1:10" x14ac:dyDescent="0.3">
      <c r="A681" t="s">
        <v>24</v>
      </c>
      <c r="B681">
        <v>40</v>
      </c>
      <c r="C681">
        <v>55000</v>
      </c>
      <c r="D681" t="s">
        <v>18</v>
      </c>
      <c r="E681" t="s">
        <v>19</v>
      </c>
      <c r="F681" t="s">
        <v>43</v>
      </c>
      <c r="G681" t="s">
        <v>40</v>
      </c>
      <c r="H681" t="s">
        <v>14</v>
      </c>
      <c r="J681" t="s">
        <v>16</v>
      </c>
    </row>
    <row r="682" spans="1:10" x14ac:dyDescent="0.3">
      <c r="A682" t="s">
        <v>47</v>
      </c>
      <c r="B682">
        <v>40</v>
      </c>
      <c r="C682" t="s">
        <v>34</v>
      </c>
      <c r="D682" t="s">
        <v>36</v>
      </c>
      <c r="E682" t="s">
        <v>37</v>
      </c>
      <c r="F682" t="s">
        <v>39</v>
      </c>
      <c r="G682" s="1">
        <v>43195</v>
      </c>
      <c r="H682" t="s">
        <v>27</v>
      </c>
      <c r="J682" t="s">
        <v>23</v>
      </c>
    </row>
    <row r="683" spans="1:10" x14ac:dyDescent="0.3">
      <c r="A683" t="s">
        <v>24</v>
      </c>
      <c r="B683">
        <v>35</v>
      </c>
      <c r="C683">
        <v>65000</v>
      </c>
      <c r="D683" t="s">
        <v>36</v>
      </c>
      <c r="E683" t="s">
        <v>19</v>
      </c>
      <c r="F683" t="s">
        <v>39</v>
      </c>
      <c r="G683" s="1">
        <v>43195</v>
      </c>
      <c r="H683" t="s">
        <v>31</v>
      </c>
      <c r="I683" t="s">
        <v>16</v>
      </c>
      <c r="J683" t="s">
        <v>45</v>
      </c>
    </row>
    <row r="684" spans="1:10" x14ac:dyDescent="0.3">
      <c r="A684" t="s">
        <v>10</v>
      </c>
      <c r="B684">
        <v>50</v>
      </c>
      <c r="C684">
        <v>50000</v>
      </c>
      <c r="D684" t="s">
        <v>36</v>
      </c>
      <c r="E684" t="s">
        <v>37</v>
      </c>
      <c r="F684" t="s">
        <v>13</v>
      </c>
      <c r="G684" s="2">
        <v>43845</v>
      </c>
      <c r="H684" t="s">
        <v>31</v>
      </c>
      <c r="I684" t="s">
        <v>15</v>
      </c>
      <c r="J684" t="s">
        <v>33</v>
      </c>
    </row>
    <row r="685" spans="1:10" x14ac:dyDescent="0.3">
      <c r="A685" t="s">
        <v>35</v>
      </c>
      <c r="B685" t="s">
        <v>42</v>
      </c>
      <c r="C685" t="s">
        <v>34</v>
      </c>
      <c r="D685" t="s">
        <v>18</v>
      </c>
      <c r="E685" t="s">
        <v>37</v>
      </c>
      <c r="F685" t="s">
        <v>20</v>
      </c>
      <c r="G685" s="2">
        <v>43549</v>
      </c>
      <c r="H685" t="s">
        <v>21</v>
      </c>
      <c r="I685" t="s">
        <v>15</v>
      </c>
      <c r="J685" t="s">
        <v>45</v>
      </c>
    </row>
    <row r="686" spans="1:10" x14ac:dyDescent="0.3">
      <c r="A686" t="s">
        <v>35</v>
      </c>
      <c r="B686" t="s">
        <v>16</v>
      </c>
      <c r="C686" t="s">
        <v>34</v>
      </c>
      <c r="D686" t="s">
        <v>18</v>
      </c>
      <c r="E686" t="s">
        <v>19</v>
      </c>
      <c r="F686" t="s">
        <v>39</v>
      </c>
      <c r="G686" s="2">
        <v>43881</v>
      </c>
      <c r="H686" t="s">
        <v>41</v>
      </c>
      <c r="I686" t="s">
        <v>15</v>
      </c>
      <c r="J686" t="s">
        <v>33</v>
      </c>
    </row>
    <row r="687" spans="1:10" x14ac:dyDescent="0.3">
      <c r="A687" t="s">
        <v>47</v>
      </c>
      <c r="B687">
        <v>35</v>
      </c>
      <c r="C687">
        <v>50000</v>
      </c>
      <c r="D687" t="s">
        <v>36</v>
      </c>
      <c r="E687" t="s">
        <v>30</v>
      </c>
      <c r="F687" t="s">
        <v>13</v>
      </c>
      <c r="G687" s="2">
        <v>43881</v>
      </c>
      <c r="H687" t="s">
        <v>14</v>
      </c>
      <c r="I687" t="s">
        <v>15</v>
      </c>
      <c r="J687" t="s">
        <v>33</v>
      </c>
    </row>
    <row r="688" spans="1:10" x14ac:dyDescent="0.3">
      <c r="A688" t="s">
        <v>46</v>
      </c>
      <c r="B688">
        <v>40</v>
      </c>
      <c r="C688">
        <v>55000</v>
      </c>
      <c r="D688" t="s">
        <v>36</v>
      </c>
      <c r="E688" t="s">
        <v>19</v>
      </c>
      <c r="F688" t="s">
        <v>43</v>
      </c>
      <c r="G688" s="2">
        <v>43845</v>
      </c>
      <c r="H688" t="s">
        <v>27</v>
      </c>
      <c r="I688" t="s">
        <v>32</v>
      </c>
      <c r="J688" t="s">
        <v>33</v>
      </c>
    </row>
    <row r="689" spans="1:10" x14ac:dyDescent="0.3">
      <c r="A689" t="s">
        <v>46</v>
      </c>
      <c r="B689" t="s">
        <v>16</v>
      </c>
      <c r="C689">
        <v>70000</v>
      </c>
      <c r="D689" t="s">
        <v>18</v>
      </c>
      <c r="E689" t="s">
        <v>19</v>
      </c>
      <c r="F689" t="s">
        <v>39</v>
      </c>
      <c r="G689" s="2">
        <v>43881</v>
      </c>
      <c r="H689" t="s">
        <v>31</v>
      </c>
      <c r="I689" t="s">
        <v>22</v>
      </c>
      <c r="J689" t="s">
        <v>28</v>
      </c>
    </row>
    <row r="690" spans="1:10" x14ac:dyDescent="0.3">
      <c r="A690" t="s">
        <v>38</v>
      </c>
      <c r="B690">
        <v>40</v>
      </c>
      <c r="C690">
        <v>50000</v>
      </c>
      <c r="D690" t="s">
        <v>11</v>
      </c>
      <c r="E690" t="s">
        <v>19</v>
      </c>
      <c r="F690" t="s">
        <v>20</v>
      </c>
      <c r="G690" s="2">
        <v>43845</v>
      </c>
      <c r="H690" t="s">
        <v>27</v>
      </c>
      <c r="I690" t="s">
        <v>22</v>
      </c>
      <c r="J690" t="s">
        <v>16</v>
      </c>
    </row>
    <row r="691" spans="1:10" x14ac:dyDescent="0.3">
      <c r="A691" t="s">
        <v>47</v>
      </c>
      <c r="B691" t="s">
        <v>16</v>
      </c>
      <c r="C691">
        <v>65000</v>
      </c>
      <c r="D691" t="s">
        <v>36</v>
      </c>
      <c r="E691" t="s">
        <v>30</v>
      </c>
      <c r="F691" t="s">
        <v>39</v>
      </c>
      <c r="G691" t="s">
        <v>40</v>
      </c>
      <c r="H691" t="s">
        <v>41</v>
      </c>
      <c r="I691" t="s">
        <v>16</v>
      </c>
      <c r="J691" t="s">
        <v>45</v>
      </c>
    </row>
    <row r="692" spans="1:10" x14ac:dyDescent="0.3">
      <c r="A692" t="s">
        <v>48</v>
      </c>
      <c r="B692" t="s">
        <v>42</v>
      </c>
      <c r="C692" t="s">
        <v>25</v>
      </c>
      <c r="D692" t="s">
        <v>11</v>
      </c>
      <c r="E692" t="s">
        <v>12</v>
      </c>
      <c r="F692" t="s">
        <v>43</v>
      </c>
      <c r="G692" s="1">
        <v>43195</v>
      </c>
      <c r="H692" t="s">
        <v>41</v>
      </c>
      <c r="I692" t="s">
        <v>32</v>
      </c>
      <c r="J692" t="s">
        <v>16</v>
      </c>
    </row>
    <row r="693" spans="1:10" x14ac:dyDescent="0.3">
      <c r="A693" t="s">
        <v>46</v>
      </c>
      <c r="B693">
        <v>35</v>
      </c>
      <c r="C693" t="s">
        <v>25</v>
      </c>
      <c r="D693" t="s">
        <v>36</v>
      </c>
      <c r="E693" t="s">
        <v>12</v>
      </c>
      <c r="F693" t="s">
        <v>39</v>
      </c>
      <c r="G693" s="2">
        <v>43549</v>
      </c>
      <c r="H693" t="s">
        <v>27</v>
      </c>
      <c r="I693" t="s">
        <v>15</v>
      </c>
      <c r="J693" t="s">
        <v>23</v>
      </c>
    </row>
    <row r="694" spans="1:10" x14ac:dyDescent="0.3">
      <c r="A694" t="s">
        <v>29</v>
      </c>
      <c r="B694" t="s">
        <v>16</v>
      </c>
      <c r="C694" t="s">
        <v>34</v>
      </c>
      <c r="D694" t="s">
        <v>11</v>
      </c>
      <c r="E694" t="s">
        <v>37</v>
      </c>
      <c r="F694" t="s">
        <v>20</v>
      </c>
      <c r="G694" s="1">
        <v>43195</v>
      </c>
      <c r="H694" t="s">
        <v>14</v>
      </c>
      <c r="I694" t="s">
        <v>15</v>
      </c>
      <c r="J694" t="s">
        <v>45</v>
      </c>
    </row>
    <row r="695" spans="1:10" x14ac:dyDescent="0.3">
      <c r="A695" t="s">
        <v>49</v>
      </c>
      <c r="B695">
        <v>50</v>
      </c>
      <c r="C695" t="s">
        <v>25</v>
      </c>
      <c r="D695" t="s">
        <v>11</v>
      </c>
      <c r="E695" t="s">
        <v>37</v>
      </c>
      <c r="F695" t="s">
        <v>13</v>
      </c>
      <c r="G695" s="1">
        <v>43195</v>
      </c>
      <c r="H695" t="s">
        <v>41</v>
      </c>
      <c r="J695" t="s">
        <v>16</v>
      </c>
    </row>
    <row r="696" spans="1:10" x14ac:dyDescent="0.3">
      <c r="A696" t="s">
        <v>48</v>
      </c>
      <c r="B696">
        <v>25</v>
      </c>
      <c r="C696">
        <v>70000</v>
      </c>
      <c r="D696" t="s">
        <v>11</v>
      </c>
      <c r="E696" t="s">
        <v>30</v>
      </c>
      <c r="F696" t="s">
        <v>20</v>
      </c>
      <c r="G696" t="s">
        <v>40</v>
      </c>
      <c r="H696" t="s">
        <v>27</v>
      </c>
      <c r="J696" t="s">
        <v>16</v>
      </c>
    </row>
    <row r="697" spans="1:10" x14ac:dyDescent="0.3">
      <c r="A697" t="s">
        <v>10</v>
      </c>
      <c r="B697">
        <v>50</v>
      </c>
      <c r="C697">
        <v>55000</v>
      </c>
      <c r="D697" t="s">
        <v>18</v>
      </c>
      <c r="E697" t="s">
        <v>26</v>
      </c>
      <c r="F697" t="s">
        <v>13</v>
      </c>
      <c r="G697" s="2">
        <v>43881</v>
      </c>
      <c r="H697" t="s">
        <v>31</v>
      </c>
      <c r="I697" t="s">
        <v>16</v>
      </c>
      <c r="J697" t="s">
        <v>23</v>
      </c>
    </row>
    <row r="698" spans="1:10" x14ac:dyDescent="0.3">
      <c r="A698" t="s">
        <v>29</v>
      </c>
      <c r="B698">
        <v>50</v>
      </c>
      <c r="C698">
        <v>65000</v>
      </c>
      <c r="D698" t="s">
        <v>11</v>
      </c>
      <c r="E698" t="s">
        <v>12</v>
      </c>
      <c r="F698" t="s">
        <v>44</v>
      </c>
      <c r="G698" s="2">
        <v>43549</v>
      </c>
      <c r="H698" t="s">
        <v>27</v>
      </c>
      <c r="I698" t="s">
        <v>15</v>
      </c>
      <c r="J698" t="s">
        <v>33</v>
      </c>
    </row>
    <row r="699" spans="1:10" x14ac:dyDescent="0.3">
      <c r="A699" t="s">
        <v>29</v>
      </c>
      <c r="B699">
        <v>25</v>
      </c>
      <c r="C699">
        <v>70000</v>
      </c>
      <c r="D699" t="s">
        <v>11</v>
      </c>
      <c r="E699" t="s">
        <v>37</v>
      </c>
      <c r="F699" t="s">
        <v>20</v>
      </c>
      <c r="G699" s="2">
        <v>43881</v>
      </c>
      <c r="H699" t="s">
        <v>27</v>
      </c>
      <c r="I699" t="s">
        <v>16</v>
      </c>
      <c r="J699" t="s">
        <v>45</v>
      </c>
    </row>
    <row r="700" spans="1:10" x14ac:dyDescent="0.3">
      <c r="A700" t="s">
        <v>47</v>
      </c>
      <c r="B700">
        <v>50</v>
      </c>
      <c r="C700">
        <v>65000</v>
      </c>
      <c r="D700" t="s">
        <v>11</v>
      </c>
      <c r="E700" t="s">
        <v>12</v>
      </c>
      <c r="F700" t="s">
        <v>20</v>
      </c>
      <c r="G700" s="1">
        <v>43195</v>
      </c>
      <c r="H700" t="s">
        <v>21</v>
      </c>
      <c r="I700" t="s">
        <v>32</v>
      </c>
      <c r="J700" t="s">
        <v>45</v>
      </c>
    </row>
    <row r="701" spans="1:10" x14ac:dyDescent="0.3">
      <c r="A701" t="s">
        <v>38</v>
      </c>
      <c r="B701" t="s">
        <v>16</v>
      </c>
      <c r="C701">
        <v>65000</v>
      </c>
      <c r="D701" t="s">
        <v>36</v>
      </c>
      <c r="E701" t="s">
        <v>30</v>
      </c>
      <c r="F701" t="s">
        <v>43</v>
      </c>
      <c r="G701" s="2">
        <v>43845</v>
      </c>
      <c r="H701" t="s">
        <v>41</v>
      </c>
      <c r="I701" t="s">
        <v>22</v>
      </c>
      <c r="J701" t="s">
        <v>23</v>
      </c>
    </row>
    <row r="702" spans="1:10" x14ac:dyDescent="0.3">
      <c r="A702" t="s">
        <v>10</v>
      </c>
      <c r="B702" t="s">
        <v>16</v>
      </c>
      <c r="C702">
        <v>55000</v>
      </c>
      <c r="D702" t="s">
        <v>11</v>
      </c>
      <c r="E702" t="s">
        <v>30</v>
      </c>
      <c r="F702" t="s">
        <v>39</v>
      </c>
      <c r="G702" s="1">
        <v>43195</v>
      </c>
      <c r="H702" t="s">
        <v>14</v>
      </c>
      <c r="I702" t="s">
        <v>15</v>
      </c>
      <c r="J702" t="s">
        <v>33</v>
      </c>
    </row>
    <row r="703" spans="1:10" x14ac:dyDescent="0.3">
      <c r="A703" t="s">
        <v>46</v>
      </c>
      <c r="B703" t="s">
        <v>16</v>
      </c>
      <c r="C703" t="s">
        <v>34</v>
      </c>
      <c r="D703" t="s">
        <v>36</v>
      </c>
      <c r="E703" t="s">
        <v>26</v>
      </c>
      <c r="F703" t="s">
        <v>13</v>
      </c>
      <c r="G703" s="2">
        <v>43881</v>
      </c>
      <c r="H703" t="s">
        <v>14</v>
      </c>
      <c r="I703" t="s">
        <v>32</v>
      </c>
      <c r="J703" t="s">
        <v>45</v>
      </c>
    </row>
    <row r="704" spans="1:10" x14ac:dyDescent="0.3">
      <c r="A704" t="s">
        <v>47</v>
      </c>
      <c r="B704">
        <v>25</v>
      </c>
      <c r="C704" t="s">
        <v>25</v>
      </c>
      <c r="D704" t="s">
        <v>11</v>
      </c>
      <c r="E704" t="s">
        <v>26</v>
      </c>
      <c r="F704" t="s">
        <v>13</v>
      </c>
      <c r="G704" s="1">
        <v>43195</v>
      </c>
      <c r="H704" t="s">
        <v>21</v>
      </c>
      <c r="I704" t="s">
        <v>15</v>
      </c>
      <c r="J704" t="s">
        <v>45</v>
      </c>
    </row>
    <row r="705" spans="1:10" x14ac:dyDescent="0.3">
      <c r="A705" t="s">
        <v>46</v>
      </c>
      <c r="B705">
        <v>50</v>
      </c>
      <c r="C705">
        <v>55000</v>
      </c>
      <c r="D705" t="s">
        <v>11</v>
      </c>
      <c r="E705" t="s">
        <v>30</v>
      </c>
      <c r="F705" t="s">
        <v>43</v>
      </c>
      <c r="G705" s="2">
        <v>43845</v>
      </c>
      <c r="H705" t="s">
        <v>14</v>
      </c>
      <c r="J705" t="s">
        <v>45</v>
      </c>
    </row>
    <row r="706" spans="1:10" x14ac:dyDescent="0.3">
      <c r="A706" t="s">
        <v>47</v>
      </c>
      <c r="B706">
        <v>25</v>
      </c>
      <c r="C706">
        <v>70000</v>
      </c>
      <c r="D706" t="s">
        <v>18</v>
      </c>
      <c r="E706" t="s">
        <v>37</v>
      </c>
      <c r="F706" t="s">
        <v>43</v>
      </c>
      <c r="G706" t="s">
        <v>40</v>
      </c>
      <c r="H706" t="s">
        <v>27</v>
      </c>
      <c r="I706" t="s">
        <v>16</v>
      </c>
      <c r="J706" t="s">
        <v>33</v>
      </c>
    </row>
    <row r="707" spans="1:10" x14ac:dyDescent="0.3">
      <c r="A707" t="s">
        <v>47</v>
      </c>
      <c r="B707" t="s">
        <v>16</v>
      </c>
      <c r="C707" t="s">
        <v>34</v>
      </c>
      <c r="D707" t="s">
        <v>36</v>
      </c>
      <c r="E707" t="s">
        <v>12</v>
      </c>
      <c r="F707" t="s">
        <v>39</v>
      </c>
      <c r="G707" s="2">
        <v>43881</v>
      </c>
      <c r="H707" t="s">
        <v>21</v>
      </c>
      <c r="J707" t="s">
        <v>23</v>
      </c>
    </row>
    <row r="708" spans="1:10" x14ac:dyDescent="0.3">
      <c r="A708" t="s">
        <v>47</v>
      </c>
      <c r="B708">
        <v>50</v>
      </c>
      <c r="C708">
        <v>70000</v>
      </c>
      <c r="D708" t="s">
        <v>11</v>
      </c>
      <c r="E708" t="s">
        <v>19</v>
      </c>
      <c r="F708" t="s">
        <v>39</v>
      </c>
      <c r="G708" s="1">
        <v>43195</v>
      </c>
      <c r="H708" t="s">
        <v>31</v>
      </c>
      <c r="I708" t="s">
        <v>22</v>
      </c>
      <c r="J708" t="s">
        <v>45</v>
      </c>
    </row>
    <row r="709" spans="1:10" x14ac:dyDescent="0.3">
      <c r="A709" t="s">
        <v>38</v>
      </c>
      <c r="B709">
        <v>50</v>
      </c>
      <c r="C709" t="s">
        <v>34</v>
      </c>
      <c r="D709" t="s">
        <v>36</v>
      </c>
      <c r="E709" t="s">
        <v>26</v>
      </c>
      <c r="F709" t="s">
        <v>20</v>
      </c>
      <c r="G709" s="2">
        <v>43881</v>
      </c>
      <c r="H709" t="s">
        <v>41</v>
      </c>
      <c r="J709" t="s">
        <v>16</v>
      </c>
    </row>
    <row r="710" spans="1:10" x14ac:dyDescent="0.3">
      <c r="A710" t="s">
        <v>47</v>
      </c>
      <c r="B710">
        <v>40</v>
      </c>
      <c r="C710">
        <v>70000</v>
      </c>
      <c r="D710" t="s">
        <v>36</v>
      </c>
      <c r="E710" t="s">
        <v>19</v>
      </c>
      <c r="F710" t="s">
        <v>44</v>
      </c>
      <c r="G710" t="s">
        <v>40</v>
      </c>
      <c r="H710" t="s">
        <v>41</v>
      </c>
      <c r="I710" t="s">
        <v>15</v>
      </c>
      <c r="J710" t="s">
        <v>33</v>
      </c>
    </row>
    <row r="711" spans="1:10" x14ac:dyDescent="0.3">
      <c r="A711" t="s">
        <v>17</v>
      </c>
      <c r="B711">
        <v>40</v>
      </c>
      <c r="C711">
        <v>55000</v>
      </c>
      <c r="D711" t="s">
        <v>18</v>
      </c>
      <c r="E711" t="s">
        <v>37</v>
      </c>
      <c r="F711" t="s">
        <v>39</v>
      </c>
      <c r="G711" s="1">
        <v>43195</v>
      </c>
      <c r="H711" t="s">
        <v>41</v>
      </c>
      <c r="J711" t="s">
        <v>28</v>
      </c>
    </row>
    <row r="712" spans="1:10" x14ac:dyDescent="0.3">
      <c r="A712" t="s">
        <v>49</v>
      </c>
      <c r="B712" t="s">
        <v>42</v>
      </c>
      <c r="C712" t="s">
        <v>34</v>
      </c>
      <c r="D712" t="s">
        <v>18</v>
      </c>
      <c r="E712" t="s">
        <v>26</v>
      </c>
      <c r="F712" t="s">
        <v>43</v>
      </c>
      <c r="G712" s="1">
        <v>43195</v>
      </c>
      <c r="H712" t="s">
        <v>27</v>
      </c>
      <c r="I712" t="s">
        <v>15</v>
      </c>
      <c r="J712" t="s">
        <v>23</v>
      </c>
    </row>
    <row r="713" spans="1:10" x14ac:dyDescent="0.3">
      <c r="A713" t="s">
        <v>46</v>
      </c>
      <c r="B713">
        <v>35</v>
      </c>
      <c r="C713" t="s">
        <v>34</v>
      </c>
      <c r="D713" t="s">
        <v>18</v>
      </c>
      <c r="E713" t="s">
        <v>19</v>
      </c>
      <c r="F713" t="s">
        <v>39</v>
      </c>
      <c r="G713" s="2">
        <v>43881</v>
      </c>
      <c r="H713" t="s">
        <v>31</v>
      </c>
      <c r="I713" t="s">
        <v>22</v>
      </c>
      <c r="J713" t="s">
        <v>16</v>
      </c>
    </row>
    <row r="714" spans="1:10" x14ac:dyDescent="0.3">
      <c r="A714" t="s">
        <v>48</v>
      </c>
      <c r="B714">
        <v>40</v>
      </c>
      <c r="C714">
        <v>65000</v>
      </c>
      <c r="D714" t="s">
        <v>18</v>
      </c>
      <c r="E714" t="s">
        <v>37</v>
      </c>
      <c r="F714" t="s">
        <v>13</v>
      </c>
      <c r="G714" s="2">
        <v>43881</v>
      </c>
      <c r="H714" t="s">
        <v>21</v>
      </c>
      <c r="J714" t="s">
        <v>45</v>
      </c>
    </row>
    <row r="715" spans="1:10" x14ac:dyDescent="0.3">
      <c r="A715" t="s">
        <v>24</v>
      </c>
      <c r="B715">
        <v>25</v>
      </c>
      <c r="C715">
        <v>65000</v>
      </c>
      <c r="D715" t="s">
        <v>18</v>
      </c>
      <c r="E715" t="s">
        <v>12</v>
      </c>
      <c r="F715" t="s">
        <v>44</v>
      </c>
      <c r="G715" s="2">
        <v>43845</v>
      </c>
      <c r="H715" t="s">
        <v>21</v>
      </c>
      <c r="I715" t="s">
        <v>16</v>
      </c>
      <c r="J715" t="s">
        <v>28</v>
      </c>
    </row>
    <row r="716" spans="1:10" x14ac:dyDescent="0.3">
      <c r="A716" t="s">
        <v>10</v>
      </c>
      <c r="B716">
        <v>40</v>
      </c>
      <c r="C716">
        <v>50000</v>
      </c>
      <c r="D716" t="s">
        <v>18</v>
      </c>
      <c r="E716" t="s">
        <v>37</v>
      </c>
      <c r="F716" t="s">
        <v>20</v>
      </c>
      <c r="G716" t="s">
        <v>40</v>
      </c>
      <c r="H716" t="s">
        <v>41</v>
      </c>
      <c r="I716" t="s">
        <v>16</v>
      </c>
      <c r="J716" t="s">
        <v>23</v>
      </c>
    </row>
    <row r="717" spans="1:10" x14ac:dyDescent="0.3">
      <c r="A717" t="s">
        <v>35</v>
      </c>
      <c r="B717" t="s">
        <v>42</v>
      </c>
      <c r="C717">
        <v>70000</v>
      </c>
      <c r="D717" t="s">
        <v>18</v>
      </c>
      <c r="E717" t="s">
        <v>26</v>
      </c>
      <c r="F717" t="s">
        <v>13</v>
      </c>
      <c r="G717" s="2">
        <v>43845</v>
      </c>
      <c r="H717" t="s">
        <v>31</v>
      </c>
      <c r="I717" t="s">
        <v>16</v>
      </c>
      <c r="J717" t="s">
        <v>33</v>
      </c>
    </row>
    <row r="718" spans="1:10" x14ac:dyDescent="0.3">
      <c r="A718" t="s">
        <v>38</v>
      </c>
      <c r="B718">
        <v>50</v>
      </c>
      <c r="C718">
        <v>65000</v>
      </c>
      <c r="D718" t="s">
        <v>18</v>
      </c>
      <c r="E718" t="s">
        <v>30</v>
      </c>
      <c r="F718" t="s">
        <v>13</v>
      </c>
      <c r="G718" s="1">
        <v>43195</v>
      </c>
      <c r="H718" t="s">
        <v>31</v>
      </c>
      <c r="J718" t="s">
        <v>28</v>
      </c>
    </row>
    <row r="719" spans="1:10" x14ac:dyDescent="0.3">
      <c r="A719" t="s">
        <v>48</v>
      </c>
      <c r="B719" t="s">
        <v>42</v>
      </c>
      <c r="C719">
        <v>50000</v>
      </c>
      <c r="D719" t="s">
        <v>11</v>
      </c>
      <c r="E719" t="s">
        <v>12</v>
      </c>
      <c r="F719" t="s">
        <v>44</v>
      </c>
      <c r="G719" s="2">
        <v>43881</v>
      </c>
      <c r="H719" t="s">
        <v>31</v>
      </c>
      <c r="J719" t="s">
        <v>28</v>
      </c>
    </row>
    <row r="720" spans="1:10" x14ac:dyDescent="0.3">
      <c r="A720" t="s">
        <v>29</v>
      </c>
      <c r="B720">
        <v>50</v>
      </c>
      <c r="C720">
        <v>65000</v>
      </c>
      <c r="D720" t="s">
        <v>36</v>
      </c>
      <c r="E720" t="s">
        <v>19</v>
      </c>
      <c r="F720" t="s">
        <v>20</v>
      </c>
      <c r="G720" s="1">
        <v>43195</v>
      </c>
      <c r="H720" t="s">
        <v>14</v>
      </c>
      <c r="J720" t="s">
        <v>16</v>
      </c>
    </row>
    <row r="721" spans="1:10" x14ac:dyDescent="0.3">
      <c r="A721" t="s">
        <v>17</v>
      </c>
      <c r="B721">
        <v>50</v>
      </c>
      <c r="C721">
        <v>70000</v>
      </c>
      <c r="D721" t="s">
        <v>18</v>
      </c>
      <c r="E721" t="s">
        <v>26</v>
      </c>
      <c r="F721" t="s">
        <v>43</v>
      </c>
      <c r="G721" s="1">
        <v>43195</v>
      </c>
      <c r="H721" t="s">
        <v>14</v>
      </c>
      <c r="I721" t="s">
        <v>15</v>
      </c>
      <c r="J721" t="s">
        <v>23</v>
      </c>
    </row>
    <row r="722" spans="1:10" x14ac:dyDescent="0.3">
      <c r="A722" t="s">
        <v>35</v>
      </c>
      <c r="B722">
        <v>35</v>
      </c>
      <c r="C722" t="s">
        <v>34</v>
      </c>
      <c r="D722" t="s">
        <v>18</v>
      </c>
      <c r="E722" t="s">
        <v>30</v>
      </c>
      <c r="F722" t="s">
        <v>20</v>
      </c>
      <c r="G722" s="2">
        <v>43549</v>
      </c>
      <c r="H722" t="s">
        <v>41</v>
      </c>
      <c r="I722" t="s">
        <v>22</v>
      </c>
      <c r="J722" t="s">
        <v>16</v>
      </c>
    </row>
    <row r="723" spans="1:10" x14ac:dyDescent="0.3">
      <c r="A723" t="s">
        <v>24</v>
      </c>
      <c r="B723">
        <v>40</v>
      </c>
      <c r="C723" t="s">
        <v>25</v>
      </c>
      <c r="D723" t="s">
        <v>36</v>
      </c>
      <c r="E723" t="s">
        <v>37</v>
      </c>
      <c r="F723" t="s">
        <v>39</v>
      </c>
      <c r="G723" s="2">
        <v>43549</v>
      </c>
      <c r="H723" t="s">
        <v>31</v>
      </c>
      <c r="I723" t="s">
        <v>16</v>
      </c>
      <c r="J723" t="s">
        <v>16</v>
      </c>
    </row>
    <row r="724" spans="1:10" x14ac:dyDescent="0.3">
      <c r="A724" t="s">
        <v>48</v>
      </c>
      <c r="B724">
        <v>25</v>
      </c>
      <c r="C724">
        <v>70000</v>
      </c>
      <c r="D724" t="s">
        <v>11</v>
      </c>
      <c r="E724" t="s">
        <v>30</v>
      </c>
      <c r="F724" t="s">
        <v>13</v>
      </c>
      <c r="G724" s="1">
        <v>43195</v>
      </c>
      <c r="H724" t="s">
        <v>31</v>
      </c>
      <c r="I724" t="s">
        <v>15</v>
      </c>
      <c r="J724" t="s">
        <v>45</v>
      </c>
    </row>
    <row r="725" spans="1:10" x14ac:dyDescent="0.3">
      <c r="A725" t="s">
        <v>35</v>
      </c>
      <c r="B725">
        <v>25</v>
      </c>
      <c r="C725">
        <v>55000</v>
      </c>
      <c r="D725" t="s">
        <v>36</v>
      </c>
      <c r="E725" t="s">
        <v>26</v>
      </c>
      <c r="F725" t="s">
        <v>39</v>
      </c>
      <c r="G725" s="2">
        <v>43881</v>
      </c>
      <c r="H725" t="s">
        <v>21</v>
      </c>
      <c r="I725" t="s">
        <v>16</v>
      </c>
      <c r="J725" t="s">
        <v>33</v>
      </c>
    </row>
    <row r="726" spans="1:10" x14ac:dyDescent="0.3">
      <c r="A726" t="s">
        <v>48</v>
      </c>
      <c r="B726" t="s">
        <v>16</v>
      </c>
      <c r="C726">
        <v>65000</v>
      </c>
      <c r="D726" t="s">
        <v>36</v>
      </c>
      <c r="E726" t="s">
        <v>26</v>
      </c>
      <c r="F726" t="s">
        <v>43</v>
      </c>
      <c r="G726" s="1">
        <v>43195</v>
      </c>
      <c r="H726" t="s">
        <v>21</v>
      </c>
      <c r="I726" t="s">
        <v>15</v>
      </c>
      <c r="J726" t="s">
        <v>28</v>
      </c>
    </row>
    <row r="727" spans="1:10" x14ac:dyDescent="0.3">
      <c r="A727" t="s">
        <v>17</v>
      </c>
      <c r="B727">
        <v>50</v>
      </c>
      <c r="C727">
        <v>65000</v>
      </c>
      <c r="D727" t="s">
        <v>18</v>
      </c>
      <c r="E727" t="s">
        <v>30</v>
      </c>
      <c r="F727" t="s">
        <v>39</v>
      </c>
      <c r="G727" s="2">
        <v>43549</v>
      </c>
      <c r="H727" t="s">
        <v>41</v>
      </c>
      <c r="J727" t="s">
        <v>23</v>
      </c>
    </row>
    <row r="728" spans="1:10" x14ac:dyDescent="0.3">
      <c r="A728" t="s">
        <v>24</v>
      </c>
      <c r="B728">
        <v>25</v>
      </c>
      <c r="C728" t="s">
        <v>34</v>
      </c>
      <c r="D728" t="s">
        <v>36</v>
      </c>
      <c r="E728" t="s">
        <v>37</v>
      </c>
      <c r="F728" t="s">
        <v>20</v>
      </c>
      <c r="G728" s="2">
        <v>43881</v>
      </c>
      <c r="H728" t="s">
        <v>31</v>
      </c>
      <c r="I728" t="s">
        <v>16</v>
      </c>
      <c r="J728" t="s">
        <v>33</v>
      </c>
    </row>
    <row r="729" spans="1:10" x14ac:dyDescent="0.3">
      <c r="A729" t="s">
        <v>29</v>
      </c>
      <c r="B729">
        <v>35</v>
      </c>
      <c r="C729">
        <v>55000</v>
      </c>
      <c r="D729" t="s">
        <v>36</v>
      </c>
      <c r="E729" t="s">
        <v>30</v>
      </c>
      <c r="F729" t="s">
        <v>39</v>
      </c>
      <c r="G729" s="1">
        <v>43195</v>
      </c>
      <c r="H729" t="s">
        <v>41</v>
      </c>
      <c r="J729" t="s">
        <v>33</v>
      </c>
    </row>
    <row r="730" spans="1:10" x14ac:dyDescent="0.3">
      <c r="A730" t="s">
        <v>47</v>
      </c>
      <c r="B730">
        <v>50</v>
      </c>
      <c r="C730" t="s">
        <v>34</v>
      </c>
      <c r="D730" t="s">
        <v>18</v>
      </c>
      <c r="E730" t="s">
        <v>26</v>
      </c>
      <c r="F730" t="s">
        <v>43</v>
      </c>
      <c r="G730" t="s">
        <v>40</v>
      </c>
      <c r="H730" t="s">
        <v>21</v>
      </c>
      <c r="I730" t="s">
        <v>16</v>
      </c>
      <c r="J730" t="s">
        <v>23</v>
      </c>
    </row>
    <row r="731" spans="1:10" x14ac:dyDescent="0.3">
      <c r="A731" t="s">
        <v>46</v>
      </c>
      <c r="B731">
        <v>35</v>
      </c>
      <c r="C731">
        <v>55000</v>
      </c>
      <c r="D731" t="s">
        <v>18</v>
      </c>
      <c r="E731" t="s">
        <v>26</v>
      </c>
      <c r="F731" t="s">
        <v>43</v>
      </c>
      <c r="G731" t="s">
        <v>40</v>
      </c>
      <c r="H731" t="s">
        <v>21</v>
      </c>
      <c r="I731" t="s">
        <v>32</v>
      </c>
      <c r="J731" t="s">
        <v>33</v>
      </c>
    </row>
    <row r="732" spans="1:10" x14ac:dyDescent="0.3">
      <c r="A732" t="s">
        <v>29</v>
      </c>
      <c r="B732">
        <v>25</v>
      </c>
      <c r="C732" t="s">
        <v>25</v>
      </c>
      <c r="D732" t="s">
        <v>18</v>
      </c>
      <c r="E732" t="s">
        <v>19</v>
      </c>
      <c r="F732" t="s">
        <v>43</v>
      </c>
      <c r="G732" s="1">
        <v>43195</v>
      </c>
      <c r="H732" t="s">
        <v>14</v>
      </c>
      <c r="I732" t="s">
        <v>15</v>
      </c>
      <c r="J732" t="s">
        <v>45</v>
      </c>
    </row>
    <row r="733" spans="1:10" x14ac:dyDescent="0.3">
      <c r="A733" t="s">
        <v>47</v>
      </c>
      <c r="B733">
        <v>25</v>
      </c>
      <c r="C733">
        <v>65000</v>
      </c>
      <c r="D733" t="s">
        <v>18</v>
      </c>
      <c r="E733" t="s">
        <v>19</v>
      </c>
      <c r="F733" t="s">
        <v>20</v>
      </c>
      <c r="G733" s="2">
        <v>43881</v>
      </c>
      <c r="H733" t="s">
        <v>41</v>
      </c>
      <c r="I733" t="s">
        <v>32</v>
      </c>
      <c r="J733" t="s">
        <v>33</v>
      </c>
    </row>
    <row r="734" spans="1:10" x14ac:dyDescent="0.3">
      <c r="A734" t="s">
        <v>38</v>
      </c>
      <c r="B734" t="s">
        <v>16</v>
      </c>
      <c r="C734">
        <v>65000</v>
      </c>
      <c r="D734" t="s">
        <v>36</v>
      </c>
      <c r="E734" t="s">
        <v>12</v>
      </c>
      <c r="F734" t="s">
        <v>43</v>
      </c>
      <c r="G734" s="1">
        <v>43195</v>
      </c>
      <c r="H734" t="s">
        <v>41</v>
      </c>
      <c r="I734" t="s">
        <v>15</v>
      </c>
      <c r="J734" t="s">
        <v>45</v>
      </c>
    </row>
    <row r="735" spans="1:10" x14ac:dyDescent="0.3">
      <c r="A735" t="s">
        <v>49</v>
      </c>
      <c r="B735">
        <v>25</v>
      </c>
      <c r="C735" t="s">
        <v>25</v>
      </c>
      <c r="D735" t="s">
        <v>36</v>
      </c>
      <c r="E735" t="s">
        <v>26</v>
      </c>
      <c r="F735" t="s">
        <v>13</v>
      </c>
      <c r="G735" s="1">
        <v>43195</v>
      </c>
      <c r="H735" t="s">
        <v>31</v>
      </c>
      <c r="I735" t="s">
        <v>22</v>
      </c>
      <c r="J735" t="s">
        <v>28</v>
      </c>
    </row>
    <row r="736" spans="1:10" x14ac:dyDescent="0.3">
      <c r="A736" t="s">
        <v>10</v>
      </c>
      <c r="B736">
        <v>50</v>
      </c>
      <c r="C736">
        <v>50000</v>
      </c>
      <c r="D736" t="s">
        <v>11</v>
      </c>
      <c r="E736" t="s">
        <v>19</v>
      </c>
      <c r="F736" t="s">
        <v>43</v>
      </c>
      <c r="G736" s="2">
        <v>43549</v>
      </c>
      <c r="H736" t="s">
        <v>31</v>
      </c>
      <c r="I736" t="s">
        <v>16</v>
      </c>
      <c r="J736" t="s">
        <v>28</v>
      </c>
    </row>
    <row r="737" spans="1:10" x14ac:dyDescent="0.3">
      <c r="A737" t="s">
        <v>10</v>
      </c>
      <c r="B737">
        <v>50</v>
      </c>
      <c r="C737" t="s">
        <v>34</v>
      </c>
      <c r="D737" t="s">
        <v>11</v>
      </c>
      <c r="E737" t="s">
        <v>30</v>
      </c>
      <c r="F737" t="s">
        <v>39</v>
      </c>
      <c r="G737" t="s">
        <v>40</v>
      </c>
      <c r="H737" t="s">
        <v>14</v>
      </c>
      <c r="I737" t="s">
        <v>22</v>
      </c>
      <c r="J737" t="s">
        <v>16</v>
      </c>
    </row>
    <row r="738" spans="1:10" x14ac:dyDescent="0.3">
      <c r="A738" t="s">
        <v>46</v>
      </c>
      <c r="B738">
        <v>50</v>
      </c>
      <c r="C738" t="s">
        <v>25</v>
      </c>
      <c r="D738" t="s">
        <v>36</v>
      </c>
      <c r="E738" t="s">
        <v>37</v>
      </c>
      <c r="F738" t="s">
        <v>39</v>
      </c>
      <c r="G738" s="2">
        <v>43549</v>
      </c>
      <c r="H738" t="s">
        <v>27</v>
      </c>
      <c r="I738" t="s">
        <v>22</v>
      </c>
      <c r="J738" t="s">
        <v>45</v>
      </c>
    </row>
    <row r="739" spans="1:10" x14ac:dyDescent="0.3">
      <c r="A739" t="s">
        <v>24</v>
      </c>
      <c r="B739" t="s">
        <v>16</v>
      </c>
      <c r="C739" t="s">
        <v>34</v>
      </c>
      <c r="D739" t="s">
        <v>11</v>
      </c>
      <c r="E739" t="s">
        <v>30</v>
      </c>
      <c r="F739" t="s">
        <v>39</v>
      </c>
      <c r="G739" s="2">
        <v>43549</v>
      </c>
      <c r="H739" t="s">
        <v>27</v>
      </c>
      <c r="I739" t="s">
        <v>15</v>
      </c>
      <c r="J739" t="s">
        <v>28</v>
      </c>
    </row>
    <row r="740" spans="1:10" x14ac:dyDescent="0.3">
      <c r="A740" t="s">
        <v>17</v>
      </c>
      <c r="B740" t="s">
        <v>16</v>
      </c>
      <c r="C740">
        <v>70000</v>
      </c>
      <c r="D740" t="s">
        <v>36</v>
      </c>
      <c r="E740" t="s">
        <v>37</v>
      </c>
      <c r="F740" t="s">
        <v>20</v>
      </c>
      <c r="G740" s="1">
        <v>43195</v>
      </c>
      <c r="H740" t="s">
        <v>27</v>
      </c>
      <c r="I740" t="s">
        <v>32</v>
      </c>
      <c r="J740" t="s">
        <v>33</v>
      </c>
    </row>
    <row r="741" spans="1:10" x14ac:dyDescent="0.3">
      <c r="A741" t="s">
        <v>24</v>
      </c>
      <c r="B741">
        <v>25</v>
      </c>
      <c r="C741">
        <v>65000</v>
      </c>
      <c r="D741" t="s">
        <v>11</v>
      </c>
      <c r="E741" t="s">
        <v>19</v>
      </c>
      <c r="F741" t="s">
        <v>39</v>
      </c>
      <c r="G741" s="2">
        <v>43549</v>
      </c>
      <c r="H741" t="s">
        <v>41</v>
      </c>
      <c r="J741" t="s">
        <v>23</v>
      </c>
    </row>
    <row r="742" spans="1:10" x14ac:dyDescent="0.3">
      <c r="A742" t="s">
        <v>17</v>
      </c>
      <c r="B742" t="s">
        <v>42</v>
      </c>
      <c r="C742" t="s">
        <v>34</v>
      </c>
      <c r="D742" t="s">
        <v>18</v>
      </c>
      <c r="E742" t="s">
        <v>12</v>
      </c>
      <c r="F742" t="s">
        <v>20</v>
      </c>
      <c r="G742" t="s">
        <v>40</v>
      </c>
      <c r="H742" t="s">
        <v>41</v>
      </c>
      <c r="I742" t="s">
        <v>15</v>
      </c>
      <c r="J742" t="s">
        <v>23</v>
      </c>
    </row>
    <row r="743" spans="1:10" x14ac:dyDescent="0.3">
      <c r="A743" t="s">
        <v>24</v>
      </c>
      <c r="B743" t="s">
        <v>42</v>
      </c>
      <c r="C743">
        <v>55000</v>
      </c>
      <c r="D743" t="s">
        <v>11</v>
      </c>
      <c r="E743" t="s">
        <v>30</v>
      </c>
      <c r="F743" t="s">
        <v>20</v>
      </c>
      <c r="G743" s="2">
        <v>43549</v>
      </c>
      <c r="H743" t="s">
        <v>21</v>
      </c>
      <c r="J743" t="s">
        <v>45</v>
      </c>
    </row>
    <row r="744" spans="1:10" x14ac:dyDescent="0.3">
      <c r="A744" t="s">
        <v>49</v>
      </c>
      <c r="B744" t="s">
        <v>16</v>
      </c>
      <c r="C744" t="s">
        <v>34</v>
      </c>
      <c r="D744" t="s">
        <v>18</v>
      </c>
      <c r="E744" t="s">
        <v>30</v>
      </c>
      <c r="F744" t="s">
        <v>43</v>
      </c>
      <c r="G744" t="s">
        <v>40</v>
      </c>
      <c r="H744" t="s">
        <v>41</v>
      </c>
      <c r="I744" t="s">
        <v>22</v>
      </c>
      <c r="J744" t="s">
        <v>16</v>
      </c>
    </row>
    <row r="745" spans="1:10" x14ac:dyDescent="0.3">
      <c r="A745" t="s">
        <v>38</v>
      </c>
      <c r="B745">
        <v>25</v>
      </c>
      <c r="C745">
        <v>70000</v>
      </c>
      <c r="D745" t="s">
        <v>18</v>
      </c>
      <c r="E745" t="s">
        <v>30</v>
      </c>
      <c r="F745" t="s">
        <v>13</v>
      </c>
      <c r="G745" s="2">
        <v>43549</v>
      </c>
      <c r="H745" t="s">
        <v>41</v>
      </c>
      <c r="J745" t="s">
        <v>33</v>
      </c>
    </row>
    <row r="746" spans="1:10" x14ac:dyDescent="0.3">
      <c r="A746" t="s">
        <v>38</v>
      </c>
      <c r="B746" t="s">
        <v>42</v>
      </c>
      <c r="C746">
        <v>65000</v>
      </c>
      <c r="D746" t="s">
        <v>18</v>
      </c>
      <c r="E746" t="s">
        <v>37</v>
      </c>
      <c r="F746" t="s">
        <v>43</v>
      </c>
      <c r="G746" t="s">
        <v>40</v>
      </c>
      <c r="H746" t="s">
        <v>41</v>
      </c>
      <c r="I746" t="s">
        <v>32</v>
      </c>
      <c r="J746" t="s">
        <v>45</v>
      </c>
    </row>
    <row r="747" spans="1:10" x14ac:dyDescent="0.3">
      <c r="A747" t="s">
        <v>47</v>
      </c>
      <c r="B747">
        <v>25</v>
      </c>
      <c r="C747" t="s">
        <v>25</v>
      </c>
      <c r="D747" t="s">
        <v>18</v>
      </c>
      <c r="E747" t="s">
        <v>19</v>
      </c>
      <c r="F747" t="s">
        <v>43</v>
      </c>
      <c r="G747" s="2">
        <v>43549</v>
      </c>
      <c r="H747" t="s">
        <v>14</v>
      </c>
      <c r="I747" t="s">
        <v>15</v>
      </c>
      <c r="J747" t="s">
        <v>23</v>
      </c>
    </row>
    <row r="748" spans="1:10" x14ac:dyDescent="0.3">
      <c r="A748" t="s">
        <v>35</v>
      </c>
      <c r="B748">
        <v>25</v>
      </c>
      <c r="C748">
        <v>70000</v>
      </c>
      <c r="D748" t="s">
        <v>11</v>
      </c>
      <c r="E748" t="s">
        <v>30</v>
      </c>
      <c r="F748" t="s">
        <v>20</v>
      </c>
      <c r="G748" s="2">
        <v>43549</v>
      </c>
      <c r="H748" t="s">
        <v>41</v>
      </c>
      <c r="I748" t="s">
        <v>32</v>
      </c>
      <c r="J748" t="s">
        <v>45</v>
      </c>
    </row>
    <row r="749" spans="1:10" x14ac:dyDescent="0.3">
      <c r="A749" t="s">
        <v>38</v>
      </c>
      <c r="B749">
        <v>25</v>
      </c>
      <c r="C749">
        <v>65000</v>
      </c>
      <c r="D749" t="s">
        <v>36</v>
      </c>
      <c r="E749" t="s">
        <v>30</v>
      </c>
      <c r="F749" t="s">
        <v>20</v>
      </c>
      <c r="G749" s="2">
        <v>43881</v>
      </c>
      <c r="H749" t="s">
        <v>31</v>
      </c>
      <c r="I749" t="s">
        <v>32</v>
      </c>
      <c r="J749" t="s">
        <v>33</v>
      </c>
    </row>
    <row r="750" spans="1:10" x14ac:dyDescent="0.3">
      <c r="A750" t="s">
        <v>38</v>
      </c>
      <c r="B750">
        <v>40</v>
      </c>
      <c r="C750" t="s">
        <v>34</v>
      </c>
      <c r="D750" t="s">
        <v>18</v>
      </c>
      <c r="E750" t="s">
        <v>12</v>
      </c>
      <c r="F750" t="s">
        <v>39</v>
      </c>
      <c r="G750" t="s">
        <v>40</v>
      </c>
      <c r="H750" t="s">
        <v>31</v>
      </c>
      <c r="I750" t="s">
        <v>15</v>
      </c>
      <c r="J750" t="s">
        <v>28</v>
      </c>
    </row>
    <row r="751" spans="1:10" x14ac:dyDescent="0.3">
      <c r="A751" t="s">
        <v>29</v>
      </c>
      <c r="B751">
        <v>50</v>
      </c>
      <c r="C751">
        <v>50000</v>
      </c>
      <c r="D751" t="s">
        <v>11</v>
      </c>
      <c r="E751" t="s">
        <v>12</v>
      </c>
      <c r="F751" t="s">
        <v>39</v>
      </c>
      <c r="G751" t="s">
        <v>40</v>
      </c>
      <c r="H751" t="s">
        <v>21</v>
      </c>
      <c r="I751" t="s">
        <v>32</v>
      </c>
      <c r="J751" t="s">
        <v>33</v>
      </c>
    </row>
    <row r="752" spans="1:10" x14ac:dyDescent="0.3">
      <c r="A752" t="s">
        <v>29</v>
      </c>
      <c r="B752">
        <v>25</v>
      </c>
      <c r="C752">
        <v>50000</v>
      </c>
      <c r="D752" t="s">
        <v>18</v>
      </c>
      <c r="E752" t="s">
        <v>19</v>
      </c>
      <c r="F752" t="s">
        <v>43</v>
      </c>
      <c r="G752" t="s">
        <v>40</v>
      </c>
      <c r="H752" t="s">
        <v>14</v>
      </c>
      <c r="I752" t="s">
        <v>16</v>
      </c>
      <c r="J752" t="s">
        <v>28</v>
      </c>
    </row>
    <row r="753" spans="1:10" x14ac:dyDescent="0.3">
      <c r="A753" t="s">
        <v>47</v>
      </c>
      <c r="B753">
        <v>40</v>
      </c>
      <c r="C753">
        <v>55000</v>
      </c>
      <c r="D753" t="s">
        <v>11</v>
      </c>
      <c r="E753" t="s">
        <v>19</v>
      </c>
      <c r="F753" t="s">
        <v>44</v>
      </c>
      <c r="G753" s="2">
        <v>43845</v>
      </c>
      <c r="H753" t="s">
        <v>31</v>
      </c>
      <c r="I753" t="s">
        <v>16</v>
      </c>
      <c r="J753" t="s">
        <v>28</v>
      </c>
    </row>
    <row r="754" spans="1:10" x14ac:dyDescent="0.3">
      <c r="A754" t="s">
        <v>35</v>
      </c>
      <c r="B754" t="s">
        <v>16</v>
      </c>
      <c r="C754">
        <v>65000</v>
      </c>
      <c r="D754" t="s">
        <v>11</v>
      </c>
      <c r="E754" t="s">
        <v>26</v>
      </c>
      <c r="F754" t="s">
        <v>44</v>
      </c>
      <c r="G754" s="2">
        <v>43549</v>
      </c>
      <c r="H754" t="s">
        <v>14</v>
      </c>
      <c r="I754" t="s">
        <v>16</v>
      </c>
      <c r="J754" t="s">
        <v>28</v>
      </c>
    </row>
    <row r="755" spans="1:10" x14ac:dyDescent="0.3">
      <c r="A755" t="s">
        <v>46</v>
      </c>
      <c r="B755" t="s">
        <v>42</v>
      </c>
      <c r="C755">
        <v>50000</v>
      </c>
      <c r="D755" t="s">
        <v>11</v>
      </c>
      <c r="E755" t="s">
        <v>12</v>
      </c>
      <c r="F755" t="s">
        <v>39</v>
      </c>
      <c r="G755" t="s">
        <v>40</v>
      </c>
      <c r="H755" t="s">
        <v>14</v>
      </c>
      <c r="J755" t="s">
        <v>45</v>
      </c>
    </row>
    <row r="756" spans="1:10" x14ac:dyDescent="0.3">
      <c r="A756" t="s">
        <v>29</v>
      </c>
      <c r="B756">
        <v>50</v>
      </c>
      <c r="C756" t="s">
        <v>25</v>
      </c>
      <c r="D756" t="s">
        <v>36</v>
      </c>
      <c r="E756" t="s">
        <v>26</v>
      </c>
      <c r="F756" t="s">
        <v>44</v>
      </c>
      <c r="G756" s="2">
        <v>43845</v>
      </c>
      <c r="H756" t="s">
        <v>21</v>
      </c>
      <c r="I756" t="s">
        <v>32</v>
      </c>
      <c r="J756" t="s">
        <v>23</v>
      </c>
    </row>
    <row r="757" spans="1:10" x14ac:dyDescent="0.3">
      <c r="A757" t="s">
        <v>46</v>
      </c>
      <c r="B757" t="s">
        <v>42</v>
      </c>
      <c r="C757">
        <v>65000</v>
      </c>
      <c r="D757" t="s">
        <v>11</v>
      </c>
      <c r="E757" t="s">
        <v>37</v>
      </c>
      <c r="F757" t="s">
        <v>39</v>
      </c>
      <c r="G757" s="2">
        <v>43881</v>
      </c>
      <c r="H757" t="s">
        <v>14</v>
      </c>
      <c r="I757" t="s">
        <v>15</v>
      </c>
      <c r="J757" t="s">
        <v>45</v>
      </c>
    </row>
    <row r="758" spans="1:10" x14ac:dyDescent="0.3">
      <c r="A758" t="s">
        <v>48</v>
      </c>
      <c r="B758">
        <v>50</v>
      </c>
      <c r="C758" t="s">
        <v>25</v>
      </c>
      <c r="D758" t="s">
        <v>11</v>
      </c>
      <c r="E758" t="s">
        <v>26</v>
      </c>
      <c r="F758" t="s">
        <v>20</v>
      </c>
      <c r="G758" t="s">
        <v>40</v>
      </c>
      <c r="H758" t="s">
        <v>41</v>
      </c>
      <c r="I758" t="s">
        <v>15</v>
      </c>
      <c r="J758" t="s">
        <v>23</v>
      </c>
    </row>
    <row r="759" spans="1:10" x14ac:dyDescent="0.3">
      <c r="A759" t="s">
        <v>29</v>
      </c>
      <c r="B759" t="s">
        <v>42</v>
      </c>
      <c r="C759" t="s">
        <v>25</v>
      </c>
      <c r="D759" t="s">
        <v>36</v>
      </c>
      <c r="E759" t="s">
        <v>30</v>
      </c>
      <c r="F759" t="s">
        <v>43</v>
      </c>
      <c r="G759" t="s">
        <v>40</v>
      </c>
      <c r="H759" t="s">
        <v>14</v>
      </c>
      <c r="J759" t="s">
        <v>33</v>
      </c>
    </row>
    <row r="760" spans="1:10" x14ac:dyDescent="0.3">
      <c r="A760" t="s">
        <v>49</v>
      </c>
      <c r="B760">
        <v>50</v>
      </c>
      <c r="C760">
        <v>50000</v>
      </c>
      <c r="D760" t="s">
        <v>36</v>
      </c>
      <c r="E760" t="s">
        <v>26</v>
      </c>
      <c r="F760" t="s">
        <v>13</v>
      </c>
      <c r="G760" s="2">
        <v>43845</v>
      </c>
      <c r="H760" t="s">
        <v>21</v>
      </c>
      <c r="I760" t="s">
        <v>15</v>
      </c>
      <c r="J760" t="s">
        <v>16</v>
      </c>
    </row>
    <row r="761" spans="1:10" x14ac:dyDescent="0.3">
      <c r="A761" t="s">
        <v>35</v>
      </c>
      <c r="B761" t="s">
        <v>42</v>
      </c>
      <c r="C761">
        <v>65000</v>
      </c>
      <c r="D761" t="s">
        <v>11</v>
      </c>
      <c r="E761" t="s">
        <v>19</v>
      </c>
      <c r="F761" t="s">
        <v>43</v>
      </c>
      <c r="G761" s="2">
        <v>43549</v>
      </c>
      <c r="H761" t="s">
        <v>21</v>
      </c>
      <c r="I761" t="s">
        <v>16</v>
      </c>
      <c r="J761" t="s">
        <v>33</v>
      </c>
    </row>
    <row r="762" spans="1:10" x14ac:dyDescent="0.3">
      <c r="A762" t="s">
        <v>47</v>
      </c>
      <c r="B762" t="s">
        <v>42</v>
      </c>
      <c r="C762" t="s">
        <v>34</v>
      </c>
      <c r="D762" t="s">
        <v>36</v>
      </c>
      <c r="E762" t="s">
        <v>37</v>
      </c>
      <c r="F762" t="s">
        <v>39</v>
      </c>
      <c r="G762" s="2">
        <v>43881</v>
      </c>
      <c r="H762" t="s">
        <v>21</v>
      </c>
      <c r="I762" t="s">
        <v>32</v>
      </c>
      <c r="J762" t="s">
        <v>45</v>
      </c>
    </row>
    <row r="763" spans="1:10" x14ac:dyDescent="0.3">
      <c r="A763" t="s">
        <v>48</v>
      </c>
      <c r="B763" t="s">
        <v>42</v>
      </c>
      <c r="C763">
        <v>70000</v>
      </c>
      <c r="D763" t="s">
        <v>18</v>
      </c>
      <c r="E763" t="s">
        <v>30</v>
      </c>
      <c r="F763" t="s">
        <v>39</v>
      </c>
      <c r="G763" t="s">
        <v>40</v>
      </c>
      <c r="H763" t="s">
        <v>31</v>
      </c>
      <c r="I763" t="s">
        <v>15</v>
      </c>
      <c r="J763" t="s">
        <v>45</v>
      </c>
    </row>
    <row r="764" spans="1:10" x14ac:dyDescent="0.3">
      <c r="A764" t="s">
        <v>35</v>
      </c>
      <c r="B764" t="s">
        <v>42</v>
      </c>
      <c r="C764">
        <v>50000</v>
      </c>
      <c r="D764" t="s">
        <v>18</v>
      </c>
      <c r="E764" t="s">
        <v>26</v>
      </c>
      <c r="F764" t="s">
        <v>43</v>
      </c>
      <c r="G764" s="2">
        <v>43549</v>
      </c>
      <c r="H764" t="s">
        <v>41</v>
      </c>
      <c r="I764" t="s">
        <v>15</v>
      </c>
      <c r="J764" t="s">
        <v>23</v>
      </c>
    </row>
    <row r="765" spans="1:10" x14ac:dyDescent="0.3">
      <c r="A765" t="s">
        <v>49</v>
      </c>
      <c r="B765" t="s">
        <v>16</v>
      </c>
      <c r="C765">
        <v>50000</v>
      </c>
      <c r="D765" t="s">
        <v>36</v>
      </c>
      <c r="E765" t="s">
        <v>37</v>
      </c>
      <c r="F765" t="s">
        <v>39</v>
      </c>
      <c r="G765" s="2">
        <v>43881</v>
      </c>
      <c r="H765" t="s">
        <v>31</v>
      </c>
      <c r="I765" t="s">
        <v>22</v>
      </c>
      <c r="J765" t="s">
        <v>45</v>
      </c>
    </row>
    <row r="766" spans="1:10" x14ac:dyDescent="0.3">
      <c r="A766" t="s">
        <v>35</v>
      </c>
      <c r="B766">
        <v>25</v>
      </c>
      <c r="C766" t="s">
        <v>34</v>
      </c>
      <c r="D766" t="s">
        <v>36</v>
      </c>
      <c r="E766" t="s">
        <v>37</v>
      </c>
      <c r="F766" t="s">
        <v>44</v>
      </c>
      <c r="G766" s="1">
        <v>43195</v>
      </c>
      <c r="H766" t="s">
        <v>27</v>
      </c>
      <c r="I766" t="s">
        <v>22</v>
      </c>
      <c r="J766" t="s">
        <v>28</v>
      </c>
    </row>
    <row r="767" spans="1:10" x14ac:dyDescent="0.3">
      <c r="A767" t="s">
        <v>49</v>
      </c>
      <c r="B767">
        <v>35</v>
      </c>
      <c r="C767">
        <v>65000</v>
      </c>
      <c r="D767" t="s">
        <v>11</v>
      </c>
      <c r="E767" t="s">
        <v>30</v>
      </c>
      <c r="F767" t="s">
        <v>44</v>
      </c>
      <c r="G767" s="1">
        <v>43195</v>
      </c>
      <c r="H767" t="s">
        <v>41</v>
      </c>
      <c r="I767" t="s">
        <v>22</v>
      </c>
      <c r="J767" t="s">
        <v>45</v>
      </c>
    </row>
    <row r="768" spans="1:10" x14ac:dyDescent="0.3">
      <c r="A768" t="s">
        <v>49</v>
      </c>
      <c r="B768">
        <v>40</v>
      </c>
      <c r="C768">
        <v>65000</v>
      </c>
      <c r="D768" t="s">
        <v>36</v>
      </c>
      <c r="E768" t="s">
        <v>26</v>
      </c>
      <c r="F768" t="s">
        <v>39</v>
      </c>
      <c r="G768" s="2">
        <v>43881</v>
      </c>
      <c r="H768" t="s">
        <v>14</v>
      </c>
      <c r="I768" t="s">
        <v>32</v>
      </c>
      <c r="J768" t="s">
        <v>23</v>
      </c>
    </row>
    <row r="769" spans="1:10" x14ac:dyDescent="0.3">
      <c r="A769" t="s">
        <v>46</v>
      </c>
      <c r="B769">
        <v>35</v>
      </c>
      <c r="C769" t="s">
        <v>25</v>
      </c>
      <c r="D769" t="s">
        <v>11</v>
      </c>
      <c r="E769" t="s">
        <v>37</v>
      </c>
      <c r="F769" t="s">
        <v>39</v>
      </c>
      <c r="G769" s="2">
        <v>43845</v>
      </c>
      <c r="H769" t="s">
        <v>21</v>
      </c>
      <c r="I769" t="s">
        <v>16</v>
      </c>
      <c r="J769" t="s">
        <v>23</v>
      </c>
    </row>
    <row r="770" spans="1:10" x14ac:dyDescent="0.3">
      <c r="A770" t="s">
        <v>24</v>
      </c>
      <c r="B770">
        <v>35</v>
      </c>
      <c r="C770" t="s">
        <v>34</v>
      </c>
      <c r="D770" t="s">
        <v>18</v>
      </c>
      <c r="E770" t="s">
        <v>37</v>
      </c>
      <c r="F770" t="s">
        <v>44</v>
      </c>
      <c r="G770" s="2">
        <v>43881</v>
      </c>
      <c r="H770" t="s">
        <v>27</v>
      </c>
      <c r="I770" t="s">
        <v>16</v>
      </c>
      <c r="J770" t="s">
        <v>28</v>
      </c>
    </row>
    <row r="771" spans="1:10" x14ac:dyDescent="0.3">
      <c r="A771" t="s">
        <v>48</v>
      </c>
      <c r="B771">
        <v>50</v>
      </c>
      <c r="C771" t="s">
        <v>34</v>
      </c>
      <c r="D771" t="s">
        <v>36</v>
      </c>
      <c r="E771" t="s">
        <v>12</v>
      </c>
      <c r="F771" t="s">
        <v>39</v>
      </c>
      <c r="G771" s="2">
        <v>43881</v>
      </c>
      <c r="H771" t="s">
        <v>41</v>
      </c>
      <c r="I771" t="s">
        <v>16</v>
      </c>
      <c r="J771" t="s">
        <v>23</v>
      </c>
    </row>
    <row r="772" spans="1:10" x14ac:dyDescent="0.3">
      <c r="A772" t="s">
        <v>35</v>
      </c>
      <c r="B772">
        <v>25</v>
      </c>
      <c r="C772">
        <v>65000</v>
      </c>
      <c r="D772" t="s">
        <v>11</v>
      </c>
      <c r="E772" t="s">
        <v>37</v>
      </c>
      <c r="F772" t="s">
        <v>39</v>
      </c>
      <c r="G772" s="2">
        <v>43845</v>
      </c>
      <c r="H772" t="s">
        <v>31</v>
      </c>
      <c r="I772" t="s">
        <v>32</v>
      </c>
      <c r="J772" t="s">
        <v>16</v>
      </c>
    </row>
    <row r="773" spans="1:10" x14ac:dyDescent="0.3">
      <c r="A773" t="s">
        <v>17</v>
      </c>
      <c r="B773">
        <v>50</v>
      </c>
      <c r="C773" t="s">
        <v>25</v>
      </c>
      <c r="D773" t="s">
        <v>11</v>
      </c>
      <c r="E773" t="s">
        <v>12</v>
      </c>
      <c r="F773" t="s">
        <v>43</v>
      </c>
      <c r="G773" s="2">
        <v>43845</v>
      </c>
      <c r="H773" t="s">
        <v>21</v>
      </c>
      <c r="I773" t="s">
        <v>32</v>
      </c>
      <c r="J773" t="s">
        <v>33</v>
      </c>
    </row>
    <row r="774" spans="1:10" x14ac:dyDescent="0.3">
      <c r="A774" t="s">
        <v>48</v>
      </c>
      <c r="B774">
        <v>25</v>
      </c>
      <c r="C774">
        <v>50000</v>
      </c>
      <c r="D774" t="s">
        <v>18</v>
      </c>
      <c r="E774" t="s">
        <v>26</v>
      </c>
      <c r="F774" t="s">
        <v>13</v>
      </c>
      <c r="G774" s="2">
        <v>43549</v>
      </c>
      <c r="H774" t="s">
        <v>31</v>
      </c>
      <c r="I774" t="s">
        <v>22</v>
      </c>
      <c r="J774" t="s">
        <v>45</v>
      </c>
    </row>
    <row r="775" spans="1:10" x14ac:dyDescent="0.3">
      <c r="A775" t="s">
        <v>24</v>
      </c>
      <c r="B775">
        <v>25</v>
      </c>
      <c r="C775">
        <v>55000</v>
      </c>
      <c r="D775" t="s">
        <v>36</v>
      </c>
      <c r="E775" t="s">
        <v>26</v>
      </c>
      <c r="F775" t="s">
        <v>44</v>
      </c>
      <c r="G775" s="2">
        <v>43549</v>
      </c>
      <c r="H775" t="s">
        <v>41</v>
      </c>
      <c r="I775" t="s">
        <v>15</v>
      </c>
      <c r="J775" t="s">
        <v>16</v>
      </c>
    </row>
    <row r="776" spans="1:10" x14ac:dyDescent="0.3">
      <c r="A776" t="s">
        <v>48</v>
      </c>
      <c r="B776" t="s">
        <v>42</v>
      </c>
      <c r="C776">
        <v>70000</v>
      </c>
      <c r="D776" t="s">
        <v>18</v>
      </c>
      <c r="E776" t="s">
        <v>26</v>
      </c>
      <c r="F776" t="s">
        <v>43</v>
      </c>
      <c r="G776" s="2">
        <v>43845</v>
      </c>
      <c r="H776" t="s">
        <v>41</v>
      </c>
      <c r="J776" t="s">
        <v>45</v>
      </c>
    </row>
    <row r="777" spans="1:10" x14ac:dyDescent="0.3">
      <c r="A777" t="s">
        <v>38</v>
      </c>
      <c r="B777" t="s">
        <v>16</v>
      </c>
      <c r="C777">
        <v>50000</v>
      </c>
      <c r="D777" t="s">
        <v>11</v>
      </c>
      <c r="E777" t="s">
        <v>19</v>
      </c>
      <c r="F777" t="s">
        <v>13</v>
      </c>
      <c r="G777" s="1">
        <v>43195</v>
      </c>
      <c r="H777" t="s">
        <v>27</v>
      </c>
      <c r="J777" t="s">
        <v>16</v>
      </c>
    </row>
    <row r="778" spans="1:10" x14ac:dyDescent="0.3">
      <c r="A778" t="s">
        <v>17</v>
      </c>
      <c r="B778" t="s">
        <v>42</v>
      </c>
      <c r="C778">
        <v>65000</v>
      </c>
      <c r="D778" t="s">
        <v>11</v>
      </c>
      <c r="E778" t="s">
        <v>26</v>
      </c>
      <c r="F778" t="s">
        <v>39</v>
      </c>
      <c r="G778" s="1">
        <v>43195</v>
      </c>
      <c r="H778" t="s">
        <v>14</v>
      </c>
      <c r="I778" t="s">
        <v>15</v>
      </c>
      <c r="J778" t="s">
        <v>45</v>
      </c>
    </row>
    <row r="779" spans="1:10" x14ac:dyDescent="0.3">
      <c r="A779" t="s">
        <v>24</v>
      </c>
      <c r="B779" t="s">
        <v>16</v>
      </c>
      <c r="C779">
        <v>70000</v>
      </c>
      <c r="D779" t="s">
        <v>36</v>
      </c>
      <c r="E779" t="s">
        <v>37</v>
      </c>
      <c r="F779" t="s">
        <v>39</v>
      </c>
      <c r="G779" s="2">
        <v>43881</v>
      </c>
      <c r="H779" t="s">
        <v>31</v>
      </c>
      <c r="I779" t="s">
        <v>22</v>
      </c>
      <c r="J779" t="s">
        <v>28</v>
      </c>
    </row>
    <row r="780" spans="1:10" x14ac:dyDescent="0.3">
      <c r="A780" t="s">
        <v>46</v>
      </c>
      <c r="B780">
        <v>50</v>
      </c>
      <c r="C780">
        <v>55000</v>
      </c>
      <c r="D780" t="s">
        <v>11</v>
      </c>
      <c r="E780" t="s">
        <v>30</v>
      </c>
      <c r="F780" t="s">
        <v>43</v>
      </c>
      <c r="G780" t="s">
        <v>40</v>
      </c>
      <c r="H780" t="s">
        <v>27</v>
      </c>
      <c r="I780" t="s">
        <v>15</v>
      </c>
      <c r="J780" t="s">
        <v>23</v>
      </c>
    </row>
    <row r="781" spans="1:10" x14ac:dyDescent="0.3">
      <c r="A781" t="s">
        <v>35</v>
      </c>
      <c r="B781" t="s">
        <v>16</v>
      </c>
      <c r="C781">
        <v>55000</v>
      </c>
      <c r="D781" t="s">
        <v>36</v>
      </c>
      <c r="E781" t="s">
        <v>12</v>
      </c>
      <c r="F781" t="s">
        <v>39</v>
      </c>
      <c r="G781" s="2">
        <v>43881</v>
      </c>
      <c r="H781" t="s">
        <v>21</v>
      </c>
      <c r="I781" t="s">
        <v>15</v>
      </c>
      <c r="J781" t="s">
        <v>23</v>
      </c>
    </row>
    <row r="782" spans="1:10" x14ac:dyDescent="0.3">
      <c r="A782" t="s">
        <v>10</v>
      </c>
      <c r="B782">
        <v>50</v>
      </c>
      <c r="C782" t="s">
        <v>25</v>
      </c>
      <c r="D782" t="s">
        <v>18</v>
      </c>
      <c r="E782" t="s">
        <v>19</v>
      </c>
      <c r="F782" t="s">
        <v>20</v>
      </c>
      <c r="G782" s="2">
        <v>43881</v>
      </c>
      <c r="H782" t="s">
        <v>14</v>
      </c>
      <c r="J782" t="s">
        <v>28</v>
      </c>
    </row>
    <row r="783" spans="1:10" x14ac:dyDescent="0.3">
      <c r="A783" t="s">
        <v>24</v>
      </c>
      <c r="B783">
        <v>35</v>
      </c>
      <c r="C783">
        <v>70000</v>
      </c>
      <c r="D783" t="s">
        <v>36</v>
      </c>
      <c r="E783" t="s">
        <v>26</v>
      </c>
      <c r="F783" t="s">
        <v>43</v>
      </c>
      <c r="G783" t="s">
        <v>40</v>
      </c>
      <c r="H783" t="s">
        <v>27</v>
      </c>
      <c r="I783" t="s">
        <v>22</v>
      </c>
      <c r="J783" t="s">
        <v>16</v>
      </c>
    </row>
    <row r="784" spans="1:10" x14ac:dyDescent="0.3">
      <c r="A784" t="s">
        <v>47</v>
      </c>
      <c r="B784">
        <v>35</v>
      </c>
      <c r="C784" t="s">
        <v>25</v>
      </c>
      <c r="D784" t="s">
        <v>36</v>
      </c>
      <c r="E784" t="s">
        <v>26</v>
      </c>
      <c r="F784" t="s">
        <v>13</v>
      </c>
      <c r="G784" s="2">
        <v>43845</v>
      </c>
      <c r="H784" t="s">
        <v>31</v>
      </c>
      <c r="I784" t="s">
        <v>32</v>
      </c>
      <c r="J784" t="s">
        <v>33</v>
      </c>
    </row>
    <row r="785" spans="1:10" x14ac:dyDescent="0.3">
      <c r="A785" t="s">
        <v>35</v>
      </c>
      <c r="B785" t="s">
        <v>16</v>
      </c>
      <c r="C785">
        <v>50000</v>
      </c>
      <c r="D785" t="s">
        <v>11</v>
      </c>
      <c r="E785" t="s">
        <v>30</v>
      </c>
      <c r="F785" t="s">
        <v>43</v>
      </c>
      <c r="G785" s="1">
        <v>43195</v>
      </c>
      <c r="H785" t="s">
        <v>41</v>
      </c>
      <c r="J785" t="s">
        <v>16</v>
      </c>
    </row>
    <row r="786" spans="1:10" x14ac:dyDescent="0.3">
      <c r="A786" t="s">
        <v>24</v>
      </c>
      <c r="B786" t="s">
        <v>16</v>
      </c>
      <c r="C786" t="s">
        <v>34</v>
      </c>
      <c r="D786" t="s">
        <v>11</v>
      </c>
      <c r="E786" t="s">
        <v>30</v>
      </c>
      <c r="F786" t="s">
        <v>44</v>
      </c>
      <c r="G786" s="2">
        <v>43881</v>
      </c>
      <c r="H786" t="s">
        <v>21</v>
      </c>
      <c r="I786" t="s">
        <v>32</v>
      </c>
      <c r="J786" t="s">
        <v>23</v>
      </c>
    </row>
    <row r="787" spans="1:10" x14ac:dyDescent="0.3">
      <c r="A787" t="s">
        <v>38</v>
      </c>
      <c r="B787">
        <v>50</v>
      </c>
      <c r="C787" t="s">
        <v>34</v>
      </c>
      <c r="D787" t="s">
        <v>36</v>
      </c>
      <c r="E787" t="s">
        <v>19</v>
      </c>
      <c r="F787" t="s">
        <v>43</v>
      </c>
      <c r="G787" t="s">
        <v>40</v>
      </c>
      <c r="H787" t="s">
        <v>31</v>
      </c>
      <c r="I787" t="s">
        <v>22</v>
      </c>
      <c r="J787" t="s">
        <v>33</v>
      </c>
    </row>
    <row r="788" spans="1:10" x14ac:dyDescent="0.3">
      <c r="A788" t="s">
        <v>10</v>
      </c>
      <c r="B788" t="s">
        <v>42</v>
      </c>
      <c r="C788" t="s">
        <v>34</v>
      </c>
      <c r="D788" t="s">
        <v>11</v>
      </c>
      <c r="E788" t="s">
        <v>12</v>
      </c>
      <c r="F788" t="s">
        <v>39</v>
      </c>
      <c r="G788" s="2">
        <v>43549</v>
      </c>
      <c r="H788" t="s">
        <v>14</v>
      </c>
      <c r="I788" t="s">
        <v>15</v>
      </c>
      <c r="J788" t="s">
        <v>45</v>
      </c>
    </row>
    <row r="789" spans="1:10" x14ac:dyDescent="0.3">
      <c r="A789" t="s">
        <v>38</v>
      </c>
      <c r="B789">
        <v>50</v>
      </c>
      <c r="C789">
        <v>70000</v>
      </c>
      <c r="D789" t="s">
        <v>11</v>
      </c>
      <c r="E789" t="s">
        <v>26</v>
      </c>
      <c r="F789" t="s">
        <v>39</v>
      </c>
      <c r="G789" s="2">
        <v>43881</v>
      </c>
      <c r="H789" t="s">
        <v>14</v>
      </c>
      <c r="I789" t="s">
        <v>16</v>
      </c>
      <c r="J789" t="s">
        <v>33</v>
      </c>
    </row>
    <row r="790" spans="1:10" x14ac:dyDescent="0.3">
      <c r="A790" t="s">
        <v>10</v>
      </c>
      <c r="B790" t="s">
        <v>42</v>
      </c>
      <c r="C790" t="s">
        <v>34</v>
      </c>
      <c r="D790" t="s">
        <v>11</v>
      </c>
      <c r="E790" t="s">
        <v>19</v>
      </c>
      <c r="F790" t="s">
        <v>20</v>
      </c>
      <c r="G790" s="1">
        <v>43195</v>
      </c>
      <c r="H790" t="s">
        <v>41</v>
      </c>
      <c r="I790" t="s">
        <v>16</v>
      </c>
      <c r="J790" t="s">
        <v>16</v>
      </c>
    </row>
    <row r="791" spans="1:10" x14ac:dyDescent="0.3">
      <c r="A791" t="s">
        <v>47</v>
      </c>
      <c r="B791">
        <v>35</v>
      </c>
      <c r="C791">
        <v>50000</v>
      </c>
      <c r="D791" t="s">
        <v>36</v>
      </c>
      <c r="E791" t="s">
        <v>37</v>
      </c>
      <c r="F791" t="s">
        <v>20</v>
      </c>
      <c r="G791" s="2">
        <v>43845</v>
      </c>
      <c r="H791" t="s">
        <v>41</v>
      </c>
      <c r="I791" t="s">
        <v>22</v>
      </c>
      <c r="J791" t="s">
        <v>28</v>
      </c>
    </row>
    <row r="792" spans="1:10" x14ac:dyDescent="0.3">
      <c r="A792" t="s">
        <v>35</v>
      </c>
      <c r="B792">
        <v>25</v>
      </c>
      <c r="C792" t="s">
        <v>25</v>
      </c>
      <c r="D792" t="s">
        <v>11</v>
      </c>
      <c r="E792" t="s">
        <v>37</v>
      </c>
      <c r="F792" t="s">
        <v>20</v>
      </c>
      <c r="G792" s="2">
        <v>43881</v>
      </c>
      <c r="H792" t="s">
        <v>21</v>
      </c>
      <c r="I792" t="s">
        <v>16</v>
      </c>
      <c r="J792" t="s">
        <v>45</v>
      </c>
    </row>
    <row r="793" spans="1:10" x14ac:dyDescent="0.3">
      <c r="A793" t="s">
        <v>46</v>
      </c>
      <c r="B793" t="s">
        <v>16</v>
      </c>
      <c r="C793">
        <v>70000</v>
      </c>
      <c r="D793" t="s">
        <v>36</v>
      </c>
      <c r="E793" t="s">
        <v>19</v>
      </c>
      <c r="F793" t="s">
        <v>13</v>
      </c>
      <c r="G793" s="2">
        <v>43881</v>
      </c>
      <c r="H793" t="s">
        <v>21</v>
      </c>
      <c r="I793" t="s">
        <v>32</v>
      </c>
      <c r="J793" t="s">
        <v>16</v>
      </c>
    </row>
    <row r="794" spans="1:10" x14ac:dyDescent="0.3">
      <c r="A794" t="s">
        <v>38</v>
      </c>
      <c r="B794" t="s">
        <v>42</v>
      </c>
      <c r="C794" t="s">
        <v>25</v>
      </c>
      <c r="D794" t="s">
        <v>11</v>
      </c>
      <c r="E794" t="s">
        <v>26</v>
      </c>
      <c r="F794" t="s">
        <v>20</v>
      </c>
      <c r="G794" t="s">
        <v>40</v>
      </c>
      <c r="H794" t="s">
        <v>41</v>
      </c>
      <c r="I794" t="s">
        <v>16</v>
      </c>
      <c r="J794" t="s">
        <v>45</v>
      </c>
    </row>
    <row r="795" spans="1:10" x14ac:dyDescent="0.3">
      <c r="A795" t="s">
        <v>38</v>
      </c>
      <c r="B795">
        <v>50</v>
      </c>
      <c r="C795">
        <v>70000</v>
      </c>
      <c r="D795" t="s">
        <v>18</v>
      </c>
      <c r="E795" t="s">
        <v>19</v>
      </c>
      <c r="F795" t="s">
        <v>13</v>
      </c>
      <c r="G795" s="2">
        <v>43549</v>
      </c>
      <c r="H795" t="s">
        <v>41</v>
      </c>
      <c r="I795" t="s">
        <v>22</v>
      </c>
      <c r="J795" t="s">
        <v>33</v>
      </c>
    </row>
    <row r="796" spans="1:10" x14ac:dyDescent="0.3">
      <c r="A796" t="s">
        <v>49</v>
      </c>
      <c r="B796">
        <v>35</v>
      </c>
      <c r="C796" t="s">
        <v>25</v>
      </c>
      <c r="D796" t="s">
        <v>11</v>
      </c>
      <c r="E796" t="s">
        <v>26</v>
      </c>
      <c r="F796" t="s">
        <v>20</v>
      </c>
      <c r="G796" s="2">
        <v>43549</v>
      </c>
      <c r="H796" t="s">
        <v>14</v>
      </c>
      <c r="I796" t="s">
        <v>22</v>
      </c>
      <c r="J796" t="s">
        <v>23</v>
      </c>
    </row>
    <row r="797" spans="1:10" x14ac:dyDescent="0.3">
      <c r="A797" t="s">
        <v>10</v>
      </c>
      <c r="B797" t="s">
        <v>42</v>
      </c>
      <c r="C797">
        <v>55000</v>
      </c>
      <c r="D797" t="s">
        <v>11</v>
      </c>
      <c r="E797" t="s">
        <v>30</v>
      </c>
      <c r="F797" t="s">
        <v>13</v>
      </c>
      <c r="G797" s="2">
        <v>43845</v>
      </c>
      <c r="H797" t="s">
        <v>41</v>
      </c>
      <c r="I797" t="s">
        <v>32</v>
      </c>
      <c r="J797" t="s">
        <v>16</v>
      </c>
    </row>
    <row r="798" spans="1:10" x14ac:dyDescent="0.3">
      <c r="A798" t="s">
        <v>29</v>
      </c>
      <c r="B798">
        <v>50</v>
      </c>
      <c r="C798" t="s">
        <v>25</v>
      </c>
      <c r="D798" t="s">
        <v>36</v>
      </c>
      <c r="E798" t="s">
        <v>19</v>
      </c>
      <c r="F798" t="s">
        <v>43</v>
      </c>
      <c r="G798" s="1">
        <v>43195</v>
      </c>
      <c r="H798" t="s">
        <v>27</v>
      </c>
      <c r="I798" t="s">
        <v>16</v>
      </c>
      <c r="J798" t="s">
        <v>28</v>
      </c>
    </row>
    <row r="799" spans="1:10" x14ac:dyDescent="0.3">
      <c r="A799" t="s">
        <v>35</v>
      </c>
      <c r="B799" t="s">
        <v>16</v>
      </c>
      <c r="C799" t="s">
        <v>34</v>
      </c>
      <c r="D799" t="s">
        <v>36</v>
      </c>
      <c r="E799" t="s">
        <v>26</v>
      </c>
      <c r="F799" t="s">
        <v>43</v>
      </c>
      <c r="G799" s="2">
        <v>43845</v>
      </c>
      <c r="H799" t="s">
        <v>31</v>
      </c>
      <c r="I799" t="s">
        <v>16</v>
      </c>
      <c r="J799" t="s">
        <v>33</v>
      </c>
    </row>
    <row r="800" spans="1:10" x14ac:dyDescent="0.3">
      <c r="A800" t="s">
        <v>10</v>
      </c>
      <c r="B800" t="s">
        <v>16</v>
      </c>
      <c r="C800">
        <v>55000</v>
      </c>
      <c r="D800" t="s">
        <v>11</v>
      </c>
      <c r="E800" t="s">
        <v>19</v>
      </c>
      <c r="F800" t="s">
        <v>39</v>
      </c>
      <c r="G800" s="2">
        <v>43881</v>
      </c>
      <c r="H800" t="s">
        <v>41</v>
      </c>
      <c r="I800" t="s">
        <v>15</v>
      </c>
      <c r="J800" t="s">
        <v>16</v>
      </c>
    </row>
    <row r="801" spans="1:10" x14ac:dyDescent="0.3">
      <c r="A801" t="s">
        <v>49</v>
      </c>
      <c r="B801">
        <v>40</v>
      </c>
      <c r="C801" t="s">
        <v>25</v>
      </c>
      <c r="D801" t="s">
        <v>18</v>
      </c>
      <c r="E801" t="s">
        <v>19</v>
      </c>
      <c r="F801" t="s">
        <v>13</v>
      </c>
      <c r="G801" s="2">
        <v>43881</v>
      </c>
      <c r="H801" t="s">
        <v>21</v>
      </c>
      <c r="J801" t="s">
        <v>28</v>
      </c>
    </row>
    <row r="802" spans="1:10" x14ac:dyDescent="0.3">
      <c r="A802" t="s">
        <v>48</v>
      </c>
      <c r="B802">
        <v>25</v>
      </c>
      <c r="C802">
        <v>70000</v>
      </c>
      <c r="D802" t="s">
        <v>11</v>
      </c>
      <c r="E802" t="s">
        <v>26</v>
      </c>
      <c r="F802" t="s">
        <v>44</v>
      </c>
      <c r="G802" s="2">
        <v>43549</v>
      </c>
      <c r="H802" t="s">
        <v>27</v>
      </c>
      <c r="I802" t="s">
        <v>22</v>
      </c>
      <c r="J802" t="s">
        <v>16</v>
      </c>
    </row>
    <row r="803" spans="1:10" x14ac:dyDescent="0.3">
      <c r="A803" t="s">
        <v>10</v>
      </c>
      <c r="B803">
        <v>40</v>
      </c>
      <c r="C803">
        <v>70000</v>
      </c>
      <c r="D803" t="s">
        <v>11</v>
      </c>
      <c r="E803" t="s">
        <v>26</v>
      </c>
      <c r="F803" t="s">
        <v>39</v>
      </c>
      <c r="G803" s="1">
        <v>43195</v>
      </c>
      <c r="H803" t="s">
        <v>21</v>
      </c>
      <c r="I803" t="s">
        <v>15</v>
      </c>
      <c r="J803" t="s">
        <v>33</v>
      </c>
    </row>
    <row r="804" spans="1:10" x14ac:dyDescent="0.3">
      <c r="A804" t="s">
        <v>46</v>
      </c>
      <c r="B804">
        <v>35</v>
      </c>
      <c r="C804">
        <v>70000</v>
      </c>
      <c r="D804" t="s">
        <v>18</v>
      </c>
      <c r="E804" t="s">
        <v>12</v>
      </c>
      <c r="F804" t="s">
        <v>43</v>
      </c>
      <c r="G804" t="s">
        <v>40</v>
      </c>
      <c r="H804" t="s">
        <v>27</v>
      </c>
      <c r="I804" t="s">
        <v>22</v>
      </c>
      <c r="J804" t="s">
        <v>16</v>
      </c>
    </row>
    <row r="805" spans="1:10" x14ac:dyDescent="0.3">
      <c r="A805" t="s">
        <v>35</v>
      </c>
      <c r="B805" t="s">
        <v>42</v>
      </c>
      <c r="C805">
        <v>65000</v>
      </c>
      <c r="D805" t="s">
        <v>36</v>
      </c>
      <c r="E805" t="s">
        <v>19</v>
      </c>
      <c r="F805" t="s">
        <v>13</v>
      </c>
      <c r="G805" s="1">
        <v>43195</v>
      </c>
      <c r="H805" t="s">
        <v>41</v>
      </c>
      <c r="I805" t="s">
        <v>15</v>
      </c>
      <c r="J805" t="s">
        <v>45</v>
      </c>
    </row>
    <row r="806" spans="1:10" x14ac:dyDescent="0.3">
      <c r="A806" t="s">
        <v>49</v>
      </c>
      <c r="B806">
        <v>35</v>
      </c>
      <c r="C806">
        <v>50000</v>
      </c>
      <c r="D806" t="s">
        <v>11</v>
      </c>
      <c r="E806" t="s">
        <v>37</v>
      </c>
      <c r="F806" t="s">
        <v>20</v>
      </c>
      <c r="G806" s="2">
        <v>43881</v>
      </c>
      <c r="H806" t="s">
        <v>31</v>
      </c>
      <c r="J806" t="s">
        <v>33</v>
      </c>
    </row>
    <row r="807" spans="1:10" x14ac:dyDescent="0.3">
      <c r="A807" t="s">
        <v>48</v>
      </c>
      <c r="B807">
        <v>50</v>
      </c>
      <c r="C807">
        <v>70000</v>
      </c>
      <c r="D807" t="s">
        <v>36</v>
      </c>
      <c r="E807" t="s">
        <v>19</v>
      </c>
      <c r="F807" t="s">
        <v>44</v>
      </c>
      <c r="G807" t="s">
        <v>40</v>
      </c>
      <c r="H807" t="s">
        <v>21</v>
      </c>
      <c r="I807" t="s">
        <v>15</v>
      </c>
      <c r="J807" t="s">
        <v>16</v>
      </c>
    </row>
    <row r="808" spans="1:10" x14ac:dyDescent="0.3">
      <c r="A808" t="s">
        <v>17</v>
      </c>
      <c r="B808" t="s">
        <v>16</v>
      </c>
      <c r="C808">
        <v>55000</v>
      </c>
      <c r="D808" t="s">
        <v>36</v>
      </c>
      <c r="E808" t="s">
        <v>19</v>
      </c>
      <c r="F808" t="s">
        <v>43</v>
      </c>
      <c r="G808" s="1">
        <v>43195</v>
      </c>
      <c r="H808" t="s">
        <v>27</v>
      </c>
      <c r="I808" t="s">
        <v>22</v>
      </c>
      <c r="J808" t="s">
        <v>23</v>
      </c>
    </row>
    <row r="809" spans="1:10" x14ac:dyDescent="0.3">
      <c r="A809" t="s">
        <v>49</v>
      </c>
      <c r="B809">
        <v>40</v>
      </c>
      <c r="C809">
        <v>70000</v>
      </c>
      <c r="D809" t="s">
        <v>18</v>
      </c>
      <c r="E809" t="s">
        <v>26</v>
      </c>
      <c r="F809" t="s">
        <v>39</v>
      </c>
      <c r="G809" s="1">
        <v>43195</v>
      </c>
      <c r="H809" t="s">
        <v>14</v>
      </c>
      <c r="I809" t="s">
        <v>16</v>
      </c>
      <c r="J809" t="s">
        <v>16</v>
      </c>
    </row>
    <row r="810" spans="1:10" x14ac:dyDescent="0.3">
      <c r="A810" t="s">
        <v>17</v>
      </c>
      <c r="B810">
        <v>40</v>
      </c>
      <c r="C810">
        <v>65000</v>
      </c>
      <c r="D810" t="s">
        <v>18</v>
      </c>
      <c r="E810" t="s">
        <v>19</v>
      </c>
      <c r="F810" t="s">
        <v>13</v>
      </c>
      <c r="G810" t="s">
        <v>40</v>
      </c>
      <c r="H810" t="s">
        <v>41</v>
      </c>
      <c r="I810" t="s">
        <v>22</v>
      </c>
      <c r="J810" t="s">
        <v>45</v>
      </c>
    </row>
    <row r="811" spans="1:10" x14ac:dyDescent="0.3">
      <c r="A811" t="s">
        <v>35</v>
      </c>
      <c r="B811">
        <v>40</v>
      </c>
      <c r="C811" t="s">
        <v>34</v>
      </c>
      <c r="D811" t="s">
        <v>36</v>
      </c>
      <c r="E811" t="s">
        <v>19</v>
      </c>
      <c r="F811" t="s">
        <v>44</v>
      </c>
      <c r="G811" s="2">
        <v>43881</v>
      </c>
      <c r="H811" t="s">
        <v>31</v>
      </c>
      <c r="I811" t="s">
        <v>32</v>
      </c>
      <c r="J811" t="s">
        <v>28</v>
      </c>
    </row>
    <row r="812" spans="1:10" x14ac:dyDescent="0.3">
      <c r="A812" t="s">
        <v>38</v>
      </c>
      <c r="B812">
        <v>35</v>
      </c>
      <c r="C812">
        <v>55000</v>
      </c>
      <c r="D812" t="s">
        <v>11</v>
      </c>
      <c r="E812" t="s">
        <v>37</v>
      </c>
      <c r="F812" t="s">
        <v>13</v>
      </c>
      <c r="G812" s="1">
        <v>43195</v>
      </c>
      <c r="H812" t="s">
        <v>41</v>
      </c>
      <c r="I812" t="s">
        <v>32</v>
      </c>
      <c r="J812" t="s">
        <v>28</v>
      </c>
    </row>
    <row r="813" spans="1:10" x14ac:dyDescent="0.3">
      <c r="A813" t="s">
        <v>49</v>
      </c>
      <c r="B813" t="s">
        <v>16</v>
      </c>
      <c r="C813">
        <v>65000</v>
      </c>
      <c r="D813" t="s">
        <v>36</v>
      </c>
      <c r="E813" t="s">
        <v>26</v>
      </c>
      <c r="F813" t="s">
        <v>20</v>
      </c>
      <c r="G813" t="s">
        <v>40</v>
      </c>
      <c r="H813" t="s">
        <v>14</v>
      </c>
      <c r="I813" t="s">
        <v>32</v>
      </c>
      <c r="J813" t="s">
        <v>28</v>
      </c>
    </row>
    <row r="814" spans="1:10" x14ac:dyDescent="0.3">
      <c r="A814" t="s">
        <v>47</v>
      </c>
      <c r="B814" t="s">
        <v>42</v>
      </c>
      <c r="C814" t="s">
        <v>34</v>
      </c>
      <c r="D814" t="s">
        <v>11</v>
      </c>
      <c r="E814" t="s">
        <v>19</v>
      </c>
      <c r="F814" t="s">
        <v>39</v>
      </c>
      <c r="G814" s="2">
        <v>43881</v>
      </c>
      <c r="H814" t="s">
        <v>31</v>
      </c>
      <c r="I814" t="s">
        <v>32</v>
      </c>
      <c r="J814" t="s">
        <v>23</v>
      </c>
    </row>
    <row r="815" spans="1:10" x14ac:dyDescent="0.3">
      <c r="A815" t="s">
        <v>17</v>
      </c>
      <c r="B815">
        <v>50</v>
      </c>
      <c r="C815">
        <v>55000</v>
      </c>
      <c r="D815" t="s">
        <v>11</v>
      </c>
      <c r="E815" t="s">
        <v>30</v>
      </c>
      <c r="F815" t="s">
        <v>13</v>
      </c>
      <c r="G815" t="s">
        <v>40</v>
      </c>
      <c r="H815" t="s">
        <v>14</v>
      </c>
      <c r="J815" t="s">
        <v>45</v>
      </c>
    </row>
    <row r="816" spans="1:10" x14ac:dyDescent="0.3">
      <c r="A816" t="s">
        <v>46</v>
      </c>
      <c r="B816" t="s">
        <v>42</v>
      </c>
      <c r="C816" t="s">
        <v>25</v>
      </c>
      <c r="D816" t="s">
        <v>18</v>
      </c>
      <c r="E816" t="s">
        <v>12</v>
      </c>
      <c r="F816" t="s">
        <v>43</v>
      </c>
      <c r="G816" t="s">
        <v>40</v>
      </c>
      <c r="H816" t="s">
        <v>41</v>
      </c>
      <c r="I816" t="s">
        <v>16</v>
      </c>
      <c r="J816" t="s">
        <v>33</v>
      </c>
    </row>
    <row r="817" spans="1:10" x14ac:dyDescent="0.3">
      <c r="A817" t="s">
        <v>47</v>
      </c>
      <c r="B817">
        <v>35</v>
      </c>
      <c r="C817">
        <v>50000</v>
      </c>
      <c r="D817" t="s">
        <v>11</v>
      </c>
      <c r="E817" t="s">
        <v>37</v>
      </c>
      <c r="F817" t="s">
        <v>39</v>
      </c>
      <c r="G817" s="1">
        <v>43195</v>
      </c>
      <c r="H817" t="s">
        <v>27</v>
      </c>
      <c r="I817" t="s">
        <v>16</v>
      </c>
      <c r="J817" t="s">
        <v>28</v>
      </c>
    </row>
    <row r="818" spans="1:10" x14ac:dyDescent="0.3">
      <c r="A818" t="s">
        <v>24</v>
      </c>
      <c r="B818">
        <v>50</v>
      </c>
      <c r="C818">
        <v>50000</v>
      </c>
      <c r="D818" t="s">
        <v>11</v>
      </c>
      <c r="E818" t="s">
        <v>19</v>
      </c>
      <c r="F818" t="s">
        <v>43</v>
      </c>
      <c r="G818" s="2">
        <v>43881</v>
      </c>
      <c r="H818" t="s">
        <v>41</v>
      </c>
      <c r="I818" t="s">
        <v>22</v>
      </c>
      <c r="J818" t="s">
        <v>45</v>
      </c>
    </row>
    <row r="819" spans="1:10" x14ac:dyDescent="0.3">
      <c r="A819" t="s">
        <v>24</v>
      </c>
      <c r="B819">
        <v>40</v>
      </c>
      <c r="C819">
        <v>65000</v>
      </c>
      <c r="D819" t="s">
        <v>36</v>
      </c>
      <c r="E819" t="s">
        <v>30</v>
      </c>
      <c r="F819" t="s">
        <v>13</v>
      </c>
      <c r="G819" s="1">
        <v>43195</v>
      </c>
      <c r="H819" t="s">
        <v>41</v>
      </c>
      <c r="I819" t="s">
        <v>15</v>
      </c>
      <c r="J819" t="s">
        <v>16</v>
      </c>
    </row>
    <row r="820" spans="1:10" x14ac:dyDescent="0.3">
      <c r="A820" t="s">
        <v>48</v>
      </c>
      <c r="B820">
        <v>25</v>
      </c>
      <c r="C820" t="s">
        <v>34</v>
      </c>
      <c r="D820" t="s">
        <v>18</v>
      </c>
      <c r="E820" t="s">
        <v>19</v>
      </c>
      <c r="F820" t="s">
        <v>39</v>
      </c>
      <c r="G820" s="2">
        <v>43845</v>
      </c>
      <c r="H820" t="s">
        <v>41</v>
      </c>
      <c r="I820" t="s">
        <v>22</v>
      </c>
      <c r="J820" t="s">
        <v>23</v>
      </c>
    </row>
    <row r="821" spans="1:10" x14ac:dyDescent="0.3">
      <c r="A821" t="s">
        <v>38</v>
      </c>
      <c r="B821">
        <v>35</v>
      </c>
      <c r="C821">
        <v>50000</v>
      </c>
      <c r="D821" t="s">
        <v>11</v>
      </c>
      <c r="E821" t="s">
        <v>19</v>
      </c>
      <c r="F821" t="s">
        <v>43</v>
      </c>
      <c r="G821" s="2">
        <v>43845</v>
      </c>
      <c r="H821" t="s">
        <v>21</v>
      </c>
      <c r="I821" t="s">
        <v>22</v>
      </c>
      <c r="J821" t="s">
        <v>45</v>
      </c>
    </row>
    <row r="822" spans="1:10" x14ac:dyDescent="0.3">
      <c r="A822" t="s">
        <v>35</v>
      </c>
      <c r="B822">
        <v>35</v>
      </c>
      <c r="C822" t="s">
        <v>34</v>
      </c>
      <c r="D822" t="s">
        <v>11</v>
      </c>
      <c r="E822" t="s">
        <v>26</v>
      </c>
      <c r="F822" t="s">
        <v>20</v>
      </c>
      <c r="G822" s="2">
        <v>43881</v>
      </c>
      <c r="H822" t="s">
        <v>14</v>
      </c>
      <c r="I822" t="s">
        <v>22</v>
      </c>
      <c r="J822" t="s">
        <v>45</v>
      </c>
    </row>
    <row r="823" spans="1:10" x14ac:dyDescent="0.3">
      <c r="A823" t="s">
        <v>49</v>
      </c>
      <c r="B823" t="s">
        <v>16</v>
      </c>
      <c r="C823" t="s">
        <v>34</v>
      </c>
      <c r="D823" t="s">
        <v>18</v>
      </c>
      <c r="E823" t="s">
        <v>26</v>
      </c>
      <c r="F823" t="s">
        <v>20</v>
      </c>
      <c r="G823" t="s">
        <v>40</v>
      </c>
      <c r="H823" t="s">
        <v>14</v>
      </c>
      <c r="I823" t="s">
        <v>22</v>
      </c>
      <c r="J823" t="s">
        <v>33</v>
      </c>
    </row>
    <row r="824" spans="1:10" x14ac:dyDescent="0.3">
      <c r="A824" t="s">
        <v>29</v>
      </c>
      <c r="B824" t="s">
        <v>42</v>
      </c>
      <c r="C824">
        <v>65000</v>
      </c>
      <c r="D824" t="s">
        <v>36</v>
      </c>
      <c r="E824" t="s">
        <v>26</v>
      </c>
      <c r="F824" t="s">
        <v>13</v>
      </c>
      <c r="G824" s="1">
        <v>43195</v>
      </c>
      <c r="H824" t="s">
        <v>14</v>
      </c>
      <c r="I824" t="s">
        <v>16</v>
      </c>
      <c r="J824" t="s">
        <v>45</v>
      </c>
    </row>
    <row r="825" spans="1:10" x14ac:dyDescent="0.3">
      <c r="A825" t="s">
        <v>46</v>
      </c>
      <c r="B825">
        <v>35</v>
      </c>
      <c r="C825">
        <v>65000</v>
      </c>
      <c r="D825" t="s">
        <v>18</v>
      </c>
      <c r="E825" t="s">
        <v>30</v>
      </c>
      <c r="F825" t="s">
        <v>39</v>
      </c>
      <c r="G825" s="1">
        <v>43195</v>
      </c>
      <c r="H825" t="s">
        <v>21</v>
      </c>
      <c r="I825" t="s">
        <v>15</v>
      </c>
      <c r="J825" t="s">
        <v>33</v>
      </c>
    </row>
    <row r="826" spans="1:10" x14ac:dyDescent="0.3">
      <c r="A826" t="s">
        <v>17</v>
      </c>
      <c r="B826">
        <v>35</v>
      </c>
      <c r="C826">
        <v>65000</v>
      </c>
      <c r="D826" t="s">
        <v>18</v>
      </c>
      <c r="E826" t="s">
        <v>19</v>
      </c>
      <c r="F826" t="s">
        <v>44</v>
      </c>
      <c r="G826" s="2">
        <v>43881</v>
      </c>
      <c r="H826" t="s">
        <v>27</v>
      </c>
      <c r="I826" t="s">
        <v>22</v>
      </c>
      <c r="J826" t="s">
        <v>23</v>
      </c>
    </row>
    <row r="827" spans="1:10" x14ac:dyDescent="0.3">
      <c r="A827" t="s">
        <v>35</v>
      </c>
      <c r="B827">
        <v>40</v>
      </c>
      <c r="C827">
        <v>50000</v>
      </c>
      <c r="D827" t="s">
        <v>11</v>
      </c>
      <c r="E827" t="s">
        <v>12</v>
      </c>
      <c r="F827" t="s">
        <v>39</v>
      </c>
      <c r="G827" s="2">
        <v>43881</v>
      </c>
      <c r="H827" t="s">
        <v>41</v>
      </c>
      <c r="I827" t="s">
        <v>16</v>
      </c>
      <c r="J827" t="s">
        <v>23</v>
      </c>
    </row>
    <row r="828" spans="1:10" x14ac:dyDescent="0.3">
      <c r="A828" t="s">
        <v>47</v>
      </c>
      <c r="B828">
        <v>40</v>
      </c>
      <c r="C828">
        <v>65000</v>
      </c>
      <c r="D828" t="s">
        <v>11</v>
      </c>
      <c r="E828" t="s">
        <v>37</v>
      </c>
      <c r="F828" t="s">
        <v>20</v>
      </c>
      <c r="G828" s="2">
        <v>43845</v>
      </c>
      <c r="H828" t="s">
        <v>27</v>
      </c>
      <c r="I828" t="s">
        <v>22</v>
      </c>
      <c r="J828" t="s">
        <v>16</v>
      </c>
    </row>
    <row r="829" spans="1:10" x14ac:dyDescent="0.3">
      <c r="A829" t="s">
        <v>24</v>
      </c>
      <c r="B829">
        <v>50</v>
      </c>
      <c r="C829">
        <v>50000</v>
      </c>
      <c r="D829" t="s">
        <v>36</v>
      </c>
      <c r="E829" t="s">
        <v>26</v>
      </c>
      <c r="F829" t="s">
        <v>43</v>
      </c>
      <c r="G829" s="2">
        <v>43549</v>
      </c>
      <c r="H829" t="s">
        <v>21</v>
      </c>
      <c r="I829" t="s">
        <v>32</v>
      </c>
      <c r="J829" t="s">
        <v>33</v>
      </c>
    </row>
    <row r="830" spans="1:10" x14ac:dyDescent="0.3">
      <c r="A830" t="s">
        <v>46</v>
      </c>
      <c r="B830">
        <v>25</v>
      </c>
      <c r="C830">
        <v>65000</v>
      </c>
      <c r="D830" t="s">
        <v>11</v>
      </c>
      <c r="E830" t="s">
        <v>26</v>
      </c>
      <c r="F830" t="s">
        <v>44</v>
      </c>
      <c r="G830" s="2">
        <v>43881</v>
      </c>
      <c r="H830" t="s">
        <v>14</v>
      </c>
      <c r="I830" t="s">
        <v>22</v>
      </c>
      <c r="J830" t="s">
        <v>33</v>
      </c>
    </row>
    <row r="831" spans="1:10" x14ac:dyDescent="0.3">
      <c r="A831" t="s">
        <v>29</v>
      </c>
      <c r="B831" t="s">
        <v>16</v>
      </c>
      <c r="C831">
        <v>70000</v>
      </c>
      <c r="D831" t="s">
        <v>11</v>
      </c>
      <c r="E831" t="s">
        <v>19</v>
      </c>
      <c r="F831" t="s">
        <v>13</v>
      </c>
      <c r="G831" s="2">
        <v>43549</v>
      </c>
      <c r="H831" t="s">
        <v>41</v>
      </c>
      <c r="I831" t="s">
        <v>22</v>
      </c>
      <c r="J831" t="s">
        <v>28</v>
      </c>
    </row>
    <row r="832" spans="1:10" x14ac:dyDescent="0.3">
      <c r="A832" t="s">
        <v>49</v>
      </c>
      <c r="B832">
        <v>25</v>
      </c>
      <c r="C832" t="s">
        <v>34</v>
      </c>
      <c r="D832" t="s">
        <v>18</v>
      </c>
      <c r="E832" t="s">
        <v>19</v>
      </c>
      <c r="F832" t="s">
        <v>44</v>
      </c>
      <c r="G832" s="2">
        <v>43881</v>
      </c>
      <c r="H832" t="s">
        <v>31</v>
      </c>
      <c r="J832" t="s">
        <v>28</v>
      </c>
    </row>
    <row r="833" spans="1:10" x14ac:dyDescent="0.3">
      <c r="A833" t="s">
        <v>48</v>
      </c>
      <c r="B833">
        <v>50</v>
      </c>
      <c r="C833">
        <v>65000</v>
      </c>
      <c r="D833" t="s">
        <v>11</v>
      </c>
      <c r="E833" t="s">
        <v>30</v>
      </c>
      <c r="F833" t="s">
        <v>13</v>
      </c>
      <c r="G833" t="s">
        <v>40</v>
      </c>
      <c r="H833" t="s">
        <v>31</v>
      </c>
      <c r="I833" t="s">
        <v>32</v>
      </c>
      <c r="J833" t="s">
        <v>16</v>
      </c>
    </row>
    <row r="834" spans="1:10" x14ac:dyDescent="0.3">
      <c r="A834" t="s">
        <v>29</v>
      </c>
      <c r="B834">
        <v>40</v>
      </c>
      <c r="C834">
        <v>55000</v>
      </c>
      <c r="D834" t="s">
        <v>36</v>
      </c>
      <c r="E834" t="s">
        <v>30</v>
      </c>
      <c r="F834" t="s">
        <v>44</v>
      </c>
      <c r="G834" t="s">
        <v>40</v>
      </c>
      <c r="H834" t="s">
        <v>27</v>
      </c>
      <c r="I834" t="s">
        <v>15</v>
      </c>
      <c r="J834" t="s">
        <v>23</v>
      </c>
    </row>
    <row r="835" spans="1:10" x14ac:dyDescent="0.3">
      <c r="A835" t="s">
        <v>46</v>
      </c>
      <c r="B835" t="s">
        <v>42</v>
      </c>
      <c r="C835" t="s">
        <v>34</v>
      </c>
      <c r="D835" t="s">
        <v>18</v>
      </c>
      <c r="E835" t="s">
        <v>26</v>
      </c>
      <c r="F835" t="s">
        <v>13</v>
      </c>
      <c r="G835" s="2">
        <v>43845</v>
      </c>
      <c r="H835" t="s">
        <v>14</v>
      </c>
      <c r="I835" t="s">
        <v>22</v>
      </c>
      <c r="J835" t="s">
        <v>28</v>
      </c>
    </row>
    <row r="836" spans="1:10" x14ac:dyDescent="0.3">
      <c r="A836" t="s">
        <v>29</v>
      </c>
      <c r="B836">
        <v>40</v>
      </c>
      <c r="C836" t="s">
        <v>34</v>
      </c>
      <c r="D836" t="s">
        <v>36</v>
      </c>
      <c r="E836" t="s">
        <v>19</v>
      </c>
      <c r="F836" t="s">
        <v>13</v>
      </c>
      <c r="G836" s="2">
        <v>43845</v>
      </c>
      <c r="H836" t="s">
        <v>31</v>
      </c>
      <c r="I836" t="s">
        <v>15</v>
      </c>
      <c r="J836" t="s">
        <v>45</v>
      </c>
    </row>
    <row r="837" spans="1:10" x14ac:dyDescent="0.3">
      <c r="A837" t="s">
        <v>46</v>
      </c>
      <c r="B837" t="s">
        <v>16</v>
      </c>
      <c r="C837">
        <v>65000</v>
      </c>
      <c r="D837" t="s">
        <v>18</v>
      </c>
      <c r="E837" t="s">
        <v>12</v>
      </c>
      <c r="F837" t="s">
        <v>44</v>
      </c>
      <c r="G837" s="2">
        <v>43549</v>
      </c>
      <c r="H837" t="s">
        <v>27</v>
      </c>
      <c r="I837" t="s">
        <v>32</v>
      </c>
      <c r="J837" t="s">
        <v>23</v>
      </c>
    </row>
    <row r="838" spans="1:10" x14ac:dyDescent="0.3">
      <c r="A838" t="s">
        <v>46</v>
      </c>
      <c r="B838">
        <v>40</v>
      </c>
      <c r="C838" t="s">
        <v>25</v>
      </c>
      <c r="D838" t="s">
        <v>11</v>
      </c>
      <c r="E838" t="s">
        <v>37</v>
      </c>
      <c r="F838" t="s">
        <v>44</v>
      </c>
      <c r="G838" s="2">
        <v>43881</v>
      </c>
      <c r="H838" t="s">
        <v>21</v>
      </c>
      <c r="I838" t="s">
        <v>22</v>
      </c>
      <c r="J838" t="s">
        <v>45</v>
      </c>
    </row>
    <row r="839" spans="1:10" x14ac:dyDescent="0.3">
      <c r="A839" t="s">
        <v>10</v>
      </c>
      <c r="B839" t="s">
        <v>16</v>
      </c>
      <c r="C839">
        <v>65000</v>
      </c>
      <c r="D839" t="s">
        <v>18</v>
      </c>
      <c r="E839" t="s">
        <v>19</v>
      </c>
      <c r="F839" t="s">
        <v>13</v>
      </c>
      <c r="G839" s="1">
        <v>43195</v>
      </c>
      <c r="H839" t="s">
        <v>27</v>
      </c>
      <c r="J839" t="s">
        <v>33</v>
      </c>
    </row>
    <row r="840" spans="1:10" x14ac:dyDescent="0.3">
      <c r="A840" t="s">
        <v>17</v>
      </c>
      <c r="B840" t="s">
        <v>16</v>
      </c>
      <c r="C840" t="s">
        <v>34</v>
      </c>
      <c r="D840" t="s">
        <v>18</v>
      </c>
      <c r="E840" t="s">
        <v>19</v>
      </c>
      <c r="F840" t="s">
        <v>20</v>
      </c>
      <c r="G840" s="2">
        <v>43845</v>
      </c>
      <c r="H840" t="s">
        <v>27</v>
      </c>
      <c r="I840" t="s">
        <v>16</v>
      </c>
      <c r="J840" t="s">
        <v>23</v>
      </c>
    </row>
    <row r="841" spans="1:10" x14ac:dyDescent="0.3">
      <c r="A841" t="s">
        <v>24</v>
      </c>
      <c r="B841" t="s">
        <v>16</v>
      </c>
      <c r="C841">
        <v>55000</v>
      </c>
      <c r="D841" t="s">
        <v>11</v>
      </c>
      <c r="E841" t="s">
        <v>30</v>
      </c>
      <c r="F841" t="s">
        <v>44</v>
      </c>
      <c r="G841" s="1">
        <v>43195</v>
      </c>
      <c r="H841" t="s">
        <v>27</v>
      </c>
      <c r="J841" t="s">
        <v>16</v>
      </c>
    </row>
    <row r="842" spans="1:10" x14ac:dyDescent="0.3">
      <c r="A842" t="s">
        <v>10</v>
      </c>
      <c r="B842">
        <v>50</v>
      </c>
      <c r="C842" t="s">
        <v>34</v>
      </c>
      <c r="D842" t="s">
        <v>11</v>
      </c>
      <c r="E842" t="s">
        <v>37</v>
      </c>
      <c r="F842" t="s">
        <v>39</v>
      </c>
      <c r="G842" s="1">
        <v>43195</v>
      </c>
      <c r="H842" t="s">
        <v>41</v>
      </c>
      <c r="J842" t="s">
        <v>33</v>
      </c>
    </row>
    <row r="843" spans="1:10" x14ac:dyDescent="0.3">
      <c r="A843" t="s">
        <v>49</v>
      </c>
      <c r="B843" t="s">
        <v>16</v>
      </c>
      <c r="C843">
        <v>55000</v>
      </c>
      <c r="D843" t="s">
        <v>36</v>
      </c>
      <c r="E843" t="s">
        <v>26</v>
      </c>
      <c r="F843" t="s">
        <v>43</v>
      </c>
      <c r="G843" s="2">
        <v>43881</v>
      </c>
      <c r="H843" t="s">
        <v>27</v>
      </c>
      <c r="I843" t="s">
        <v>16</v>
      </c>
      <c r="J843" t="s">
        <v>33</v>
      </c>
    </row>
    <row r="844" spans="1:10" x14ac:dyDescent="0.3">
      <c r="A844" t="s">
        <v>10</v>
      </c>
      <c r="B844" t="s">
        <v>16</v>
      </c>
      <c r="C844">
        <v>50000</v>
      </c>
      <c r="D844" t="s">
        <v>36</v>
      </c>
      <c r="E844" t="s">
        <v>19</v>
      </c>
      <c r="F844" t="s">
        <v>13</v>
      </c>
      <c r="G844" s="2">
        <v>43549</v>
      </c>
      <c r="H844" t="s">
        <v>27</v>
      </c>
      <c r="I844" t="s">
        <v>16</v>
      </c>
      <c r="J844" t="s">
        <v>45</v>
      </c>
    </row>
    <row r="845" spans="1:10" x14ac:dyDescent="0.3">
      <c r="A845" t="s">
        <v>38</v>
      </c>
      <c r="B845" t="s">
        <v>42</v>
      </c>
      <c r="C845">
        <v>70000</v>
      </c>
      <c r="D845" t="s">
        <v>11</v>
      </c>
      <c r="E845" t="s">
        <v>26</v>
      </c>
      <c r="F845" t="s">
        <v>13</v>
      </c>
      <c r="G845" s="2">
        <v>43881</v>
      </c>
      <c r="H845" t="s">
        <v>41</v>
      </c>
      <c r="I845" t="s">
        <v>16</v>
      </c>
      <c r="J845" t="s">
        <v>33</v>
      </c>
    </row>
    <row r="846" spans="1:10" x14ac:dyDescent="0.3">
      <c r="A846" t="s">
        <v>38</v>
      </c>
      <c r="B846">
        <v>25</v>
      </c>
      <c r="C846" t="s">
        <v>34</v>
      </c>
      <c r="D846" t="s">
        <v>11</v>
      </c>
      <c r="E846" t="s">
        <v>19</v>
      </c>
      <c r="F846" t="s">
        <v>43</v>
      </c>
      <c r="G846" s="2">
        <v>43845</v>
      </c>
      <c r="H846" t="s">
        <v>41</v>
      </c>
      <c r="I846" t="s">
        <v>22</v>
      </c>
      <c r="J846" t="s">
        <v>28</v>
      </c>
    </row>
    <row r="847" spans="1:10" x14ac:dyDescent="0.3">
      <c r="A847" t="s">
        <v>24</v>
      </c>
      <c r="B847">
        <v>35</v>
      </c>
      <c r="C847">
        <v>65000</v>
      </c>
      <c r="D847" t="s">
        <v>11</v>
      </c>
      <c r="E847" t="s">
        <v>26</v>
      </c>
      <c r="F847" t="s">
        <v>20</v>
      </c>
      <c r="G847" s="1">
        <v>43195</v>
      </c>
      <c r="H847" t="s">
        <v>21</v>
      </c>
      <c r="I847" t="s">
        <v>15</v>
      </c>
      <c r="J847" t="s">
        <v>23</v>
      </c>
    </row>
    <row r="848" spans="1:10" x14ac:dyDescent="0.3">
      <c r="A848" t="s">
        <v>29</v>
      </c>
      <c r="B848">
        <v>25</v>
      </c>
      <c r="C848">
        <v>50000</v>
      </c>
      <c r="D848" t="s">
        <v>18</v>
      </c>
      <c r="E848" t="s">
        <v>37</v>
      </c>
      <c r="F848" t="s">
        <v>43</v>
      </c>
      <c r="G848" s="2">
        <v>43881</v>
      </c>
      <c r="H848" t="s">
        <v>14</v>
      </c>
      <c r="I848" t="s">
        <v>15</v>
      </c>
      <c r="J848" t="s">
        <v>28</v>
      </c>
    </row>
    <row r="849" spans="1:10" x14ac:dyDescent="0.3">
      <c r="A849" t="s">
        <v>17</v>
      </c>
      <c r="B849" t="s">
        <v>16</v>
      </c>
      <c r="C849">
        <v>70000</v>
      </c>
      <c r="D849" t="s">
        <v>18</v>
      </c>
      <c r="E849" t="s">
        <v>30</v>
      </c>
      <c r="F849" t="s">
        <v>44</v>
      </c>
      <c r="G849" s="2">
        <v>43881</v>
      </c>
      <c r="H849" t="s">
        <v>31</v>
      </c>
      <c r="I849" t="s">
        <v>16</v>
      </c>
      <c r="J849" t="s">
        <v>45</v>
      </c>
    </row>
    <row r="850" spans="1:10" x14ac:dyDescent="0.3">
      <c r="A850" t="s">
        <v>24</v>
      </c>
      <c r="B850" t="s">
        <v>42</v>
      </c>
      <c r="C850">
        <v>65000</v>
      </c>
      <c r="D850" t="s">
        <v>18</v>
      </c>
      <c r="E850" t="s">
        <v>37</v>
      </c>
      <c r="F850" t="s">
        <v>43</v>
      </c>
      <c r="G850" s="2">
        <v>43881</v>
      </c>
      <c r="H850" t="s">
        <v>31</v>
      </c>
      <c r="J850" t="s">
        <v>45</v>
      </c>
    </row>
    <row r="851" spans="1:10" x14ac:dyDescent="0.3">
      <c r="A851" t="s">
        <v>46</v>
      </c>
      <c r="B851">
        <v>40</v>
      </c>
      <c r="C851" t="s">
        <v>25</v>
      </c>
      <c r="D851" t="s">
        <v>11</v>
      </c>
      <c r="E851" t="s">
        <v>12</v>
      </c>
      <c r="F851" t="s">
        <v>13</v>
      </c>
      <c r="G851" s="2">
        <v>43845</v>
      </c>
      <c r="H851" t="s">
        <v>27</v>
      </c>
      <c r="I851" t="s">
        <v>32</v>
      </c>
      <c r="J851" t="s">
        <v>23</v>
      </c>
    </row>
    <row r="852" spans="1:10" x14ac:dyDescent="0.3">
      <c r="A852" t="s">
        <v>47</v>
      </c>
      <c r="B852" t="s">
        <v>42</v>
      </c>
      <c r="C852">
        <v>65000</v>
      </c>
      <c r="D852" t="s">
        <v>36</v>
      </c>
      <c r="E852" t="s">
        <v>30</v>
      </c>
      <c r="F852" t="s">
        <v>43</v>
      </c>
      <c r="G852" s="2">
        <v>43549</v>
      </c>
      <c r="H852" t="s">
        <v>21</v>
      </c>
      <c r="I852" t="s">
        <v>16</v>
      </c>
      <c r="J852" t="s">
        <v>33</v>
      </c>
    </row>
    <row r="853" spans="1:10" x14ac:dyDescent="0.3">
      <c r="A853" t="s">
        <v>17</v>
      </c>
      <c r="B853" t="s">
        <v>16</v>
      </c>
      <c r="C853">
        <v>55000</v>
      </c>
      <c r="D853" t="s">
        <v>11</v>
      </c>
      <c r="E853" t="s">
        <v>37</v>
      </c>
      <c r="F853" t="s">
        <v>39</v>
      </c>
      <c r="G853" s="2">
        <v>43881</v>
      </c>
      <c r="H853" t="s">
        <v>27</v>
      </c>
      <c r="J853" t="s">
        <v>16</v>
      </c>
    </row>
    <row r="854" spans="1:10" x14ac:dyDescent="0.3">
      <c r="A854" t="s">
        <v>17</v>
      </c>
      <c r="B854" t="s">
        <v>42</v>
      </c>
      <c r="C854">
        <v>55000</v>
      </c>
      <c r="D854" t="s">
        <v>18</v>
      </c>
      <c r="E854" t="s">
        <v>12</v>
      </c>
      <c r="F854" t="s">
        <v>44</v>
      </c>
      <c r="G854" s="2">
        <v>43845</v>
      </c>
      <c r="H854" t="s">
        <v>31</v>
      </c>
      <c r="J854" t="s">
        <v>45</v>
      </c>
    </row>
    <row r="855" spans="1:10" x14ac:dyDescent="0.3">
      <c r="A855" t="s">
        <v>46</v>
      </c>
      <c r="B855" t="s">
        <v>42</v>
      </c>
      <c r="C855" t="s">
        <v>25</v>
      </c>
      <c r="D855" t="s">
        <v>18</v>
      </c>
      <c r="E855" t="s">
        <v>19</v>
      </c>
      <c r="F855" t="s">
        <v>43</v>
      </c>
      <c r="G855" s="1">
        <v>43195</v>
      </c>
      <c r="H855" t="s">
        <v>41</v>
      </c>
      <c r="I855" t="s">
        <v>22</v>
      </c>
      <c r="J855" t="s">
        <v>23</v>
      </c>
    </row>
    <row r="856" spans="1:10" x14ac:dyDescent="0.3">
      <c r="A856" t="s">
        <v>46</v>
      </c>
      <c r="B856" t="s">
        <v>16</v>
      </c>
      <c r="C856">
        <v>50000</v>
      </c>
      <c r="D856" t="s">
        <v>11</v>
      </c>
      <c r="E856" t="s">
        <v>19</v>
      </c>
      <c r="F856" t="s">
        <v>13</v>
      </c>
      <c r="G856" t="s">
        <v>40</v>
      </c>
      <c r="H856" t="s">
        <v>14</v>
      </c>
      <c r="I856" t="s">
        <v>22</v>
      </c>
      <c r="J856" t="s">
        <v>16</v>
      </c>
    </row>
    <row r="857" spans="1:10" x14ac:dyDescent="0.3">
      <c r="A857" t="s">
        <v>48</v>
      </c>
      <c r="B857">
        <v>50</v>
      </c>
      <c r="C857">
        <v>70000</v>
      </c>
      <c r="D857" t="s">
        <v>11</v>
      </c>
      <c r="E857" t="s">
        <v>26</v>
      </c>
      <c r="F857" t="s">
        <v>44</v>
      </c>
      <c r="G857" s="2">
        <v>43845</v>
      </c>
      <c r="H857" t="s">
        <v>21</v>
      </c>
      <c r="I857" t="s">
        <v>15</v>
      </c>
      <c r="J857" t="s">
        <v>33</v>
      </c>
    </row>
    <row r="858" spans="1:10" x14ac:dyDescent="0.3">
      <c r="A858" t="s">
        <v>24</v>
      </c>
      <c r="B858" t="s">
        <v>42</v>
      </c>
      <c r="C858">
        <v>65000</v>
      </c>
      <c r="D858" t="s">
        <v>18</v>
      </c>
      <c r="E858" t="s">
        <v>30</v>
      </c>
      <c r="F858" t="s">
        <v>13</v>
      </c>
      <c r="G858" t="s">
        <v>40</v>
      </c>
      <c r="H858" t="s">
        <v>41</v>
      </c>
      <c r="I858" t="s">
        <v>15</v>
      </c>
      <c r="J858" t="s">
        <v>45</v>
      </c>
    </row>
    <row r="859" spans="1:10" x14ac:dyDescent="0.3">
      <c r="A859" t="s">
        <v>46</v>
      </c>
      <c r="B859">
        <v>35</v>
      </c>
      <c r="C859">
        <v>55000</v>
      </c>
      <c r="D859" t="s">
        <v>18</v>
      </c>
      <c r="E859" t="s">
        <v>19</v>
      </c>
      <c r="F859" t="s">
        <v>20</v>
      </c>
      <c r="G859" s="2">
        <v>43881</v>
      </c>
      <c r="H859" t="s">
        <v>14</v>
      </c>
      <c r="I859" t="s">
        <v>32</v>
      </c>
      <c r="J859" t="s">
        <v>23</v>
      </c>
    </row>
    <row r="860" spans="1:10" x14ac:dyDescent="0.3">
      <c r="A860" t="s">
        <v>38</v>
      </c>
      <c r="B860">
        <v>35</v>
      </c>
      <c r="C860">
        <v>50000</v>
      </c>
      <c r="D860" t="s">
        <v>18</v>
      </c>
      <c r="E860" t="s">
        <v>30</v>
      </c>
      <c r="F860" t="s">
        <v>39</v>
      </c>
      <c r="G860" s="2">
        <v>43881</v>
      </c>
      <c r="H860" t="s">
        <v>21</v>
      </c>
      <c r="I860" t="s">
        <v>32</v>
      </c>
      <c r="J860" t="s">
        <v>23</v>
      </c>
    </row>
    <row r="861" spans="1:10" x14ac:dyDescent="0.3">
      <c r="A861" t="s">
        <v>49</v>
      </c>
      <c r="B861" t="s">
        <v>42</v>
      </c>
      <c r="C861" t="s">
        <v>25</v>
      </c>
      <c r="D861" t="s">
        <v>11</v>
      </c>
      <c r="E861" t="s">
        <v>19</v>
      </c>
      <c r="F861" t="s">
        <v>20</v>
      </c>
      <c r="G861" s="2">
        <v>43845</v>
      </c>
      <c r="H861" t="s">
        <v>21</v>
      </c>
      <c r="I861" t="s">
        <v>32</v>
      </c>
      <c r="J861" t="s">
        <v>23</v>
      </c>
    </row>
    <row r="862" spans="1:10" x14ac:dyDescent="0.3">
      <c r="A862" t="s">
        <v>47</v>
      </c>
      <c r="B862">
        <v>50</v>
      </c>
      <c r="C862" t="s">
        <v>34</v>
      </c>
      <c r="D862" t="s">
        <v>18</v>
      </c>
      <c r="E862" t="s">
        <v>26</v>
      </c>
      <c r="F862" t="s">
        <v>39</v>
      </c>
      <c r="G862" t="s">
        <v>40</v>
      </c>
      <c r="H862" t="s">
        <v>31</v>
      </c>
      <c r="I862" t="s">
        <v>32</v>
      </c>
      <c r="J862" t="s">
        <v>45</v>
      </c>
    </row>
    <row r="863" spans="1:10" x14ac:dyDescent="0.3">
      <c r="A863" t="s">
        <v>24</v>
      </c>
      <c r="B863">
        <v>40</v>
      </c>
      <c r="C863">
        <v>55000</v>
      </c>
      <c r="D863" t="s">
        <v>18</v>
      </c>
      <c r="E863" t="s">
        <v>37</v>
      </c>
      <c r="F863" t="s">
        <v>43</v>
      </c>
      <c r="G863" s="2">
        <v>43881</v>
      </c>
      <c r="H863" t="s">
        <v>41</v>
      </c>
      <c r="J863" t="s">
        <v>16</v>
      </c>
    </row>
    <row r="864" spans="1:10" x14ac:dyDescent="0.3">
      <c r="A864" t="s">
        <v>35</v>
      </c>
      <c r="B864" t="s">
        <v>16</v>
      </c>
      <c r="C864" t="s">
        <v>25</v>
      </c>
      <c r="D864" t="s">
        <v>36</v>
      </c>
      <c r="E864" t="s">
        <v>26</v>
      </c>
      <c r="F864" t="s">
        <v>44</v>
      </c>
      <c r="G864" s="1">
        <v>43195</v>
      </c>
      <c r="H864" t="s">
        <v>21</v>
      </c>
      <c r="J864" t="s">
        <v>23</v>
      </c>
    </row>
    <row r="865" spans="1:10" x14ac:dyDescent="0.3">
      <c r="A865" t="s">
        <v>38</v>
      </c>
      <c r="B865">
        <v>35</v>
      </c>
      <c r="C865">
        <v>65000</v>
      </c>
      <c r="D865" t="s">
        <v>11</v>
      </c>
      <c r="E865" t="s">
        <v>12</v>
      </c>
      <c r="F865" t="s">
        <v>43</v>
      </c>
      <c r="G865" s="2">
        <v>43549</v>
      </c>
      <c r="H865" t="s">
        <v>21</v>
      </c>
      <c r="I865" t="s">
        <v>15</v>
      </c>
      <c r="J865" t="s">
        <v>33</v>
      </c>
    </row>
    <row r="866" spans="1:10" x14ac:dyDescent="0.3">
      <c r="A866" t="s">
        <v>29</v>
      </c>
      <c r="B866">
        <v>40</v>
      </c>
      <c r="C866">
        <v>70000</v>
      </c>
      <c r="D866" t="s">
        <v>36</v>
      </c>
      <c r="E866" t="s">
        <v>19</v>
      </c>
      <c r="F866" t="s">
        <v>39</v>
      </c>
      <c r="G866" s="2">
        <v>43549</v>
      </c>
      <c r="H866" t="s">
        <v>14</v>
      </c>
      <c r="I866" t="s">
        <v>22</v>
      </c>
      <c r="J866" t="s">
        <v>23</v>
      </c>
    </row>
    <row r="867" spans="1:10" x14ac:dyDescent="0.3">
      <c r="A867" t="s">
        <v>46</v>
      </c>
      <c r="B867" t="s">
        <v>42</v>
      </c>
      <c r="C867">
        <v>55000</v>
      </c>
      <c r="D867" t="s">
        <v>36</v>
      </c>
      <c r="E867" t="s">
        <v>12</v>
      </c>
      <c r="F867" t="s">
        <v>39</v>
      </c>
      <c r="G867" s="2">
        <v>43881</v>
      </c>
      <c r="H867" t="s">
        <v>31</v>
      </c>
      <c r="I867" t="s">
        <v>22</v>
      </c>
      <c r="J867" t="s">
        <v>16</v>
      </c>
    </row>
    <row r="868" spans="1:10" x14ac:dyDescent="0.3">
      <c r="A868" t="s">
        <v>35</v>
      </c>
      <c r="B868">
        <v>40</v>
      </c>
      <c r="C868">
        <v>55000</v>
      </c>
      <c r="D868" t="s">
        <v>18</v>
      </c>
      <c r="E868" t="s">
        <v>12</v>
      </c>
      <c r="F868" t="s">
        <v>39</v>
      </c>
      <c r="G868" t="s">
        <v>40</v>
      </c>
      <c r="H868" t="s">
        <v>27</v>
      </c>
      <c r="I868" t="s">
        <v>16</v>
      </c>
      <c r="J868" t="s">
        <v>45</v>
      </c>
    </row>
    <row r="869" spans="1:10" x14ac:dyDescent="0.3">
      <c r="A869" t="s">
        <v>46</v>
      </c>
      <c r="B869">
        <v>25</v>
      </c>
      <c r="C869">
        <v>65000</v>
      </c>
      <c r="D869" t="s">
        <v>11</v>
      </c>
      <c r="E869" t="s">
        <v>30</v>
      </c>
      <c r="F869" t="s">
        <v>13</v>
      </c>
      <c r="G869" s="2">
        <v>43881</v>
      </c>
      <c r="H869" t="s">
        <v>31</v>
      </c>
      <c r="J869" t="s">
        <v>23</v>
      </c>
    </row>
    <row r="870" spans="1:10" x14ac:dyDescent="0.3">
      <c r="A870" t="s">
        <v>17</v>
      </c>
      <c r="B870">
        <v>35</v>
      </c>
      <c r="C870" t="s">
        <v>34</v>
      </c>
      <c r="D870" t="s">
        <v>18</v>
      </c>
      <c r="E870" t="s">
        <v>19</v>
      </c>
      <c r="F870" t="s">
        <v>44</v>
      </c>
      <c r="G870" t="s">
        <v>40</v>
      </c>
      <c r="H870" t="s">
        <v>27</v>
      </c>
      <c r="I870" t="s">
        <v>32</v>
      </c>
      <c r="J870" t="s">
        <v>23</v>
      </c>
    </row>
    <row r="871" spans="1:10" x14ac:dyDescent="0.3">
      <c r="A871" t="s">
        <v>38</v>
      </c>
      <c r="B871" t="s">
        <v>42</v>
      </c>
      <c r="C871">
        <v>50000</v>
      </c>
      <c r="D871" t="s">
        <v>11</v>
      </c>
      <c r="E871" t="s">
        <v>12</v>
      </c>
      <c r="F871" t="s">
        <v>43</v>
      </c>
      <c r="G871" s="1">
        <v>43195</v>
      </c>
      <c r="H871" t="s">
        <v>41</v>
      </c>
      <c r="I871" t="s">
        <v>32</v>
      </c>
      <c r="J871" t="s">
        <v>33</v>
      </c>
    </row>
    <row r="872" spans="1:10" x14ac:dyDescent="0.3">
      <c r="A872" t="s">
        <v>17</v>
      </c>
      <c r="B872" t="s">
        <v>16</v>
      </c>
      <c r="C872">
        <v>70000</v>
      </c>
      <c r="D872" t="s">
        <v>36</v>
      </c>
      <c r="E872" t="s">
        <v>37</v>
      </c>
      <c r="F872" t="s">
        <v>43</v>
      </c>
      <c r="G872" t="s">
        <v>40</v>
      </c>
      <c r="H872" t="s">
        <v>41</v>
      </c>
      <c r="I872" t="s">
        <v>16</v>
      </c>
      <c r="J872" t="s">
        <v>33</v>
      </c>
    </row>
    <row r="873" spans="1:10" x14ac:dyDescent="0.3">
      <c r="A873" t="s">
        <v>48</v>
      </c>
      <c r="B873">
        <v>50</v>
      </c>
      <c r="C873">
        <v>55000</v>
      </c>
      <c r="D873" t="s">
        <v>11</v>
      </c>
      <c r="E873" t="s">
        <v>12</v>
      </c>
      <c r="F873" t="s">
        <v>20</v>
      </c>
      <c r="G873" s="2">
        <v>43881</v>
      </c>
      <c r="H873" t="s">
        <v>21</v>
      </c>
      <c r="I873" t="s">
        <v>22</v>
      </c>
      <c r="J873" t="s">
        <v>23</v>
      </c>
    </row>
    <row r="874" spans="1:10" x14ac:dyDescent="0.3">
      <c r="A874" t="s">
        <v>17</v>
      </c>
      <c r="B874" t="s">
        <v>42</v>
      </c>
      <c r="C874">
        <v>70000</v>
      </c>
      <c r="D874" t="s">
        <v>18</v>
      </c>
      <c r="E874" t="s">
        <v>37</v>
      </c>
      <c r="F874" t="s">
        <v>39</v>
      </c>
      <c r="G874" s="1">
        <v>43195</v>
      </c>
      <c r="H874" t="s">
        <v>41</v>
      </c>
      <c r="I874" t="s">
        <v>32</v>
      </c>
      <c r="J874" t="s">
        <v>23</v>
      </c>
    </row>
    <row r="875" spans="1:10" x14ac:dyDescent="0.3">
      <c r="A875" t="s">
        <v>48</v>
      </c>
      <c r="B875" t="s">
        <v>16</v>
      </c>
      <c r="C875">
        <v>55000</v>
      </c>
      <c r="D875" t="s">
        <v>18</v>
      </c>
      <c r="E875" t="s">
        <v>30</v>
      </c>
      <c r="F875" t="s">
        <v>39</v>
      </c>
      <c r="G875" s="2">
        <v>43845</v>
      </c>
      <c r="H875" t="s">
        <v>21</v>
      </c>
      <c r="I875" t="s">
        <v>22</v>
      </c>
      <c r="J875" t="s">
        <v>33</v>
      </c>
    </row>
    <row r="876" spans="1:10" x14ac:dyDescent="0.3">
      <c r="A876" t="s">
        <v>48</v>
      </c>
      <c r="B876">
        <v>50</v>
      </c>
      <c r="C876">
        <v>70000</v>
      </c>
      <c r="D876" t="s">
        <v>18</v>
      </c>
      <c r="E876" t="s">
        <v>12</v>
      </c>
      <c r="F876" t="s">
        <v>39</v>
      </c>
      <c r="G876" s="2">
        <v>43549</v>
      </c>
      <c r="H876" t="s">
        <v>31</v>
      </c>
      <c r="I876" t="s">
        <v>16</v>
      </c>
      <c r="J876" t="s">
        <v>16</v>
      </c>
    </row>
    <row r="877" spans="1:10" x14ac:dyDescent="0.3">
      <c r="A877" t="s">
        <v>35</v>
      </c>
      <c r="B877">
        <v>50</v>
      </c>
      <c r="C877" t="s">
        <v>25</v>
      </c>
      <c r="D877" t="s">
        <v>11</v>
      </c>
      <c r="E877" t="s">
        <v>26</v>
      </c>
      <c r="F877" t="s">
        <v>43</v>
      </c>
      <c r="G877" s="2">
        <v>43881</v>
      </c>
      <c r="H877" t="s">
        <v>41</v>
      </c>
      <c r="I877" t="s">
        <v>22</v>
      </c>
      <c r="J877" t="s">
        <v>28</v>
      </c>
    </row>
    <row r="878" spans="1:10" x14ac:dyDescent="0.3">
      <c r="A878" t="s">
        <v>46</v>
      </c>
      <c r="B878" t="s">
        <v>42</v>
      </c>
      <c r="C878">
        <v>55000</v>
      </c>
      <c r="D878" t="s">
        <v>36</v>
      </c>
      <c r="E878" t="s">
        <v>30</v>
      </c>
      <c r="F878" t="s">
        <v>20</v>
      </c>
      <c r="G878" s="2">
        <v>43881</v>
      </c>
      <c r="H878" t="s">
        <v>31</v>
      </c>
      <c r="I878" t="s">
        <v>22</v>
      </c>
      <c r="J878" t="s">
        <v>28</v>
      </c>
    </row>
    <row r="879" spans="1:10" x14ac:dyDescent="0.3">
      <c r="A879" t="s">
        <v>29</v>
      </c>
      <c r="B879">
        <v>40</v>
      </c>
      <c r="C879">
        <v>70000</v>
      </c>
      <c r="D879" t="s">
        <v>36</v>
      </c>
      <c r="E879" t="s">
        <v>37</v>
      </c>
      <c r="F879" t="s">
        <v>13</v>
      </c>
      <c r="G879" s="2">
        <v>43881</v>
      </c>
      <c r="H879" t="s">
        <v>31</v>
      </c>
      <c r="I879" t="s">
        <v>22</v>
      </c>
      <c r="J879" t="s">
        <v>23</v>
      </c>
    </row>
    <row r="880" spans="1:10" x14ac:dyDescent="0.3">
      <c r="A880" t="s">
        <v>17</v>
      </c>
      <c r="B880">
        <v>40</v>
      </c>
      <c r="C880">
        <v>50000</v>
      </c>
      <c r="D880" t="s">
        <v>11</v>
      </c>
      <c r="E880" t="s">
        <v>30</v>
      </c>
      <c r="F880" t="s">
        <v>44</v>
      </c>
      <c r="G880" s="1">
        <v>43195</v>
      </c>
      <c r="H880" t="s">
        <v>41</v>
      </c>
      <c r="I880" t="s">
        <v>32</v>
      </c>
      <c r="J880" t="s">
        <v>33</v>
      </c>
    </row>
    <row r="881" spans="1:10" x14ac:dyDescent="0.3">
      <c r="A881" t="s">
        <v>38</v>
      </c>
      <c r="B881">
        <v>50</v>
      </c>
      <c r="C881" t="s">
        <v>25</v>
      </c>
      <c r="D881" t="s">
        <v>18</v>
      </c>
      <c r="E881" t="s">
        <v>12</v>
      </c>
      <c r="F881" t="s">
        <v>13</v>
      </c>
      <c r="G881" s="2">
        <v>43845</v>
      </c>
      <c r="H881" t="s">
        <v>31</v>
      </c>
      <c r="I881" t="s">
        <v>15</v>
      </c>
      <c r="J881" t="s">
        <v>45</v>
      </c>
    </row>
    <row r="882" spans="1:10" x14ac:dyDescent="0.3">
      <c r="A882" t="s">
        <v>48</v>
      </c>
      <c r="B882">
        <v>40</v>
      </c>
      <c r="C882" t="s">
        <v>25</v>
      </c>
      <c r="D882" t="s">
        <v>36</v>
      </c>
      <c r="E882" t="s">
        <v>19</v>
      </c>
      <c r="F882" t="s">
        <v>43</v>
      </c>
      <c r="G882" t="s">
        <v>40</v>
      </c>
      <c r="H882" t="s">
        <v>41</v>
      </c>
      <c r="J882" t="s">
        <v>45</v>
      </c>
    </row>
    <row r="883" spans="1:10" x14ac:dyDescent="0.3">
      <c r="A883" t="s">
        <v>46</v>
      </c>
      <c r="B883">
        <v>25</v>
      </c>
      <c r="C883">
        <v>50000</v>
      </c>
      <c r="D883" t="s">
        <v>18</v>
      </c>
      <c r="E883" t="s">
        <v>19</v>
      </c>
      <c r="F883" t="s">
        <v>39</v>
      </c>
      <c r="G883" s="2">
        <v>43845</v>
      </c>
      <c r="H883" t="s">
        <v>41</v>
      </c>
      <c r="I883" t="s">
        <v>22</v>
      </c>
      <c r="J883" t="s">
        <v>28</v>
      </c>
    </row>
    <row r="884" spans="1:10" x14ac:dyDescent="0.3">
      <c r="A884" t="s">
        <v>47</v>
      </c>
      <c r="B884">
        <v>50</v>
      </c>
      <c r="C884">
        <v>70000</v>
      </c>
      <c r="D884" t="s">
        <v>11</v>
      </c>
      <c r="E884" t="s">
        <v>37</v>
      </c>
      <c r="F884" t="s">
        <v>44</v>
      </c>
      <c r="G884" s="1">
        <v>43195</v>
      </c>
      <c r="H884" t="s">
        <v>41</v>
      </c>
      <c r="I884" t="s">
        <v>22</v>
      </c>
      <c r="J884" t="s">
        <v>16</v>
      </c>
    </row>
    <row r="885" spans="1:10" x14ac:dyDescent="0.3">
      <c r="A885" t="s">
        <v>24</v>
      </c>
      <c r="B885">
        <v>50</v>
      </c>
      <c r="C885">
        <v>65000</v>
      </c>
      <c r="D885" t="s">
        <v>18</v>
      </c>
      <c r="E885" t="s">
        <v>37</v>
      </c>
      <c r="F885" t="s">
        <v>43</v>
      </c>
      <c r="G885" s="2">
        <v>43881</v>
      </c>
      <c r="H885" t="s">
        <v>27</v>
      </c>
      <c r="I885" t="s">
        <v>22</v>
      </c>
      <c r="J885" t="s">
        <v>28</v>
      </c>
    </row>
    <row r="886" spans="1:10" x14ac:dyDescent="0.3">
      <c r="A886" t="s">
        <v>35</v>
      </c>
      <c r="B886" t="s">
        <v>16</v>
      </c>
      <c r="C886">
        <v>50000</v>
      </c>
      <c r="D886" t="s">
        <v>36</v>
      </c>
      <c r="E886" t="s">
        <v>19</v>
      </c>
      <c r="F886" t="s">
        <v>43</v>
      </c>
      <c r="G886" s="2">
        <v>43549</v>
      </c>
      <c r="H886" t="s">
        <v>31</v>
      </c>
      <c r="I886" t="s">
        <v>15</v>
      </c>
      <c r="J886" t="s">
        <v>23</v>
      </c>
    </row>
    <row r="887" spans="1:10" x14ac:dyDescent="0.3">
      <c r="A887" t="s">
        <v>29</v>
      </c>
      <c r="B887">
        <v>40</v>
      </c>
      <c r="C887">
        <v>70000</v>
      </c>
      <c r="D887" t="s">
        <v>36</v>
      </c>
      <c r="E887" t="s">
        <v>37</v>
      </c>
      <c r="F887" t="s">
        <v>43</v>
      </c>
      <c r="G887" s="2">
        <v>43881</v>
      </c>
      <c r="H887" t="s">
        <v>14</v>
      </c>
      <c r="I887" t="s">
        <v>16</v>
      </c>
      <c r="J887" t="s">
        <v>16</v>
      </c>
    </row>
    <row r="888" spans="1:10" x14ac:dyDescent="0.3">
      <c r="A888" t="s">
        <v>10</v>
      </c>
      <c r="B888">
        <v>50</v>
      </c>
      <c r="C888">
        <v>50000</v>
      </c>
      <c r="D888" t="s">
        <v>18</v>
      </c>
      <c r="E888" t="s">
        <v>30</v>
      </c>
      <c r="F888" t="s">
        <v>44</v>
      </c>
      <c r="G888" t="s">
        <v>40</v>
      </c>
      <c r="H888" t="s">
        <v>41</v>
      </c>
      <c r="I888" t="s">
        <v>32</v>
      </c>
      <c r="J888" t="s">
        <v>45</v>
      </c>
    </row>
    <row r="889" spans="1:10" x14ac:dyDescent="0.3">
      <c r="A889" t="s">
        <v>35</v>
      </c>
      <c r="B889">
        <v>25</v>
      </c>
      <c r="C889">
        <v>50000</v>
      </c>
      <c r="D889" t="s">
        <v>11</v>
      </c>
      <c r="E889" t="s">
        <v>26</v>
      </c>
      <c r="F889" t="s">
        <v>44</v>
      </c>
      <c r="G889" s="2">
        <v>43549</v>
      </c>
      <c r="H889" t="s">
        <v>31</v>
      </c>
      <c r="I889" t="s">
        <v>15</v>
      </c>
      <c r="J889" t="s">
        <v>33</v>
      </c>
    </row>
    <row r="890" spans="1:10" x14ac:dyDescent="0.3">
      <c r="A890" t="s">
        <v>47</v>
      </c>
      <c r="B890" t="s">
        <v>16</v>
      </c>
      <c r="C890">
        <v>55000</v>
      </c>
      <c r="D890" t="s">
        <v>18</v>
      </c>
      <c r="E890" t="s">
        <v>26</v>
      </c>
      <c r="F890" t="s">
        <v>20</v>
      </c>
      <c r="G890" s="2">
        <v>43881</v>
      </c>
      <c r="H890" t="s">
        <v>21</v>
      </c>
      <c r="I890" t="s">
        <v>22</v>
      </c>
      <c r="J890" t="s">
        <v>33</v>
      </c>
    </row>
    <row r="891" spans="1:10" x14ac:dyDescent="0.3">
      <c r="A891" t="s">
        <v>24</v>
      </c>
      <c r="B891" t="s">
        <v>42</v>
      </c>
      <c r="C891">
        <v>70000</v>
      </c>
      <c r="D891" t="s">
        <v>11</v>
      </c>
      <c r="E891" t="s">
        <v>30</v>
      </c>
      <c r="F891" t="s">
        <v>20</v>
      </c>
      <c r="G891" s="2">
        <v>43549</v>
      </c>
      <c r="H891" t="s">
        <v>41</v>
      </c>
      <c r="I891" t="s">
        <v>15</v>
      </c>
      <c r="J891" t="s">
        <v>23</v>
      </c>
    </row>
    <row r="892" spans="1:10" x14ac:dyDescent="0.3">
      <c r="A892" t="s">
        <v>47</v>
      </c>
      <c r="B892">
        <v>50</v>
      </c>
      <c r="C892">
        <v>65000</v>
      </c>
      <c r="D892" t="s">
        <v>18</v>
      </c>
      <c r="E892" t="s">
        <v>26</v>
      </c>
      <c r="F892" t="s">
        <v>13</v>
      </c>
      <c r="G892" s="2">
        <v>43845</v>
      </c>
      <c r="H892" t="s">
        <v>41</v>
      </c>
      <c r="I892" t="s">
        <v>15</v>
      </c>
      <c r="J892" t="s">
        <v>28</v>
      </c>
    </row>
    <row r="893" spans="1:10" x14ac:dyDescent="0.3">
      <c r="A893" t="s">
        <v>17</v>
      </c>
      <c r="B893">
        <v>25</v>
      </c>
      <c r="C893">
        <v>55000</v>
      </c>
      <c r="D893" t="s">
        <v>36</v>
      </c>
      <c r="E893" t="s">
        <v>12</v>
      </c>
      <c r="F893" t="s">
        <v>44</v>
      </c>
      <c r="G893" s="1">
        <v>43195</v>
      </c>
      <c r="H893" t="s">
        <v>14</v>
      </c>
      <c r="I893" t="s">
        <v>15</v>
      </c>
      <c r="J893" t="s">
        <v>23</v>
      </c>
    </row>
    <row r="894" spans="1:10" x14ac:dyDescent="0.3">
      <c r="A894" t="s">
        <v>48</v>
      </c>
      <c r="B894">
        <v>35</v>
      </c>
      <c r="C894">
        <v>50000</v>
      </c>
      <c r="D894" t="s">
        <v>11</v>
      </c>
      <c r="E894" t="s">
        <v>30</v>
      </c>
      <c r="F894" t="s">
        <v>44</v>
      </c>
      <c r="G894" s="2">
        <v>43881</v>
      </c>
      <c r="H894" t="s">
        <v>27</v>
      </c>
      <c r="I894" t="s">
        <v>16</v>
      </c>
      <c r="J894" t="s">
        <v>33</v>
      </c>
    </row>
    <row r="895" spans="1:10" x14ac:dyDescent="0.3">
      <c r="A895" t="s">
        <v>29</v>
      </c>
      <c r="B895">
        <v>25</v>
      </c>
      <c r="C895" t="s">
        <v>34</v>
      </c>
      <c r="D895" t="s">
        <v>11</v>
      </c>
      <c r="E895" t="s">
        <v>37</v>
      </c>
      <c r="F895" t="s">
        <v>44</v>
      </c>
      <c r="G895" t="s">
        <v>40</v>
      </c>
      <c r="H895" t="s">
        <v>27</v>
      </c>
      <c r="J895" t="s">
        <v>45</v>
      </c>
    </row>
    <row r="896" spans="1:10" x14ac:dyDescent="0.3">
      <c r="A896" t="s">
        <v>49</v>
      </c>
      <c r="B896">
        <v>25</v>
      </c>
      <c r="C896">
        <v>50000</v>
      </c>
      <c r="D896" t="s">
        <v>11</v>
      </c>
      <c r="E896" t="s">
        <v>30</v>
      </c>
      <c r="F896" t="s">
        <v>20</v>
      </c>
      <c r="G896" s="2">
        <v>43845</v>
      </c>
      <c r="H896" t="s">
        <v>41</v>
      </c>
      <c r="I896" t="s">
        <v>32</v>
      </c>
      <c r="J896" t="s">
        <v>33</v>
      </c>
    </row>
    <row r="897" spans="1:10" x14ac:dyDescent="0.3">
      <c r="A897" t="s">
        <v>48</v>
      </c>
      <c r="B897" t="s">
        <v>16</v>
      </c>
      <c r="C897">
        <v>50000</v>
      </c>
      <c r="D897" t="s">
        <v>36</v>
      </c>
      <c r="E897" t="s">
        <v>19</v>
      </c>
      <c r="F897" t="s">
        <v>43</v>
      </c>
      <c r="G897" s="2">
        <v>43881</v>
      </c>
      <c r="H897" t="s">
        <v>31</v>
      </c>
      <c r="I897" t="s">
        <v>16</v>
      </c>
      <c r="J897" t="s">
        <v>16</v>
      </c>
    </row>
    <row r="898" spans="1:10" x14ac:dyDescent="0.3">
      <c r="A898" t="s">
        <v>49</v>
      </c>
      <c r="B898" t="s">
        <v>42</v>
      </c>
      <c r="C898">
        <v>70000</v>
      </c>
      <c r="D898" t="s">
        <v>18</v>
      </c>
      <c r="E898" t="s">
        <v>37</v>
      </c>
      <c r="F898" t="s">
        <v>39</v>
      </c>
      <c r="G898" s="2">
        <v>43845</v>
      </c>
      <c r="H898" t="s">
        <v>21</v>
      </c>
      <c r="I898" t="s">
        <v>16</v>
      </c>
      <c r="J898" t="s">
        <v>33</v>
      </c>
    </row>
    <row r="899" spans="1:10" x14ac:dyDescent="0.3">
      <c r="A899" t="s">
        <v>24</v>
      </c>
      <c r="B899">
        <v>35</v>
      </c>
      <c r="C899">
        <v>70000</v>
      </c>
      <c r="D899" t="s">
        <v>36</v>
      </c>
      <c r="E899" t="s">
        <v>19</v>
      </c>
      <c r="F899" t="s">
        <v>20</v>
      </c>
      <c r="G899" t="s">
        <v>40</v>
      </c>
      <c r="H899" t="s">
        <v>21</v>
      </c>
      <c r="J899" t="s">
        <v>33</v>
      </c>
    </row>
    <row r="900" spans="1:10" x14ac:dyDescent="0.3">
      <c r="A900" t="s">
        <v>46</v>
      </c>
      <c r="B900">
        <v>40</v>
      </c>
      <c r="C900">
        <v>55000</v>
      </c>
      <c r="D900" t="s">
        <v>11</v>
      </c>
      <c r="E900" t="s">
        <v>37</v>
      </c>
      <c r="F900" t="s">
        <v>44</v>
      </c>
      <c r="G900" s="2">
        <v>43881</v>
      </c>
      <c r="H900" t="s">
        <v>31</v>
      </c>
      <c r="I900" t="s">
        <v>16</v>
      </c>
      <c r="J900" t="s">
        <v>16</v>
      </c>
    </row>
    <row r="901" spans="1:10" x14ac:dyDescent="0.3">
      <c r="A901" t="s">
        <v>10</v>
      </c>
      <c r="B901">
        <v>40</v>
      </c>
      <c r="C901">
        <v>65000</v>
      </c>
      <c r="D901" t="s">
        <v>18</v>
      </c>
      <c r="E901" t="s">
        <v>26</v>
      </c>
      <c r="F901" t="s">
        <v>20</v>
      </c>
      <c r="G901" t="s">
        <v>40</v>
      </c>
      <c r="H901" t="s">
        <v>41</v>
      </c>
      <c r="I901" t="s">
        <v>15</v>
      </c>
      <c r="J901" t="s">
        <v>28</v>
      </c>
    </row>
    <row r="902" spans="1:10" x14ac:dyDescent="0.3">
      <c r="A902" t="s">
        <v>38</v>
      </c>
      <c r="B902">
        <v>25</v>
      </c>
      <c r="C902">
        <v>55000</v>
      </c>
      <c r="D902" t="s">
        <v>36</v>
      </c>
      <c r="E902" t="s">
        <v>30</v>
      </c>
      <c r="F902" t="s">
        <v>13</v>
      </c>
      <c r="G902" s="2">
        <v>43549</v>
      </c>
      <c r="H902" t="s">
        <v>21</v>
      </c>
      <c r="I902" t="s">
        <v>15</v>
      </c>
      <c r="J902" t="s">
        <v>33</v>
      </c>
    </row>
    <row r="903" spans="1:10" x14ac:dyDescent="0.3">
      <c r="A903" t="s">
        <v>48</v>
      </c>
      <c r="B903" t="s">
        <v>16</v>
      </c>
      <c r="C903" t="s">
        <v>25</v>
      </c>
      <c r="D903" t="s">
        <v>11</v>
      </c>
      <c r="E903" t="s">
        <v>12</v>
      </c>
      <c r="F903" t="s">
        <v>44</v>
      </c>
      <c r="G903" t="s">
        <v>40</v>
      </c>
      <c r="H903" t="s">
        <v>27</v>
      </c>
      <c r="I903" t="s">
        <v>22</v>
      </c>
      <c r="J903" t="s">
        <v>23</v>
      </c>
    </row>
    <row r="904" spans="1:10" x14ac:dyDescent="0.3">
      <c r="A904" t="s">
        <v>29</v>
      </c>
      <c r="B904" t="s">
        <v>16</v>
      </c>
      <c r="C904">
        <v>50000</v>
      </c>
      <c r="D904" t="s">
        <v>11</v>
      </c>
      <c r="E904" t="s">
        <v>37</v>
      </c>
      <c r="F904" t="s">
        <v>13</v>
      </c>
      <c r="G904" s="2">
        <v>43549</v>
      </c>
      <c r="H904" t="s">
        <v>31</v>
      </c>
      <c r="I904" t="s">
        <v>16</v>
      </c>
      <c r="J904" t="s">
        <v>33</v>
      </c>
    </row>
    <row r="905" spans="1:10" x14ac:dyDescent="0.3">
      <c r="A905" t="s">
        <v>47</v>
      </c>
      <c r="B905">
        <v>40</v>
      </c>
      <c r="C905" t="s">
        <v>34</v>
      </c>
      <c r="D905" t="s">
        <v>36</v>
      </c>
      <c r="E905" t="s">
        <v>37</v>
      </c>
      <c r="F905" t="s">
        <v>44</v>
      </c>
      <c r="G905" s="2">
        <v>43881</v>
      </c>
      <c r="H905" t="s">
        <v>14</v>
      </c>
      <c r="I905" t="s">
        <v>22</v>
      </c>
      <c r="J905" t="s">
        <v>23</v>
      </c>
    </row>
    <row r="906" spans="1:10" x14ac:dyDescent="0.3">
      <c r="A906" t="s">
        <v>29</v>
      </c>
      <c r="B906">
        <v>35</v>
      </c>
      <c r="C906">
        <v>50000</v>
      </c>
      <c r="D906" t="s">
        <v>36</v>
      </c>
      <c r="E906" t="s">
        <v>19</v>
      </c>
      <c r="F906" t="s">
        <v>20</v>
      </c>
      <c r="G906" s="2">
        <v>43549</v>
      </c>
      <c r="H906" t="s">
        <v>41</v>
      </c>
      <c r="I906" t="s">
        <v>32</v>
      </c>
      <c r="J906" t="s">
        <v>16</v>
      </c>
    </row>
    <row r="907" spans="1:10" x14ac:dyDescent="0.3">
      <c r="A907" t="s">
        <v>24</v>
      </c>
      <c r="B907" t="s">
        <v>42</v>
      </c>
      <c r="C907">
        <v>50000</v>
      </c>
      <c r="D907" t="s">
        <v>36</v>
      </c>
      <c r="E907" t="s">
        <v>26</v>
      </c>
      <c r="F907" t="s">
        <v>43</v>
      </c>
      <c r="G907" s="2">
        <v>43881</v>
      </c>
      <c r="H907" t="s">
        <v>31</v>
      </c>
      <c r="I907" t="s">
        <v>15</v>
      </c>
      <c r="J907" t="s">
        <v>33</v>
      </c>
    </row>
    <row r="908" spans="1:10" x14ac:dyDescent="0.3">
      <c r="A908" t="s">
        <v>49</v>
      </c>
      <c r="B908">
        <v>35</v>
      </c>
      <c r="C908">
        <v>55000</v>
      </c>
      <c r="D908" t="s">
        <v>11</v>
      </c>
      <c r="E908" t="s">
        <v>19</v>
      </c>
      <c r="F908" t="s">
        <v>39</v>
      </c>
      <c r="G908" s="2">
        <v>43881</v>
      </c>
      <c r="H908" t="s">
        <v>21</v>
      </c>
      <c r="I908" t="s">
        <v>32</v>
      </c>
      <c r="J908" t="s">
        <v>16</v>
      </c>
    </row>
    <row r="909" spans="1:10" x14ac:dyDescent="0.3">
      <c r="A909" t="s">
        <v>47</v>
      </c>
      <c r="B909">
        <v>50</v>
      </c>
      <c r="C909" t="s">
        <v>34</v>
      </c>
      <c r="D909" t="s">
        <v>36</v>
      </c>
      <c r="E909" t="s">
        <v>19</v>
      </c>
      <c r="F909" t="s">
        <v>13</v>
      </c>
      <c r="G909" s="1">
        <v>43195</v>
      </c>
      <c r="H909" t="s">
        <v>41</v>
      </c>
      <c r="J909" t="s">
        <v>16</v>
      </c>
    </row>
    <row r="910" spans="1:10" x14ac:dyDescent="0.3">
      <c r="A910" t="s">
        <v>38</v>
      </c>
      <c r="B910">
        <v>50</v>
      </c>
      <c r="C910" t="s">
        <v>34</v>
      </c>
      <c r="D910" t="s">
        <v>11</v>
      </c>
      <c r="E910" t="s">
        <v>26</v>
      </c>
      <c r="F910" t="s">
        <v>20</v>
      </c>
      <c r="G910" s="2">
        <v>43881</v>
      </c>
      <c r="H910" t="s">
        <v>27</v>
      </c>
      <c r="I910" t="s">
        <v>15</v>
      </c>
      <c r="J910" t="s">
        <v>28</v>
      </c>
    </row>
    <row r="911" spans="1:10" x14ac:dyDescent="0.3">
      <c r="A911" t="s">
        <v>38</v>
      </c>
      <c r="B911" t="s">
        <v>42</v>
      </c>
      <c r="C911" t="s">
        <v>34</v>
      </c>
      <c r="D911" t="s">
        <v>36</v>
      </c>
      <c r="E911" t="s">
        <v>12</v>
      </c>
      <c r="F911" t="s">
        <v>43</v>
      </c>
      <c r="G911" s="2">
        <v>43549</v>
      </c>
      <c r="H911" t="s">
        <v>41</v>
      </c>
      <c r="I911" t="s">
        <v>32</v>
      </c>
      <c r="J911" t="s">
        <v>33</v>
      </c>
    </row>
    <row r="912" spans="1:10" x14ac:dyDescent="0.3">
      <c r="A912" t="s">
        <v>48</v>
      </c>
      <c r="B912">
        <v>40</v>
      </c>
      <c r="C912">
        <v>55000</v>
      </c>
      <c r="D912" t="s">
        <v>11</v>
      </c>
      <c r="E912" t="s">
        <v>19</v>
      </c>
      <c r="F912" t="s">
        <v>20</v>
      </c>
      <c r="G912" s="1">
        <v>43195</v>
      </c>
      <c r="H912" t="s">
        <v>41</v>
      </c>
      <c r="J912" t="s">
        <v>23</v>
      </c>
    </row>
    <row r="913" spans="1:10" x14ac:dyDescent="0.3">
      <c r="A913" t="s">
        <v>24</v>
      </c>
      <c r="B913" t="s">
        <v>42</v>
      </c>
      <c r="C913">
        <v>50000</v>
      </c>
      <c r="D913" t="s">
        <v>11</v>
      </c>
      <c r="E913" t="s">
        <v>19</v>
      </c>
      <c r="F913" t="s">
        <v>13</v>
      </c>
      <c r="G913" s="1">
        <v>43195</v>
      </c>
      <c r="H913" t="s">
        <v>27</v>
      </c>
      <c r="I913" t="s">
        <v>32</v>
      </c>
      <c r="J913" t="s">
        <v>23</v>
      </c>
    </row>
    <row r="914" spans="1:10" x14ac:dyDescent="0.3">
      <c r="A914" t="s">
        <v>46</v>
      </c>
      <c r="B914" t="s">
        <v>16</v>
      </c>
      <c r="C914">
        <v>55000</v>
      </c>
      <c r="D914" t="s">
        <v>18</v>
      </c>
      <c r="E914" t="s">
        <v>37</v>
      </c>
      <c r="F914" t="s">
        <v>39</v>
      </c>
      <c r="G914" s="2">
        <v>43881</v>
      </c>
      <c r="H914" t="s">
        <v>27</v>
      </c>
      <c r="J914" t="s">
        <v>33</v>
      </c>
    </row>
    <row r="915" spans="1:10" x14ac:dyDescent="0.3">
      <c r="A915" t="s">
        <v>24</v>
      </c>
      <c r="B915">
        <v>50</v>
      </c>
      <c r="C915">
        <v>70000</v>
      </c>
      <c r="D915" t="s">
        <v>36</v>
      </c>
      <c r="E915" t="s">
        <v>26</v>
      </c>
      <c r="F915" t="s">
        <v>20</v>
      </c>
      <c r="G915" t="s">
        <v>40</v>
      </c>
      <c r="H915" t="s">
        <v>41</v>
      </c>
      <c r="J915" t="s">
        <v>28</v>
      </c>
    </row>
    <row r="916" spans="1:10" x14ac:dyDescent="0.3">
      <c r="A916" t="s">
        <v>49</v>
      </c>
      <c r="B916">
        <v>25</v>
      </c>
      <c r="C916">
        <v>70000</v>
      </c>
      <c r="D916" t="s">
        <v>36</v>
      </c>
      <c r="E916" t="s">
        <v>30</v>
      </c>
      <c r="F916" t="s">
        <v>44</v>
      </c>
      <c r="G916" t="s">
        <v>40</v>
      </c>
      <c r="H916" t="s">
        <v>27</v>
      </c>
      <c r="I916" t="s">
        <v>15</v>
      </c>
      <c r="J916" t="s">
        <v>28</v>
      </c>
    </row>
    <row r="917" spans="1:10" x14ac:dyDescent="0.3">
      <c r="A917" t="s">
        <v>29</v>
      </c>
      <c r="B917">
        <v>25</v>
      </c>
      <c r="C917">
        <v>55000</v>
      </c>
      <c r="D917" t="s">
        <v>11</v>
      </c>
      <c r="E917" t="s">
        <v>12</v>
      </c>
      <c r="F917" t="s">
        <v>43</v>
      </c>
      <c r="G917" s="1">
        <v>43195</v>
      </c>
      <c r="H917" t="s">
        <v>31</v>
      </c>
      <c r="I917" t="s">
        <v>22</v>
      </c>
      <c r="J917" t="s">
        <v>28</v>
      </c>
    </row>
    <row r="918" spans="1:10" x14ac:dyDescent="0.3">
      <c r="A918" t="s">
        <v>38</v>
      </c>
      <c r="B918">
        <v>40</v>
      </c>
      <c r="C918" t="s">
        <v>34</v>
      </c>
      <c r="D918" t="s">
        <v>11</v>
      </c>
      <c r="E918" t="s">
        <v>12</v>
      </c>
      <c r="F918" t="s">
        <v>20</v>
      </c>
      <c r="G918" s="2">
        <v>43881</v>
      </c>
      <c r="H918" t="s">
        <v>27</v>
      </c>
      <c r="J918" t="s">
        <v>23</v>
      </c>
    </row>
    <row r="919" spans="1:10" x14ac:dyDescent="0.3">
      <c r="A919" t="s">
        <v>29</v>
      </c>
      <c r="B919" t="s">
        <v>16</v>
      </c>
      <c r="C919">
        <v>50000</v>
      </c>
      <c r="D919" t="s">
        <v>11</v>
      </c>
      <c r="E919" t="s">
        <v>26</v>
      </c>
      <c r="F919" t="s">
        <v>43</v>
      </c>
      <c r="G919" t="s">
        <v>40</v>
      </c>
      <c r="H919" t="s">
        <v>27</v>
      </c>
      <c r="J919" t="s">
        <v>16</v>
      </c>
    </row>
    <row r="920" spans="1:10" x14ac:dyDescent="0.3">
      <c r="A920" t="s">
        <v>29</v>
      </c>
      <c r="B920">
        <v>35</v>
      </c>
      <c r="C920">
        <v>55000</v>
      </c>
      <c r="D920" t="s">
        <v>18</v>
      </c>
      <c r="E920" t="s">
        <v>37</v>
      </c>
      <c r="F920" t="s">
        <v>44</v>
      </c>
      <c r="G920" s="2">
        <v>43881</v>
      </c>
      <c r="H920" t="s">
        <v>41</v>
      </c>
      <c r="I920" t="s">
        <v>15</v>
      </c>
      <c r="J920" t="s">
        <v>28</v>
      </c>
    </row>
    <row r="921" spans="1:10" x14ac:dyDescent="0.3">
      <c r="A921" t="s">
        <v>29</v>
      </c>
      <c r="B921" t="s">
        <v>16</v>
      </c>
      <c r="C921">
        <v>55000</v>
      </c>
      <c r="D921" t="s">
        <v>18</v>
      </c>
      <c r="E921" t="s">
        <v>37</v>
      </c>
      <c r="F921" t="s">
        <v>39</v>
      </c>
      <c r="G921" s="2">
        <v>43881</v>
      </c>
      <c r="H921" t="s">
        <v>31</v>
      </c>
      <c r="I921" t="s">
        <v>22</v>
      </c>
      <c r="J921" t="s">
        <v>23</v>
      </c>
    </row>
    <row r="922" spans="1:10" x14ac:dyDescent="0.3">
      <c r="A922" t="s">
        <v>38</v>
      </c>
      <c r="B922">
        <v>25</v>
      </c>
      <c r="C922">
        <v>55000</v>
      </c>
      <c r="D922" t="s">
        <v>11</v>
      </c>
      <c r="E922" t="s">
        <v>26</v>
      </c>
      <c r="F922" t="s">
        <v>39</v>
      </c>
      <c r="G922" s="1">
        <v>43195</v>
      </c>
      <c r="H922" t="s">
        <v>14</v>
      </c>
      <c r="I922" t="s">
        <v>16</v>
      </c>
      <c r="J922" t="s">
        <v>23</v>
      </c>
    </row>
    <row r="923" spans="1:10" x14ac:dyDescent="0.3">
      <c r="A923" t="s">
        <v>35</v>
      </c>
      <c r="B923">
        <v>25</v>
      </c>
      <c r="C923" t="s">
        <v>25</v>
      </c>
      <c r="D923" t="s">
        <v>36</v>
      </c>
      <c r="E923" t="s">
        <v>37</v>
      </c>
      <c r="F923" t="s">
        <v>44</v>
      </c>
      <c r="G923" s="1">
        <v>43195</v>
      </c>
      <c r="H923" t="s">
        <v>14</v>
      </c>
      <c r="I923" t="s">
        <v>16</v>
      </c>
      <c r="J923" t="s">
        <v>16</v>
      </c>
    </row>
    <row r="924" spans="1:10" x14ac:dyDescent="0.3">
      <c r="A924" t="s">
        <v>17</v>
      </c>
      <c r="B924">
        <v>50</v>
      </c>
      <c r="C924">
        <v>70000</v>
      </c>
      <c r="D924" t="s">
        <v>36</v>
      </c>
      <c r="E924" t="s">
        <v>12</v>
      </c>
      <c r="F924" t="s">
        <v>43</v>
      </c>
      <c r="G924" s="2">
        <v>43845</v>
      </c>
      <c r="H924" t="s">
        <v>21</v>
      </c>
      <c r="I924" t="s">
        <v>22</v>
      </c>
      <c r="J924" t="s">
        <v>33</v>
      </c>
    </row>
    <row r="925" spans="1:10" x14ac:dyDescent="0.3">
      <c r="A925" t="s">
        <v>49</v>
      </c>
      <c r="B925" t="s">
        <v>16</v>
      </c>
      <c r="C925" t="s">
        <v>34</v>
      </c>
      <c r="D925" t="s">
        <v>18</v>
      </c>
      <c r="E925" t="s">
        <v>12</v>
      </c>
      <c r="F925" t="s">
        <v>20</v>
      </c>
      <c r="G925" t="s">
        <v>40</v>
      </c>
      <c r="H925" t="s">
        <v>27</v>
      </c>
      <c r="I925" t="s">
        <v>32</v>
      </c>
      <c r="J925" t="s">
        <v>33</v>
      </c>
    </row>
    <row r="926" spans="1:10" x14ac:dyDescent="0.3">
      <c r="A926" t="s">
        <v>35</v>
      </c>
      <c r="B926" t="s">
        <v>16</v>
      </c>
      <c r="C926">
        <v>65000</v>
      </c>
      <c r="D926" t="s">
        <v>18</v>
      </c>
      <c r="E926" t="s">
        <v>30</v>
      </c>
      <c r="F926" t="s">
        <v>44</v>
      </c>
      <c r="G926" t="s">
        <v>40</v>
      </c>
      <c r="H926" t="s">
        <v>27</v>
      </c>
      <c r="I926" t="s">
        <v>15</v>
      </c>
      <c r="J926" t="s">
        <v>28</v>
      </c>
    </row>
    <row r="927" spans="1:10" x14ac:dyDescent="0.3">
      <c r="A927" t="s">
        <v>49</v>
      </c>
      <c r="B927">
        <v>25</v>
      </c>
      <c r="C927" t="s">
        <v>34</v>
      </c>
      <c r="D927" t="s">
        <v>11</v>
      </c>
      <c r="E927" t="s">
        <v>26</v>
      </c>
      <c r="F927" t="s">
        <v>13</v>
      </c>
      <c r="G927" t="s">
        <v>40</v>
      </c>
      <c r="H927" t="s">
        <v>31</v>
      </c>
      <c r="I927" t="s">
        <v>22</v>
      </c>
      <c r="J927" t="s">
        <v>28</v>
      </c>
    </row>
    <row r="928" spans="1:10" x14ac:dyDescent="0.3">
      <c r="A928" t="s">
        <v>47</v>
      </c>
      <c r="B928">
        <v>35</v>
      </c>
      <c r="C928">
        <v>65000</v>
      </c>
      <c r="D928" t="s">
        <v>36</v>
      </c>
      <c r="E928" t="s">
        <v>19</v>
      </c>
      <c r="F928" t="s">
        <v>43</v>
      </c>
      <c r="G928" s="2">
        <v>43549</v>
      </c>
      <c r="H928" t="s">
        <v>14</v>
      </c>
      <c r="I928" t="s">
        <v>16</v>
      </c>
      <c r="J928" t="s">
        <v>16</v>
      </c>
    </row>
    <row r="929" spans="1:10" x14ac:dyDescent="0.3">
      <c r="A929" t="s">
        <v>24</v>
      </c>
      <c r="B929">
        <v>40</v>
      </c>
      <c r="C929" t="s">
        <v>25</v>
      </c>
      <c r="D929" t="s">
        <v>11</v>
      </c>
      <c r="E929" t="s">
        <v>19</v>
      </c>
      <c r="F929" t="s">
        <v>39</v>
      </c>
      <c r="G929" s="2">
        <v>43881</v>
      </c>
      <c r="H929" t="s">
        <v>21</v>
      </c>
      <c r="J929" t="s">
        <v>28</v>
      </c>
    </row>
    <row r="930" spans="1:10" x14ac:dyDescent="0.3">
      <c r="A930" t="s">
        <v>24</v>
      </c>
      <c r="B930">
        <v>40</v>
      </c>
      <c r="C930">
        <v>55000</v>
      </c>
      <c r="D930" t="s">
        <v>18</v>
      </c>
      <c r="E930" t="s">
        <v>30</v>
      </c>
      <c r="F930" t="s">
        <v>44</v>
      </c>
      <c r="G930" s="1">
        <v>43195</v>
      </c>
      <c r="H930" t="s">
        <v>31</v>
      </c>
      <c r="I930" t="s">
        <v>16</v>
      </c>
      <c r="J930" t="s">
        <v>16</v>
      </c>
    </row>
    <row r="931" spans="1:10" x14ac:dyDescent="0.3">
      <c r="A931" t="s">
        <v>10</v>
      </c>
      <c r="B931" t="s">
        <v>16</v>
      </c>
      <c r="C931" t="s">
        <v>25</v>
      </c>
      <c r="D931" t="s">
        <v>36</v>
      </c>
      <c r="E931" t="s">
        <v>30</v>
      </c>
      <c r="F931" t="s">
        <v>39</v>
      </c>
      <c r="G931" t="s">
        <v>40</v>
      </c>
      <c r="H931" t="s">
        <v>27</v>
      </c>
      <c r="J931" t="s">
        <v>23</v>
      </c>
    </row>
    <row r="932" spans="1:10" x14ac:dyDescent="0.3">
      <c r="A932" t="s">
        <v>24</v>
      </c>
      <c r="B932">
        <v>40</v>
      </c>
      <c r="C932" t="s">
        <v>25</v>
      </c>
      <c r="D932" t="s">
        <v>36</v>
      </c>
      <c r="E932" t="s">
        <v>37</v>
      </c>
      <c r="F932" t="s">
        <v>43</v>
      </c>
      <c r="G932" s="2">
        <v>43845</v>
      </c>
      <c r="H932" t="s">
        <v>14</v>
      </c>
      <c r="I932" t="s">
        <v>15</v>
      </c>
      <c r="J932" t="s">
        <v>28</v>
      </c>
    </row>
    <row r="933" spans="1:10" x14ac:dyDescent="0.3">
      <c r="A933" t="s">
        <v>38</v>
      </c>
      <c r="B933">
        <v>25</v>
      </c>
      <c r="C933">
        <v>50000</v>
      </c>
      <c r="D933" t="s">
        <v>18</v>
      </c>
      <c r="E933" t="s">
        <v>30</v>
      </c>
      <c r="F933" t="s">
        <v>39</v>
      </c>
      <c r="G933" t="s">
        <v>40</v>
      </c>
      <c r="H933" t="s">
        <v>21</v>
      </c>
      <c r="J933" t="s">
        <v>23</v>
      </c>
    </row>
    <row r="934" spans="1:10" x14ac:dyDescent="0.3">
      <c r="A934" t="s">
        <v>46</v>
      </c>
      <c r="B934">
        <v>25</v>
      </c>
      <c r="C934">
        <v>70000</v>
      </c>
      <c r="D934" t="s">
        <v>11</v>
      </c>
      <c r="E934" t="s">
        <v>30</v>
      </c>
      <c r="F934" t="s">
        <v>44</v>
      </c>
      <c r="G934" s="2">
        <v>43881</v>
      </c>
      <c r="H934" t="s">
        <v>41</v>
      </c>
      <c r="I934" t="s">
        <v>22</v>
      </c>
      <c r="J934" t="s">
        <v>45</v>
      </c>
    </row>
    <row r="935" spans="1:10" x14ac:dyDescent="0.3">
      <c r="A935" t="s">
        <v>48</v>
      </c>
      <c r="B935" t="s">
        <v>16</v>
      </c>
      <c r="C935">
        <v>65000</v>
      </c>
      <c r="D935" t="s">
        <v>11</v>
      </c>
      <c r="E935" t="s">
        <v>19</v>
      </c>
      <c r="F935" t="s">
        <v>43</v>
      </c>
      <c r="G935" s="2">
        <v>43881</v>
      </c>
      <c r="H935" t="s">
        <v>14</v>
      </c>
      <c r="J935" t="s">
        <v>16</v>
      </c>
    </row>
    <row r="936" spans="1:10" x14ac:dyDescent="0.3">
      <c r="A936" t="s">
        <v>10</v>
      </c>
      <c r="B936" t="s">
        <v>16</v>
      </c>
      <c r="C936">
        <v>55000</v>
      </c>
      <c r="D936" t="s">
        <v>36</v>
      </c>
      <c r="E936" t="s">
        <v>37</v>
      </c>
      <c r="F936" t="s">
        <v>13</v>
      </c>
      <c r="G936" s="1">
        <v>43195</v>
      </c>
      <c r="H936" t="s">
        <v>21</v>
      </c>
      <c r="I936" t="s">
        <v>32</v>
      </c>
      <c r="J936" t="s">
        <v>45</v>
      </c>
    </row>
    <row r="937" spans="1:10" x14ac:dyDescent="0.3">
      <c r="A937" t="s">
        <v>48</v>
      </c>
      <c r="B937">
        <v>50</v>
      </c>
      <c r="C937">
        <v>65000</v>
      </c>
      <c r="D937" t="s">
        <v>18</v>
      </c>
      <c r="E937" t="s">
        <v>30</v>
      </c>
      <c r="F937" t="s">
        <v>44</v>
      </c>
      <c r="G937" s="2">
        <v>43549</v>
      </c>
      <c r="H937" t="s">
        <v>31</v>
      </c>
      <c r="I937" t="s">
        <v>22</v>
      </c>
      <c r="J937" t="s">
        <v>28</v>
      </c>
    </row>
    <row r="938" spans="1:10" x14ac:dyDescent="0.3">
      <c r="A938" t="s">
        <v>49</v>
      </c>
      <c r="B938" t="s">
        <v>16</v>
      </c>
      <c r="C938" t="s">
        <v>34</v>
      </c>
      <c r="D938" t="s">
        <v>36</v>
      </c>
      <c r="E938" t="s">
        <v>30</v>
      </c>
      <c r="F938" t="s">
        <v>20</v>
      </c>
      <c r="G938" s="1">
        <v>43195</v>
      </c>
      <c r="H938" t="s">
        <v>41</v>
      </c>
      <c r="I938" t="s">
        <v>15</v>
      </c>
      <c r="J938" t="s">
        <v>23</v>
      </c>
    </row>
    <row r="939" spans="1:10" x14ac:dyDescent="0.3">
      <c r="A939" t="s">
        <v>48</v>
      </c>
      <c r="B939">
        <v>35</v>
      </c>
      <c r="C939">
        <v>65000</v>
      </c>
      <c r="D939" t="s">
        <v>18</v>
      </c>
      <c r="E939" t="s">
        <v>37</v>
      </c>
      <c r="F939" t="s">
        <v>44</v>
      </c>
      <c r="G939" t="s">
        <v>40</v>
      </c>
      <c r="H939" t="s">
        <v>21</v>
      </c>
      <c r="I939" t="s">
        <v>22</v>
      </c>
      <c r="J939" t="s">
        <v>28</v>
      </c>
    </row>
    <row r="940" spans="1:10" x14ac:dyDescent="0.3">
      <c r="A940" t="s">
        <v>48</v>
      </c>
      <c r="B940">
        <v>40</v>
      </c>
      <c r="C940" t="s">
        <v>34</v>
      </c>
      <c r="D940" t="s">
        <v>11</v>
      </c>
      <c r="E940" t="s">
        <v>26</v>
      </c>
      <c r="F940" t="s">
        <v>43</v>
      </c>
      <c r="G940" s="2">
        <v>43845</v>
      </c>
      <c r="H940" t="s">
        <v>21</v>
      </c>
      <c r="I940" t="s">
        <v>32</v>
      </c>
      <c r="J940" t="s">
        <v>45</v>
      </c>
    </row>
    <row r="941" spans="1:10" x14ac:dyDescent="0.3">
      <c r="A941" t="s">
        <v>10</v>
      </c>
      <c r="B941" t="s">
        <v>16</v>
      </c>
      <c r="C941">
        <v>70000</v>
      </c>
      <c r="D941" t="s">
        <v>18</v>
      </c>
      <c r="E941" t="s">
        <v>37</v>
      </c>
      <c r="F941" t="s">
        <v>44</v>
      </c>
      <c r="G941" s="1">
        <v>43195</v>
      </c>
      <c r="H941" t="s">
        <v>27</v>
      </c>
      <c r="I941" t="s">
        <v>15</v>
      </c>
      <c r="J941" t="s">
        <v>28</v>
      </c>
    </row>
    <row r="942" spans="1:10" x14ac:dyDescent="0.3">
      <c r="A942" t="s">
        <v>47</v>
      </c>
      <c r="B942" t="s">
        <v>42</v>
      </c>
      <c r="C942" t="s">
        <v>34</v>
      </c>
      <c r="D942" t="s">
        <v>11</v>
      </c>
      <c r="E942" t="s">
        <v>19</v>
      </c>
      <c r="F942" t="s">
        <v>13</v>
      </c>
      <c r="G942" s="2">
        <v>43549</v>
      </c>
      <c r="H942" t="s">
        <v>14</v>
      </c>
      <c r="I942" t="s">
        <v>16</v>
      </c>
      <c r="J942" t="s">
        <v>33</v>
      </c>
    </row>
    <row r="943" spans="1:10" x14ac:dyDescent="0.3">
      <c r="A943" t="s">
        <v>29</v>
      </c>
      <c r="B943">
        <v>50</v>
      </c>
      <c r="C943">
        <v>65000</v>
      </c>
      <c r="D943" t="s">
        <v>18</v>
      </c>
      <c r="E943" t="s">
        <v>26</v>
      </c>
      <c r="F943" t="s">
        <v>13</v>
      </c>
      <c r="G943" s="1">
        <v>43195</v>
      </c>
      <c r="H943" t="s">
        <v>27</v>
      </c>
      <c r="I943" t="s">
        <v>32</v>
      </c>
      <c r="J943" t="s">
        <v>45</v>
      </c>
    </row>
    <row r="944" spans="1:10" x14ac:dyDescent="0.3">
      <c r="A944" t="s">
        <v>24</v>
      </c>
      <c r="B944" t="s">
        <v>42</v>
      </c>
      <c r="C944">
        <v>65000</v>
      </c>
      <c r="D944" t="s">
        <v>36</v>
      </c>
      <c r="E944" t="s">
        <v>12</v>
      </c>
      <c r="F944" t="s">
        <v>20</v>
      </c>
      <c r="G944" s="2">
        <v>43881</v>
      </c>
      <c r="H944" t="s">
        <v>41</v>
      </c>
      <c r="I944" t="s">
        <v>15</v>
      </c>
      <c r="J944" t="s">
        <v>28</v>
      </c>
    </row>
    <row r="945" spans="1:10" x14ac:dyDescent="0.3">
      <c r="A945" t="s">
        <v>24</v>
      </c>
      <c r="B945">
        <v>25</v>
      </c>
      <c r="C945" t="s">
        <v>34</v>
      </c>
      <c r="D945" t="s">
        <v>11</v>
      </c>
      <c r="E945" t="s">
        <v>37</v>
      </c>
      <c r="F945" t="s">
        <v>39</v>
      </c>
      <c r="G945" t="s">
        <v>40</v>
      </c>
      <c r="H945" t="s">
        <v>21</v>
      </c>
      <c r="J945" t="s">
        <v>23</v>
      </c>
    </row>
    <row r="946" spans="1:10" x14ac:dyDescent="0.3">
      <c r="A946" t="s">
        <v>38</v>
      </c>
      <c r="B946">
        <v>40</v>
      </c>
      <c r="C946" t="s">
        <v>25</v>
      </c>
      <c r="D946" t="s">
        <v>36</v>
      </c>
      <c r="E946" t="s">
        <v>19</v>
      </c>
      <c r="F946" t="s">
        <v>43</v>
      </c>
      <c r="G946" t="s">
        <v>40</v>
      </c>
      <c r="H946" t="s">
        <v>27</v>
      </c>
      <c r="I946" t="s">
        <v>22</v>
      </c>
      <c r="J946" t="s">
        <v>28</v>
      </c>
    </row>
    <row r="947" spans="1:10" x14ac:dyDescent="0.3">
      <c r="A947" t="s">
        <v>10</v>
      </c>
      <c r="B947" t="s">
        <v>16</v>
      </c>
      <c r="C947">
        <v>70000</v>
      </c>
      <c r="D947" t="s">
        <v>36</v>
      </c>
      <c r="E947" t="s">
        <v>26</v>
      </c>
      <c r="F947" t="s">
        <v>43</v>
      </c>
      <c r="G947" t="s">
        <v>40</v>
      </c>
      <c r="H947" t="s">
        <v>14</v>
      </c>
      <c r="I947" t="s">
        <v>15</v>
      </c>
      <c r="J947" t="s">
        <v>23</v>
      </c>
    </row>
    <row r="948" spans="1:10" x14ac:dyDescent="0.3">
      <c r="A948" t="s">
        <v>38</v>
      </c>
      <c r="B948" t="s">
        <v>42</v>
      </c>
      <c r="C948">
        <v>50000</v>
      </c>
      <c r="D948" t="s">
        <v>11</v>
      </c>
      <c r="E948" t="s">
        <v>37</v>
      </c>
      <c r="F948" t="s">
        <v>39</v>
      </c>
      <c r="G948" t="s">
        <v>40</v>
      </c>
      <c r="H948" t="s">
        <v>41</v>
      </c>
      <c r="I948" t="s">
        <v>22</v>
      </c>
      <c r="J948" t="s">
        <v>33</v>
      </c>
    </row>
    <row r="949" spans="1:10" x14ac:dyDescent="0.3">
      <c r="A949" t="s">
        <v>46</v>
      </c>
      <c r="B949">
        <v>40</v>
      </c>
      <c r="C949">
        <v>55000</v>
      </c>
      <c r="D949" t="s">
        <v>11</v>
      </c>
      <c r="E949" t="s">
        <v>30</v>
      </c>
      <c r="F949" t="s">
        <v>13</v>
      </c>
      <c r="G949" t="s">
        <v>40</v>
      </c>
      <c r="H949" t="s">
        <v>31</v>
      </c>
      <c r="J949" t="s">
        <v>28</v>
      </c>
    </row>
    <row r="950" spans="1:10" x14ac:dyDescent="0.3">
      <c r="A950" t="s">
        <v>46</v>
      </c>
      <c r="B950">
        <v>25</v>
      </c>
      <c r="C950">
        <v>65000</v>
      </c>
      <c r="D950" t="s">
        <v>36</v>
      </c>
      <c r="E950" t="s">
        <v>37</v>
      </c>
      <c r="F950" t="s">
        <v>13</v>
      </c>
      <c r="G950" t="s">
        <v>40</v>
      </c>
      <c r="H950" t="s">
        <v>27</v>
      </c>
      <c r="I950" t="s">
        <v>15</v>
      </c>
      <c r="J950" t="s">
        <v>33</v>
      </c>
    </row>
    <row r="951" spans="1:10" x14ac:dyDescent="0.3">
      <c r="A951" t="s">
        <v>38</v>
      </c>
      <c r="B951">
        <v>35</v>
      </c>
      <c r="C951">
        <v>55000</v>
      </c>
      <c r="D951" t="s">
        <v>36</v>
      </c>
      <c r="E951" t="s">
        <v>12</v>
      </c>
      <c r="F951" t="s">
        <v>44</v>
      </c>
      <c r="G951" s="2">
        <v>43845</v>
      </c>
      <c r="H951" t="s">
        <v>41</v>
      </c>
      <c r="I951" t="s">
        <v>16</v>
      </c>
      <c r="J951" t="s">
        <v>45</v>
      </c>
    </row>
    <row r="952" spans="1:10" x14ac:dyDescent="0.3">
      <c r="A952" t="s">
        <v>10</v>
      </c>
      <c r="B952">
        <v>50</v>
      </c>
      <c r="C952">
        <v>50000</v>
      </c>
      <c r="D952" t="s">
        <v>36</v>
      </c>
      <c r="E952" t="s">
        <v>37</v>
      </c>
      <c r="F952" t="s">
        <v>20</v>
      </c>
      <c r="G952" s="2">
        <v>43549</v>
      </c>
      <c r="H952" t="s">
        <v>31</v>
      </c>
      <c r="I952" t="s">
        <v>32</v>
      </c>
      <c r="J952" t="s">
        <v>23</v>
      </c>
    </row>
    <row r="953" spans="1:10" x14ac:dyDescent="0.3">
      <c r="A953" t="s">
        <v>38</v>
      </c>
      <c r="B953">
        <v>40</v>
      </c>
      <c r="C953">
        <v>55000</v>
      </c>
      <c r="D953" t="s">
        <v>36</v>
      </c>
      <c r="E953" t="s">
        <v>26</v>
      </c>
      <c r="F953" t="s">
        <v>20</v>
      </c>
      <c r="G953" t="s">
        <v>40</v>
      </c>
      <c r="H953" t="s">
        <v>27</v>
      </c>
      <c r="I953" t="s">
        <v>15</v>
      </c>
      <c r="J953" t="s">
        <v>45</v>
      </c>
    </row>
    <row r="954" spans="1:10" x14ac:dyDescent="0.3">
      <c r="A954" t="s">
        <v>24</v>
      </c>
      <c r="B954">
        <v>40</v>
      </c>
      <c r="C954">
        <v>50000</v>
      </c>
      <c r="D954" t="s">
        <v>11</v>
      </c>
      <c r="E954" t="s">
        <v>26</v>
      </c>
      <c r="F954" t="s">
        <v>20</v>
      </c>
      <c r="G954" s="2">
        <v>43549</v>
      </c>
      <c r="H954" t="s">
        <v>41</v>
      </c>
      <c r="J954" t="s">
        <v>23</v>
      </c>
    </row>
    <row r="955" spans="1:10" x14ac:dyDescent="0.3">
      <c r="A955" t="s">
        <v>35</v>
      </c>
      <c r="B955">
        <v>35</v>
      </c>
      <c r="C955" t="s">
        <v>34</v>
      </c>
      <c r="D955" t="s">
        <v>11</v>
      </c>
      <c r="E955" t="s">
        <v>37</v>
      </c>
      <c r="F955" t="s">
        <v>44</v>
      </c>
      <c r="G955" t="s">
        <v>40</v>
      </c>
      <c r="H955" t="s">
        <v>41</v>
      </c>
      <c r="I955" t="s">
        <v>15</v>
      </c>
      <c r="J955" t="s">
        <v>33</v>
      </c>
    </row>
    <row r="956" spans="1:10" x14ac:dyDescent="0.3">
      <c r="A956" t="s">
        <v>17</v>
      </c>
      <c r="B956">
        <v>40</v>
      </c>
      <c r="C956" t="s">
        <v>25</v>
      </c>
      <c r="D956" t="s">
        <v>36</v>
      </c>
      <c r="E956" t="s">
        <v>26</v>
      </c>
      <c r="F956" t="s">
        <v>20</v>
      </c>
      <c r="G956" s="1">
        <v>43195</v>
      </c>
      <c r="H956" t="s">
        <v>27</v>
      </c>
      <c r="I956" t="s">
        <v>22</v>
      </c>
      <c r="J956" t="s">
        <v>16</v>
      </c>
    </row>
    <row r="957" spans="1:10" x14ac:dyDescent="0.3">
      <c r="A957" t="s">
        <v>48</v>
      </c>
      <c r="B957">
        <v>25</v>
      </c>
      <c r="C957">
        <v>65000</v>
      </c>
      <c r="D957" t="s">
        <v>18</v>
      </c>
      <c r="E957" t="s">
        <v>30</v>
      </c>
      <c r="F957" t="s">
        <v>39</v>
      </c>
      <c r="G957" t="s">
        <v>40</v>
      </c>
      <c r="H957" t="s">
        <v>41</v>
      </c>
      <c r="I957" t="s">
        <v>15</v>
      </c>
      <c r="J957" t="s">
        <v>28</v>
      </c>
    </row>
    <row r="958" spans="1:10" x14ac:dyDescent="0.3">
      <c r="A958" t="s">
        <v>17</v>
      </c>
      <c r="B958">
        <v>25</v>
      </c>
      <c r="C958">
        <v>50000</v>
      </c>
      <c r="D958" t="s">
        <v>18</v>
      </c>
      <c r="E958" t="s">
        <v>37</v>
      </c>
      <c r="F958" t="s">
        <v>44</v>
      </c>
      <c r="G958" s="2">
        <v>43881</v>
      </c>
      <c r="H958" t="s">
        <v>21</v>
      </c>
      <c r="I958" t="s">
        <v>16</v>
      </c>
      <c r="J958" t="s">
        <v>33</v>
      </c>
    </row>
    <row r="959" spans="1:10" x14ac:dyDescent="0.3">
      <c r="A959" t="s">
        <v>10</v>
      </c>
      <c r="B959">
        <v>35</v>
      </c>
      <c r="C959">
        <v>55000</v>
      </c>
      <c r="D959" t="s">
        <v>11</v>
      </c>
      <c r="E959" t="s">
        <v>30</v>
      </c>
      <c r="F959" t="s">
        <v>39</v>
      </c>
      <c r="G959" s="2">
        <v>43845</v>
      </c>
      <c r="H959" t="s">
        <v>27</v>
      </c>
      <c r="I959" t="s">
        <v>15</v>
      </c>
      <c r="J959" t="s">
        <v>23</v>
      </c>
    </row>
    <row r="960" spans="1:10" x14ac:dyDescent="0.3">
      <c r="A960" t="s">
        <v>17</v>
      </c>
      <c r="B960">
        <v>50</v>
      </c>
      <c r="C960">
        <v>65000</v>
      </c>
      <c r="D960" t="s">
        <v>36</v>
      </c>
      <c r="E960" t="s">
        <v>30</v>
      </c>
      <c r="F960" t="s">
        <v>44</v>
      </c>
      <c r="G960" s="1">
        <v>43195</v>
      </c>
      <c r="H960" t="s">
        <v>41</v>
      </c>
      <c r="I960" t="s">
        <v>32</v>
      </c>
      <c r="J960" t="s">
        <v>23</v>
      </c>
    </row>
    <row r="961" spans="1:10" x14ac:dyDescent="0.3">
      <c r="A961" t="s">
        <v>46</v>
      </c>
      <c r="B961" t="s">
        <v>16</v>
      </c>
      <c r="C961" t="s">
        <v>25</v>
      </c>
      <c r="D961" t="s">
        <v>36</v>
      </c>
      <c r="E961" t="s">
        <v>19</v>
      </c>
      <c r="F961" t="s">
        <v>20</v>
      </c>
      <c r="G961" s="1">
        <v>43195</v>
      </c>
      <c r="H961" t="s">
        <v>31</v>
      </c>
      <c r="I961" t="s">
        <v>15</v>
      </c>
      <c r="J961" t="s">
        <v>23</v>
      </c>
    </row>
    <row r="962" spans="1:10" x14ac:dyDescent="0.3">
      <c r="A962" t="s">
        <v>49</v>
      </c>
      <c r="B962" t="s">
        <v>42</v>
      </c>
      <c r="C962" t="s">
        <v>34</v>
      </c>
      <c r="D962" t="s">
        <v>11</v>
      </c>
      <c r="E962" t="s">
        <v>37</v>
      </c>
      <c r="F962" t="s">
        <v>39</v>
      </c>
      <c r="G962" s="2">
        <v>43881</v>
      </c>
      <c r="H962" t="s">
        <v>31</v>
      </c>
      <c r="I962" t="s">
        <v>22</v>
      </c>
      <c r="J962" t="s">
        <v>23</v>
      </c>
    </row>
    <row r="963" spans="1:10" x14ac:dyDescent="0.3">
      <c r="A963" t="s">
        <v>48</v>
      </c>
      <c r="B963" t="s">
        <v>16</v>
      </c>
      <c r="C963">
        <v>65000</v>
      </c>
      <c r="D963" t="s">
        <v>18</v>
      </c>
      <c r="E963" t="s">
        <v>26</v>
      </c>
      <c r="F963" t="s">
        <v>39</v>
      </c>
      <c r="G963" t="s">
        <v>40</v>
      </c>
      <c r="H963" t="s">
        <v>21</v>
      </c>
      <c r="I963" t="s">
        <v>15</v>
      </c>
      <c r="J963" t="s">
        <v>28</v>
      </c>
    </row>
    <row r="964" spans="1:10" x14ac:dyDescent="0.3">
      <c r="A964" t="s">
        <v>29</v>
      </c>
      <c r="B964">
        <v>40</v>
      </c>
      <c r="C964">
        <v>50000</v>
      </c>
      <c r="D964" t="s">
        <v>18</v>
      </c>
      <c r="E964" t="s">
        <v>30</v>
      </c>
      <c r="F964" t="s">
        <v>39</v>
      </c>
      <c r="G964" s="2">
        <v>43845</v>
      </c>
      <c r="H964" t="s">
        <v>27</v>
      </c>
      <c r="I964" t="s">
        <v>16</v>
      </c>
      <c r="J964" t="s">
        <v>45</v>
      </c>
    </row>
    <row r="965" spans="1:10" x14ac:dyDescent="0.3">
      <c r="A965" t="s">
        <v>10</v>
      </c>
      <c r="B965" t="s">
        <v>42</v>
      </c>
      <c r="C965" t="s">
        <v>25</v>
      </c>
      <c r="D965" t="s">
        <v>18</v>
      </c>
      <c r="E965" t="s">
        <v>19</v>
      </c>
      <c r="F965" t="s">
        <v>44</v>
      </c>
      <c r="G965" s="1">
        <v>43195</v>
      </c>
      <c r="H965" t="s">
        <v>41</v>
      </c>
      <c r="J965" t="s">
        <v>16</v>
      </c>
    </row>
    <row r="966" spans="1:10" x14ac:dyDescent="0.3">
      <c r="A966" t="s">
        <v>48</v>
      </c>
      <c r="B966">
        <v>35</v>
      </c>
      <c r="C966">
        <v>55000</v>
      </c>
      <c r="D966" t="s">
        <v>11</v>
      </c>
      <c r="E966" t="s">
        <v>37</v>
      </c>
      <c r="F966" t="s">
        <v>43</v>
      </c>
      <c r="G966" s="2">
        <v>43845</v>
      </c>
      <c r="H966" t="s">
        <v>41</v>
      </c>
      <c r="I966" t="s">
        <v>15</v>
      </c>
      <c r="J966" t="s">
        <v>28</v>
      </c>
    </row>
    <row r="967" spans="1:10" x14ac:dyDescent="0.3">
      <c r="A967" t="s">
        <v>17</v>
      </c>
      <c r="B967">
        <v>35</v>
      </c>
      <c r="C967" t="s">
        <v>25</v>
      </c>
      <c r="D967" t="s">
        <v>18</v>
      </c>
      <c r="E967" t="s">
        <v>37</v>
      </c>
      <c r="F967" t="s">
        <v>20</v>
      </c>
      <c r="G967" s="1">
        <v>43195</v>
      </c>
      <c r="H967" t="s">
        <v>31</v>
      </c>
      <c r="I967" t="s">
        <v>15</v>
      </c>
      <c r="J967" t="s">
        <v>23</v>
      </c>
    </row>
    <row r="968" spans="1:10" x14ac:dyDescent="0.3">
      <c r="A968" t="s">
        <v>46</v>
      </c>
      <c r="B968">
        <v>50</v>
      </c>
      <c r="C968" t="s">
        <v>25</v>
      </c>
      <c r="D968" t="s">
        <v>11</v>
      </c>
      <c r="E968" t="s">
        <v>12</v>
      </c>
      <c r="F968" t="s">
        <v>39</v>
      </c>
      <c r="G968" t="s">
        <v>40</v>
      </c>
      <c r="H968" t="s">
        <v>21</v>
      </c>
      <c r="I968" t="s">
        <v>32</v>
      </c>
      <c r="J968" t="s">
        <v>28</v>
      </c>
    </row>
    <row r="969" spans="1:10" x14ac:dyDescent="0.3">
      <c r="A969" t="s">
        <v>47</v>
      </c>
      <c r="B969" t="s">
        <v>42</v>
      </c>
      <c r="C969">
        <v>70000</v>
      </c>
      <c r="D969" t="s">
        <v>11</v>
      </c>
      <c r="E969" t="s">
        <v>12</v>
      </c>
      <c r="F969" t="s">
        <v>43</v>
      </c>
      <c r="G969" s="1">
        <v>43195</v>
      </c>
      <c r="H969" t="s">
        <v>31</v>
      </c>
      <c r="I969" t="s">
        <v>16</v>
      </c>
      <c r="J969" t="s">
        <v>33</v>
      </c>
    </row>
    <row r="970" spans="1:10" x14ac:dyDescent="0.3">
      <c r="A970" t="s">
        <v>35</v>
      </c>
      <c r="B970">
        <v>25</v>
      </c>
      <c r="C970" t="s">
        <v>25</v>
      </c>
      <c r="D970" t="s">
        <v>36</v>
      </c>
      <c r="E970" t="s">
        <v>30</v>
      </c>
      <c r="F970" t="s">
        <v>20</v>
      </c>
      <c r="G970" s="1">
        <v>43195</v>
      </c>
      <c r="H970" t="s">
        <v>31</v>
      </c>
      <c r="J970" t="s">
        <v>23</v>
      </c>
    </row>
    <row r="971" spans="1:10" x14ac:dyDescent="0.3">
      <c r="A971" t="s">
        <v>29</v>
      </c>
      <c r="B971" t="s">
        <v>42</v>
      </c>
      <c r="C971" t="s">
        <v>25</v>
      </c>
      <c r="D971" t="s">
        <v>18</v>
      </c>
      <c r="E971" t="s">
        <v>12</v>
      </c>
      <c r="F971" t="s">
        <v>20</v>
      </c>
      <c r="G971" s="2">
        <v>43549</v>
      </c>
      <c r="H971" t="s">
        <v>21</v>
      </c>
      <c r="I971" t="s">
        <v>22</v>
      </c>
      <c r="J971" t="s">
        <v>16</v>
      </c>
    </row>
    <row r="972" spans="1:10" x14ac:dyDescent="0.3">
      <c r="A972" t="s">
        <v>35</v>
      </c>
      <c r="B972">
        <v>40</v>
      </c>
      <c r="C972">
        <v>65000</v>
      </c>
      <c r="D972" t="s">
        <v>11</v>
      </c>
      <c r="E972" t="s">
        <v>30</v>
      </c>
      <c r="F972" t="s">
        <v>39</v>
      </c>
      <c r="G972" t="s">
        <v>40</v>
      </c>
      <c r="H972" t="s">
        <v>27</v>
      </c>
      <c r="I972" t="s">
        <v>15</v>
      </c>
      <c r="J972" t="s">
        <v>23</v>
      </c>
    </row>
    <row r="973" spans="1:10" x14ac:dyDescent="0.3">
      <c r="A973" t="s">
        <v>48</v>
      </c>
      <c r="B973">
        <v>25</v>
      </c>
      <c r="C973">
        <v>55000</v>
      </c>
      <c r="D973" t="s">
        <v>18</v>
      </c>
      <c r="E973" t="s">
        <v>26</v>
      </c>
      <c r="F973" t="s">
        <v>39</v>
      </c>
      <c r="G973" s="2">
        <v>43881</v>
      </c>
      <c r="H973" t="s">
        <v>41</v>
      </c>
      <c r="J973" t="s">
        <v>16</v>
      </c>
    </row>
    <row r="974" spans="1:10" x14ac:dyDescent="0.3">
      <c r="A974" t="s">
        <v>46</v>
      </c>
      <c r="B974">
        <v>35</v>
      </c>
      <c r="C974">
        <v>65000</v>
      </c>
      <c r="D974" t="s">
        <v>18</v>
      </c>
      <c r="E974" t="s">
        <v>30</v>
      </c>
      <c r="F974" t="s">
        <v>44</v>
      </c>
      <c r="G974" s="2">
        <v>43881</v>
      </c>
      <c r="H974" t="s">
        <v>27</v>
      </c>
      <c r="I974" t="s">
        <v>22</v>
      </c>
      <c r="J974" t="s">
        <v>16</v>
      </c>
    </row>
    <row r="975" spans="1:10" x14ac:dyDescent="0.3">
      <c r="A975" t="s">
        <v>46</v>
      </c>
      <c r="B975" t="s">
        <v>42</v>
      </c>
      <c r="C975">
        <v>65000</v>
      </c>
      <c r="D975" t="s">
        <v>36</v>
      </c>
      <c r="E975" t="s">
        <v>12</v>
      </c>
      <c r="F975" t="s">
        <v>43</v>
      </c>
      <c r="G975" t="s">
        <v>40</v>
      </c>
      <c r="H975" t="s">
        <v>14</v>
      </c>
      <c r="I975" t="s">
        <v>16</v>
      </c>
      <c r="J975" t="s">
        <v>45</v>
      </c>
    </row>
    <row r="976" spans="1:10" x14ac:dyDescent="0.3">
      <c r="A976" t="s">
        <v>17</v>
      </c>
      <c r="B976" t="s">
        <v>16</v>
      </c>
      <c r="C976">
        <v>50000</v>
      </c>
      <c r="D976" t="s">
        <v>18</v>
      </c>
      <c r="E976" t="s">
        <v>26</v>
      </c>
      <c r="F976" t="s">
        <v>43</v>
      </c>
      <c r="G976" s="2">
        <v>43881</v>
      </c>
      <c r="H976" t="s">
        <v>14</v>
      </c>
      <c r="I976" t="s">
        <v>16</v>
      </c>
      <c r="J976" t="s">
        <v>45</v>
      </c>
    </row>
    <row r="977" spans="1:10" x14ac:dyDescent="0.3">
      <c r="A977" t="s">
        <v>24</v>
      </c>
      <c r="B977">
        <v>50</v>
      </c>
      <c r="C977">
        <v>65000</v>
      </c>
      <c r="D977" t="s">
        <v>36</v>
      </c>
      <c r="E977" t="s">
        <v>12</v>
      </c>
      <c r="F977" t="s">
        <v>39</v>
      </c>
      <c r="G977" t="s">
        <v>40</v>
      </c>
      <c r="H977" t="s">
        <v>14</v>
      </c>
      <c r="J977" t="s">
        <v>28</v>
      </c>
    </row>
    <row r="978" spans="1:10" x14ac:dyDescent="0.3">
      <c r="A978" t="s">
        <v>17</v>
      </c>
      <c r="B978" t="s">
        <v>16</v>
      </c>
      <c r="C978">
        <v>70000</v>
      </c>
      <c r="D978" t="s">
        <v>11</v>
      </c>
      <c r="E978" t="s">
        <v>30</v>
      </c>
      <c r="F978" t="s">
        <v>20</v>
      </c>
      <c r="G978" s="2">
        <v>43881</v>
      </c>
      <c r="H978" t="s">
        <v>21</v>
      </c>
      <c r="I978" t="s">
        <v>22</v>
      </c>
      <c r="J978" t="s">
        <v>28</v>
      </c>
    </row>
    <row r="979" spans="1:10" x14ac:dyDescent="0.3">
      <c r="A979" t="s">
        <v>24</v>
      </c>
      <c r="B979">
        <v>50</v>
      </c>
      <c r="C979">
        <v>70000</v>
      </c>
      <c r="D979" t="s">
        <v>18</v>
      </c>
      <c r="E979" t="s">
        <v>19</v>
      </c>
      <c r="F979" t="s">
        <v>39</v>
      </c>
      <c r="G979" s="2">
        <v>43549</v>
      </c>
      <c r="H979" t="s">
        <v>31</v>
      </c>
      <c r="I979" t="s">
        <v>16</v>
      </c>
      <c r="J979" t="s">
        <v>16</v>
      </c>
    </row>
    <row r="980" spans="1:10" x14ac:dyDescent="0.3">
      <c r="A980" t="s">
        <v>24</v>
      </c>
      <c r="B980">
        <v>40</v>
      </c>
      <c r="C980">
        <v>50000</v>
      </c>
      <c r="D980" t="s">
        <v>11</v>
      </c>
      <c r="E980" t="s">
        <v>37</v>
      </c>
      <c r="F980" t="s">
        <v>20</v>
      </c>
      <c r="G980" s="2">
        <v>43881</v>
      </c>
      <c r="H980" t="s">
        <v>27</v>
      </c>
      <c r="J980" t="s">
        <v>23</v>
      </c>
    </row>
    <row r="981" spans="1:10" x14ac:dyDescent="0.3">
      <c r="A981" t="s">
        <v>29</v>
      </c>
      <c r="B981" t="s">
        <v>16</v>
      </c>
      <c r="C981" t="s">
        <v>34</v>
      </c>
      <c r="D981" t="s">
        <v>18</v>
      </c>
      <c r="E981" t="s">
        <v>12</v>
      </c>
      <c r="F981" t="s">
        <v>20</v>
      </c>
      <c r="G981" s="1">
        <v>43195</v>
      </c>
      <c r="H981" t="s">
        <v>41</v>
      </c>
      <c r="I981" t="s">
        <v>16</v>
      </c>
      <c r="J981" t="s">
        <v>33</v>
      </c>
    </row>
    <row r="982" spans="1:10" x14ac:dyDescent="0.3">
      <c r="A982" t="s">
        <v>17</v>
      </c>
      <c r="B982" t="s">
        <v>42</v>
      </c>
      <c r="C982">
        <v>55000</v>
      </c>
      <c r="D982" t="s">
        <v>11</v>
      </c>
      <c r="E982" t="s">
        <v>30</v>
      </c>
      <c r="F982" t="s">
        <v>39</v>
      </c>
      <c r="G982" t="s">
        <v>40</v>
      </c>
      <c r="H982" t="s">
        <v>14</v>
      </c>
      <c r="I982" t="s">
        <v>16</v>
      </c>
      <c r="J982" t="s">
        <v>33</v>
      </c>
    </row>
    <row r="983" spans="1:10" x14ac:dyDescent="0.3">
      <c r="A983" t="s">
        <v>47</v>
      </c>
      <c r="B983" t="s">
        <v>42</v>
      </c>
      <c r="C983">
        <v>55000</v>
      </c>
      <c r="D983" t="s">
        <v>18</v>
      </c>
      <c r="E983" t="s">
        <v>26</v>
      </c>
      <c r="F983" t="s">
        <v>13</v>
      </c>
      <c r="G983" s="2">
        <v>43845</v>
      </c>
      <c r="H983" t="s">
        <v>27</v>
      </c>
      <c r="I983" t="s">
        <v>16</v>
      </c>
      <c r="J983" t="s">
        <v>23</v>
      </c>
    </row>
    <row r="984" spans="1:10" x14ac:dyDescent="0.3">
      <c r="A984" t="s">
        <v>38</v>
      </c>
      <c r="B984" t="s">
        <v>16</v>
      </c>
      <c r="C984">
        <v>65000</v>
      </c>
      <c r="D984" t="s">
        <v>18</v>
      </c>
      <c r="E984" t="s">
        <v>12</v>
      </c>
      <c r="F984" t="s">
        <v>43</v>
      </c>
      <c r="G984" s="2">
        <v>43845</v>
      </c>
      <c r="H984" t="s">
        <v>14</v>
      </c>
      <c r="I984" t="s">
        <v>32</v>
      </c>
      <c r="J984" t="s">
        <v>23</v>
      </c>
    </row>
    <row r="985" spans="1:10" x14ac:dyDescent="0.3">
      <c r="A985" t="s">
        <v>38</v>
      </c>
      <c r="B985" t="s">
        <v>42</v>
      </c>
      <c r="C985">
        <v>65000</v>
      </c>
      <c r="D985" t="s">
        <v>18</v>
      </c>
      <c r="E985" t="s">
        <v>12</v>
      </c>
      <c r="F985" t="s">
        <v>20</v>
      </c>
      <c r="G985" t="s">
        <v>40</v>
      </c>
      <c r="H985" t="s">
        <v>14</v>
      </c>
      <c r="I985" t="s">
        <v>22</v>
      </c>
      <c r="J985" t="s">
        <v>45</v>
      </c>
    </row>
    <row r="986" spans="1:10" x14ac:dyDescent="0.3">
      <c r="A986" t="s">
        <v>17</v>
      </c>
      <c r="B986">
        <v>40</v>
      </c>
      <c r="C986" t="s">
        <v>34</v>
      </c>
      <c r="D986" t="s">
        <v>18</v>
      </c>
      <c r="E986" t="s">
        <v>37</v>
      </c>
      <c r="F986" t="s">
        <v>20</v>
      </c>
      <c r="G986" s="2">
        <v>43549</v>
      </c>
      <c r="H986" t="s">
        <v>41</v>
      </c>
      <c r="J986" t="s">
        <v>33</v>
      </c>
    </row>
    <row r="987" spans="1:10" x14ac:dyDescent="0.3">
      <c r="A987" t="s">
        <v>17</v>
      </c>
      <c r="B987">
        <v>25</v>
      </c>
      <c r="C987">
        <v>65000</v>
      </c>
      <c r="D987" t="s">
        <v>18</v>
      </c>
      <c r="E987" t="s">
        <v>30</v>
      </c>
      <c r="F987" t="s">
        <v>13</v>
      </c>
      <c r="G987" s="2">
        <v>43881</v>
      </c>
      <c r="H987" t="s">
        <v>21</v>
      </c>
      <c r="J987" t="s">
        <v>16</v>
      </c>
    </row>
    <row r="988" spans="1:10" x14ac:dyDescent="0.3">
      <c r="A988" t="s">
        <v>35</v>
      </c>
      <c r="B988">
        <v>40</v>
      </c>
      <c r="C988">
        <v>55000</v>
      </c>
      <c r="D988" t="s">
        <v>18</v>
      </c>
      <c r="E988" t="s">
        <v>19</v>
      </c>
      <c r="F988" t="s">
        <v>44</v>
      </c>
      <c r="G988" s="2">
        <v>43549</v>
      </c>
      <c r="H988" t="s">
        <v>31</v>
      </c>
      <c r="I988" t="s">
        <v>22</v>
      </c>
      <c r="J988" t="s">
        <v>28</v>
      </c>
    </row>
    <row r="989" spans="1:10" x14ac:dyDescent="0.3">
      <c r="A989" t="s">
        <v>29</v>
      </c>
      <c r="B989">
        <v>50</v>
      </c>
      <c r="C989" t="s">
        <v>25</v>
      </c>
      <c r="D989" t="s">
        <v>18</v>
      </c>
      <c r="E989" t="s">
        <v>26</v>
      </c>
      <c r="F989" t="s">
        <v>13</v>
      </c>
      <c r="G989" s="2">
        <v>43845</v>
      </c>
      <c r="H989" t="s">
        <v>21</v>
      </c>
      <c r="I989" t="s">
        <v>22</v>
      </c>
      <c r="J989" t="s">
        <v>45</v>
      </c>
    </row>
    <row r="990" spans="1:10" x14ac:dyDescent="0.3">
      <c r="A990" t="s">
        <v>17</v>
      </c>
      <c r="B990">
        <v>40</v>
      </c>
      <c r="C990">
        <v>70000</v>
      </c>
      <c r="D990" t="s">
        <v>18</v>
      </c>
      <c r="E990" t="s">
        <v>30</v>
      </c>
      <c r="F990" t="s">
        <v>13</v>
      </c>
      <c r="G990" t="s">
        <v>40</v>
      </c>
      <c r="H990" t="s">
        <v>27</v>
      </c>
      <c r="I990" t="s">
        <v>22</v>
      </c>
      <c r="J990" t="s">
        <v>33</v>
      </c>
    </row>
    <row r="991" spans="1:10" x14ac:dyDescent="0.3">
      <c r="A991" t="s">
        <v>35</v>
      </c>
      <c r="B991">
        <v>50</v>
      </c>
      <c r="C991" t="s">
        <v>25</v>
      </c>
      <c r="D991" t="s">
        <v>18</v>
      </c>
      <c r="E991" t="s">
        <v>26</v>
      </c>
      <c r="F991" t="s">
        <v>20</v>
      </c>
      <c r="G991" t="s">
        <v>40</v>
      </c>
      <c r="H991" t="s">
        <v>21</v>
      </c>
      <c r="I991" t="s">
        <v>22</v>
      </c>
      <c r="J991" t="s">
        <v>23</v>
      </c>
    </row>
    <row r="992" spans="1:10" x14ac:dyDescent="0.3">
      <c r="A992" t="s">
        <v>24</v>
      </c>
      <c r="B992" t="s">
        <v>42</v>
      </c>
      <c r="C992" t="s">
        <v>25</v>
      </c>
      <c r="D992" t="s">
        <v>11</v>
      </c>
      <c r="E992" t="s">
        <v>12</v>
      </c>
      <c r="F992" t="s">
        <v>43</v>
      </c>
      <c r="G992" s="2">
        <v>43549</v>
      </c>
      <c r="H992" t="s">
        <v>27</v>
      </c>
      <c r="I992" t="s">
        <v>15</v>
      </c>
      <c r="J992" t="s">
        <v>33</v>
      </c>
    </row>
    <row r="993" spans="1:10" x14ac:dyDescent="0.3">
      <c r="A993" t="s">
        <v>46</v>
      </c>
      <c r="B993">
        <v>25</v>
      </c>
      <c r="C993">
        <v>55000</v>
      </c>
      <c r="D993" t="s">
        <v>36</v>
      </c>
      <c r="E993" t="s">
        <v>37</v>
      </c>
      <c r="F993" t="s">
        <v>13</v>
      </c>
      <c r="G993" s="2">
        <v>43549</v>
      </c>
      <c r="H993" t="s">
        <v>27</v>
      </c>
      <c r="J993" t="s">
        <v>16</v>
      </c>
    </row>
    <row r="994" spans="1:10" x14ac:dyDescent="0.3">
      <c r="A994" t="s">
        <v>46</v>
      </c>
      <c r="B994" t="s">
        <v>42</v>
      </c>
      <c r="C994" t="s">
        <v>25</v>
      </c>
      <c r="D994" t="s">
        <v>18</v>
      </c>
      <c r="E994" t="s">
        <v>37</v>
      </c>
      <c r="F994" t="s">
        <v>44</v>
      </c>
      <c r="G994" s="2">
        <v>43881</v>
      </c>
      <c r="H994" t="s">
        <v>31</v>
      </c>
      <c r="I994" t="s">
        <v>15</v>
      </c>
      <c r="J994" t="s">
        <v>45</v>
      </c>
    </row>
    <row r="995" spans="1:10" x14ac:dyDescent="0.3">
      <c r="A995" t="s">
        <v>24</v>
      </c>
      <c r="B995">
        <v>35</v>
      </c>
      <c r="C995" t="s">
        <v>34</v>
      </c>
      <c r="D995" t="s">
        <v>36</v>
      </c>
      <c r="E995" t="s">
        <v>19</v>
      </c>
      <c r="F995" t="s">
        <v>39</v>
      </c>
      <c r="G995" s="1">
        <v>43195</v>
      </c>
      <c r="H995" t="s">
        <v>41</v>
      </c>
      <c r="I995" t="s">
        <v>16</v>
      </c>
      <c r="J995" t="s">
        <v>23</v>
      </c>
    </row>
    <row r="996" spans="1:10" x14ac:dyDescent="0.3">
      <c r="A996" t="s">
        <v>10</v>
      </c>
      <c r="B996" t="s">
        <v>42</v>
      </c>
      <c r="C996">
        <v>50000</v>
      </c>
      <c r="D996" t="s">
        <v>18</v>
      </c>
      <c r="E996" t="s">
        <v>37</v>
      </c>
      <c r="F996" t="s">
        <v>13</v>
      </c>
      <c r="G996" s="1">
        <v>43195</v>
      </c>
      <c r="H996" t="s">
        <v>31</v>
      </c>
      <c r="I996" t="s">
        <v>16</v>
      </c>
      <c r="J996" t="s">
        <v>16</v>
      </c>
    </row>
    <row r="997" spans="1:10" x14ac:dyDescent="0.3">
      <c r="A997" t="s">
        <v>35</v>
      </c>
      <c r="B997">
        <v>50</v>
      </c>
      <c r="C997">
        <v>65000</v>
      </c>
      <c r="D997" t="s">
        <v>18</v>
      </c>
      <c r="E997" t="s">
        <v>12</v>
      </c>
      <c r="F997" t="s">
        <v>13</v>
      </c>
      <c r="G997" s="2">
        <v>43881</v>
      </c>
      <c r="H997" t="s">
        <v>21</v>
      </c>
      <c r="J997" t="s">
        <v>28</v>
      </c>
    </row>
    <row r="998" spans="1:10" x14ac:dyDescent="0.3">
      <c r="A998" t="s">
        <v>35</v>
      </c>
      <c r="B998" t="s">
        <v>42</v>
      </c>
      <c r="C998">
        <v>50000</v>
      </c>
      <c r="D998" t="s">
        <v>11</v>
      </c>
      <c r="E998" t="s">
        <v>19</v>
      </c>
      <c r="F998" t="s">
        <v>44</v>
      </c>
      <c r="G998" s="1">
        <v>43195</v>
      </c>
      <c r="H998" t="s">
        <v>27</v>
      </c>
      <c r="I998" t="s">
        <v>16</v>
      </c>
      <c r="J998" t="s">
        <v>45</v>
      </c>
    </row>
    <row r="999" spans="1:10" x14ac:dyDescent="0.3">
      <c r="A999" t="s">
        <v>24</v>
      </c>
      <c r="B999" t="s">
        <v>42</v>
      </c>
      <c r="C999">
        <v>70000</v>
      </c>
      <c r="D999" t="s">
        <v>11</v>
      </c>
      <c r="E999" t="s">
        <v>30</v>
      </c>
      <c r="F999" t="s">
        <v>43</v>
      </c>
      <c r="G999" s="2">
        <v>43845</v>
      </c>
      <c r="H999" t="s">
        <v>14</v>
      </c>
      <c r="I999" t="s">
        <v>22</v>
      </c>
      <c r="J999" t="s">
        <v>16</v>
      </c>
    </row>
    <row r="1000" spans="1:10" x14ac:dyDescent="0.3">
      <c r="A1000" t="s">
        <v>47</v>
      </c>
      <c r="B1000">
        <v>25</v>
      </c>
      <c r="C1000">
        <v>65000</v>
      </c>
      <c r="D1000" t="s">
        <v>36</v>
      </c>
      <c r="E1000" t="s">
        <v>37</v>
      </c>
      <c r="F1000" t="s">
        <v>13</v>
      </c>
      <c r="G1000" s="1">
        <v>43195</v>
      </c>
      <c r="H1000" t="s">
        <v>14</v>
      </c>
      <c r="I1000" t="s">
        <v>15</v>
      </c>
      <c r="J1000" t="s">
        <v>16</v>
      </c>
    </row>
    <row r="1001" spans="1:10" x14ac:dyDescent="0.3">
      <c r="A1001" t="s">
        <v>49</v>
      </c>
      <c r="B1001" t="s">
        <v>42</v>
      </c>
      <c r="C1001" t="s">
        <v>25</v>
      </c>
      <c r="D1001" t="s">
        <v>11</v>
      </c>
      <c r="E1001" t="s">
        <v>19</v>
      </c>
      <c r="F1001" t="s">
        <v>13</v>
      </c>
      <c r="G1001" s="2">
        <v>43881</v>
      </c>
      <c r="H1001" t="s">
        <v>27</v>
      </c>
      <c r="I1001" t="s">
        <v>22</v>
      </c>
      <c r="J1001" t="s">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B0F0"/>
  </sheetPr>
  <dimension ref="A1:J1001"/>
  <sheetViews>
    <sheetView tabSelected="1" workbookViewId="0">
      <selection sqref="A1:J1001"/>
    </sheetView>
  </sheetViews>
  <sheetFormatPr defaultRowHeight="14.4" x14ac:dyDescent="0.3"/>
  <cols>
    <col min="2" max="2" width="12.33203125" customWidth="1"/>
    <col min="3" max="3" width="12.77734375" style="6" customWidth="1"/>
    <col min="4" max="4" width="15.21875" customWidth="1"/>
    <col min="5" max="5" width="13" customWidth="1"/>
    <col min="6" max="6" width="11.88671875" customWidth="1"/>
    <col min="7" max="7" width="20.6640625" customWidth="1"/>
    <col min="8" max="8" width="13.109375" customWidth="1"/>
    <col min="9" max="9" width="20.77734375" customWidth="1"/>
    <col min="10" max="10" width="18.88671875" customWidth="1"/>
  </cols>
  <sheetData>
    <row r="1" spans="1:10" ht="25.2" customHeight="1" x14ac:dyDescent="0.3">
      <c r="A1" t="s">
        <v>0</v>
      </c>
      <c r="B1" t="s">
        <v>1</v>
      </c>
      <c r="C1" s="6" t="s">
        <v>2</v>
      </c>
      <c r="D1" t="s">
        <v>3</v>
      </c>
      <c r="E1" t="s">
        <v>4</v>
      </c>
      <c r="F1" t="s">
        <v>5</v>
      </c>
      <c r="G1" s="8" t="s">
        <v>6</v>
      </c>
      <c r="H1" s="8" t="s">
        <v>7</v>
      </c>
      <c r="I1" t="s">
        <v>8</v>
      </c>
      <c r="J1" t="s">
        <v>70</v>
      </c>
    </row>
    <row r="2" spans="1:10" x14ac:dyDescent="0.3">
      <c r="A2" t="s">
        <v>51</v>
      </c>
      <c r="B2">
        <v>25</v>
      </c>
      <c r="C2" s="6">
        <v>50000</v>
      </c>
      <c r="D2" t="s">
        <v>11</v>
      </c>
      <c r="E2" t="s">
        <v>12</v>
      </c>
      <c r="F2" t="s">
        <v>13</v>
      </c>
      <c r="G2" s="7">
        <v>43195</v>
      </c>
      <c r="H2" t="s">
        <v>14</v>
      </c>
      <c r="I2" t="s">
        <v>15</v>
      </c>
      <c r="J2" t="s">
        <v>69</v>
      </c>
    </row>
    <row r="3" spans="1:10" x14ac:dyDescent="0.3">
      <c r="A3" t="s">
        <v>52</v>
      </c>
      <c r="B3">
        <v>36</v>
      </c>
      <c r="C3" s="6">
        <v>65000</v>
      </c>
      <c r="D3" t="s">
        <v>18</v>
      </c>
      <c r="E3" t="s">
        <v>19</v>
      </c>
      <c r="F3" t="s">
        <v>20</v>
      </c>
      <c r="G3" s="7">
        <v>43881</v>
      </c>
      <c r="H3" t="s">
        <v>21</v>
      </c>
      <c r="I3" t="s">
        <v>22</v>
      </c>
      <c r="J3" t="s">
        <v>23</v>
      </c>
    </row>
    <row r="4" spans="1:10" x14ac:dyDescent="0.3">
      <c r="A4" t="s">
        <v>53</v>
      </c>
      <c r="B4">
        <v>35</v>
      </c>
      <c r="C4" s="6">
        <v>60000</v>
      </c>
      <c r="D4" t="s">
        <v>18</v>
      </c>
      <c r="E4" t="s">
        <v>26</v>
      </c>
      <c r="F4" t="s">
        <v>20</v>
      </c>
      <c r="G4" s="7">
        <v>43845</v>
      </c>
      <c r="H4" t="s">
        <v>27</v>
      </c>
      <c r="I4" t="s">
        <v>15</v>
      </c>
      <c r="J4" t="s">
        <v>28</v>
      </c>
    </row>
    <row r="5" spans="1:10" x14ac:dyDescent="0.3">
      <c r="A5" t="s">
        <v>54</v>
      </c>
      <c r="B5">
        <v>36</v>
      </c>
      <c r="C5" s="6">
        <v>50000</v>
      </c>
      <c r="D5" t="s">
        <v>18</v>
      </c>
      <c r="E5" t="s">
        <v>30</v>
      </c>
      <c r="F5" t="s">
        <v>13</v>
      </c>
      <c r="G5" s="7">
        <v>43195</v>
      </c>
      <c r="H5" t="s">
        <v>31</v>
      </c>
      <c r="I5" t="s">
        <v>32</v>
      </c>
      <c r="J5" t="s">
        <v>69</v>
      </c>
    </row>
    <row r="6" spans="1:10" x14ac:dyDescent="0.3">
      <c r="A6" t="s">
        <v>51</v>
      </c>
      <c r="B6">
        <v>36</v>
      </c>
      <c r="C6" s="6" t="s">
        <v>68</v>
      </c>
      <c r="D6" t="s">
        <v>18</v>
      </c>
      <c r="E6" t="s">
        <v>19</v>
      </c>
      <c r="F6" t="s">
        <v>13</v>
      </c>
      <c r="G6" s="7">
        <v>43845</v>
      </c>
      <c r="H6" t="s">
        <v>21</v>
      </c>
      <c r="I6" t="s">
        <v>32</v>
      </c>
      <c r="J6" t="s">
        <v>28</v>
      </c>
    </row>
    <row r="7" spans="1:10" x14ac:dyDescent="0.3">
      <c r="A7" t="s">
        <v>55</v>
      </c>
      <c r="B7">
        <v>36</v>
      </c>
      <c r="C7" s="6">
        <v>65000</v>
      </c>
      <c r="D7" t="s">
        <v>36</v>
      </c>
      <c r="E7" t="s">
        <v>37</v>
      </c>
      <c r="F7" t="s">
        <v>20</v>
      </c>
      <c r="G7" s="7">
        <v>43549</v>
      </c>
      <c r="H7" t="s">
        <v>21</v>
      </c>
      <c r="I7" t="s">
        <v>22</v>
      </c>
      <c r="J7" t="s">
        <v>69</v>
      </c>
    </row>
    <row r="8" spans="1:10" x14ac:dyDescent="0.3">
      <c r="A8" t="s">
        <v>56</v>
      </c>
      <c r="B8">
        <v>36</v>
      </c>
      <c r="C8" s="6">
        <v>50000</v>
      </c>
      <c r="D8" t="s">
        <v>11</v>
      </c>
      <c r="E8" t="s">
        <v>37</v>
      </c>
      <c r="F8" t="s">
        <v>39</v>
      </c>
      <c r="G8" s="7">
        <v>43800</v>
      </c>
      <c r="H8" t="s">
        <v>41</v>
      </c>
      <c r="I8" t="s">
        <v>69</v>
      </c>
      <c r="J8" t="s">
        <v>23</v>
      </c>
    </row>
    <row r="9" spans="1:10" x14ac:dyDescent="0.3">
      <c r="A9" t="s">
        <v>51</v>
      </c>
      <c r="B9">
        <v>40</v>
      </c>
      <c r="C9" s="6">
        <v>50000</v>
      </c>
      <c r="D9" t="s">
        <v>36</v>
      </c>
      <c r="E9" t="s">
        <v>12</v>
      </c>
      <c r="F9" t="s">
        <v>20</v>
      </c>
      <c r="G9" s="7">
        <v>43549</v>
      </c>
      <c r="H9" t="s">
        <v>27</v>
      </c>
      <c r="I9" t="s">
        <v>69</v>
      </c>
      <c r="J9" t="s">
        <v>69</v>
      </c>
    </row>
    <row r="10" spans="1:10" x14ac:dyDescent="0.3">
      <c r="A10" t="s">
        <v>53</v>
      </c>
      <c r="B10">
        <v>40</v>
      </c>
      <c r="C10" s="6">
        <v>60000</v>
      </c>
      <c r="D10" t="s">
        <v>18</v>
      </c>
      <c r="E10" t="s">
        <v>12</v>
      </c>
      <c r="F10" t="s">
        <v>13</v>
      </c>
      <c r="G10" s="7">
        <v>43845</v>
      </c>
      <c r="H10" t="s">
        <v>27</v>
      </c>
      <c r="I10" t="s">
        <v>22</v>
      </c>
      <c r="J10" t="s">
        <v>23</v>
      </c>
    </row>
    <row r="11" spans="1:10" x14ac:dyDescent="0.3">
      <c r="A11" t="s">
        <v>54</v>
      </c>
      <c r="B11">
        <v>30</v>
      </c>
      <c r="C11" s="6" t="s">
        <v>68</v>
      </c>
      <c r="D11" t="s">
        <v>36</v>
      </c>
      <c r="E11" t="s">
        <v>19</v>
      </c>
      <c r="F11" t="s">
        <v>43</v>
      </c>
      <c r="G11" s="7">
        <v>43881</v>
      </c>
      <c r="H11" t="s">
        <v>31</v>
      </c>
      <c r="I11" t="s">
        <v>69</v>
      </c>
      <c r="J11" t="s">
        <v>69</v>
      </c>
    </row>
    <row r="12" spans="1:10" x14ac:dyDescent="0.3">
      <c r="A12" t="s">
        <v>52</v>
      </c>
      <c r="B12">
        <v>25</v>
      </c>
      <c r="C12" s="6">
        <v>70000</v>
      </c>
      <c r="D12" t="s">
        <v>11</v>
      </c>
      <c r="E12" t="s">
        <v>37</v>
      </c>
      <c r="F12" t="s">
        <v>44</v>
      </c>
      <c r="G12" s="7">
        <v>43800</v>
      </c>
      <c r="H12" t="s">
        <v>41</v>
      </c>
      <c r="I12" t="s">
        <v>69</v>
      </c>
      <c r="J12" t="s">
        <v>23</v>
      </c>
    </row>
    <row r="13" spans="1:10" x14ac:dyDescent="0.3">
      <c r="A13" t="s">
        <v>53</v>
      </c>
      <c r="B13">
        <v>36</v>
      </c>
      <c r="C13" s="6">
        <v>70000</v>
      </c>
      <c r="D13" t="s">
        <v>36</v>
      </c>
      <c r="E13" t="s">
        <v>19</v>
      </c>
      <c r="F13" t="s">
        <v>43</v>
      </c>
      <c r="G13" s="7">
        <v>43549</v>
      </c>
      <c r="H13" t="s">
        <v>31</v>
      </c>
      <c r="I13" t="s">
        <v>69</v>
      </c>
      <c r="J13" t="s">
        <v>69</v>
      </c>
    </row>
    <row r="14" spans="1:10" x14ac:dyDescent="0.3">
      <c r="A14" t="s">
        <v>53</v>
      </c>
      <c r="B14">
        <v>30</v>
      </c>
      <c r="C14" s="6">
        <v>50000</v>
      </c>
      <c r="D14" t="s">
        <v>11</v>
      </c>
      <c r="E14" t="s">
        <v>30</v>
      </c>
      <c r="F14" t="s">
        <v>43</v>
      </c>
      <c r="G14" s="7">
        <v>43195</v>
      </c>
      <c r="H14" t="s">
        <v>14</v>
      </c>
      <c r="I14" t="s">
        <v>69</v>
      </c>
      <c r="J14" t="s">
        <v>69</v>
      </c>
    </row>
    <row r="15" spans="1:10" x14ac:dyDescent="0.3">
      <c r="A15" t="s">
        <v>56</v>
      </c>
      <c r="B15">
        <v>25</v>
      </c>
      <c r="C15" s="6">
        <v>55000</v>
      </c>
      <c r="D15" t="s">
        <v>36</v>
      </c>
      <c r="E15" t="s">
        <v>12</v>
      </c>
      <c r="F15" t="s">
        <v>13</v>
      </c>
      <c r="G15" s="7">
        <v>43881</v>
      </c>
      <c r="H15" t="s">
        <v>21</v>
      </c>
      <c r="I15" t="s">
        <v>69</v>
      </c>
      <c r="J15" t="s">
        <v>45</v>
      </c>
    </row>
    <row r="16" spans="1:10" x14ac:dyDescent="0.3">
      <c r="A16" t="s">
        <v>57</v>
      </c>
      <c r="B16">
        <v>50</v>
      </c>
      <c r="C16" s="6" t="s">
        <v>68</v>
      </c>
      <c r="D16" t="s">
        <v>11</v>
      </c>
      <c r="E16" t="s">
        <v>37</v>
      </c>
      <c r="F16" t="s">
        <v>20</v>
      </c>
      <c r="G16" s="7">
        <v>43549</v>
      </c>
      <c r="H16" t="s">
        <v>31</v>
      </c>
      <c r="I16" t="s">
        <v>69</v>
      </c>
      <c r="J16" t="s">
        <v>23</v>
      </c>
    </row>
    <row r="17" spans="1:10" x14ac:dyDescent="0.3">
      <c r="A17" t="s">
        <v>54</v>
      </c>
      <c r="B17">
        <v>35</v>
      </c>
      <c r="C17" s="6">
        <v>65000</v>
      </c>
      <c r="D17" t="s">
        <v>11</v>
      </c>
      <c r="E17" t="s">
        <v>19</v>
      </c>
      <c r="F17" t="s">
        <v>39</v>
      </c>
      <c r="G17" s="7">
        <v>43195</v>
      </c>
      <c r="H17" t="s">
        <v>21</v>
      </c>
      <c r="I17" t="s">
        <v>69</v>
      </c>
      <c r="J17" t="s">
        <v>23</v>
      </c>
    </row>
    <row r="18" spans="1:10" x14ac:dyDescent="0.3">
      <c r="A18" t="s">
        <v>58</v>
      </c>
      <c r="B18">
        <v>40</v>
      </c>
      <c r="C18" s="6">
        <v>55000</v>
      </c>
      <c r="D18" t="s">
        <v>18</v>
      </c>
      <c r="E18" t="s">
        <v>26</v>
      </c>
      <c r="F18" t="s">
        <v>43</v>
      </c>
      <c r="G18" s="7">
        <v>43845</v>
      </c>
      <c r="H18" t="s">
        <v>41</v>
      </c>
      <c r="I18" t="s">
        <v>69</v>
      </c>
      <c r="J18" t="s">
        <v>28</v>
      </c>
    </row>
    <row r="19" spans="1:10" x14ac:dyDescent="0.3">
      <c r="A19" t="s">
        <v>53</v>
      </c>
      <c r="B19">
        <v>50</v>
      </c>
      <c r="C19" s="6">
        <v>55000</v>
      </c>
      <c r="D19" t="s">
        <v>11</v>
      </c>
      <c r="E19" t="s">
        <v>12</v>
      </c>
      <c r="F19" t="s">
        <v>20</v>
      </c>
      <c r="G19" s="7">
        <v>43195</v>
      </c>
      <c r="H19" t="s">
        <v>14</v>
      </c>
      <c r="I19" t="s">
        <v>22</v>
      </c>
      <c r="J19" t="s">
        <v>69</v>
      </c>
    </row>
    <row r="20" spans="1:10" x14ac:dyDescent="0.3">
      <c r="A20" t="s">
        <v>57</v>
      </c>
      <c r="B20">
        <v>25</v>
      </c>
      <c r="C20" s="6" t="s">
        <v>68</v>
      </c>
      <c r="D20" t="s">
        <v>18</v>
      </c>
      <c r="E20" t="s">
        <v>30</v>
      </c>
      <c r="F20" t="s">
        <v>39</v>
      </c>
      <c r="G20" s="7">
        <v>43549</v>
      </c>
      <c r="H20" t="s">
        <v>41</v>
      </c>
      <c r="I20" t="s">
        <v>15</v>
      </c>
      <c r="J20" t="s">
        <v>45</v>
      </c>
    </row>
    <row r="21" spans="1:10" x14ac:dyDescent="0.3">
      <c r="A21" t="s">
        <v>58</v>
      </c>
      <c r="B21">
        <v>50</v>
      </c>
      <c r="C21" s="6">
        <v>50000</v>
      </c>
      <c r="D21" t="s">
        <v>18</v>
      </c>
      <c r="E21" t="s">
        <v>19</v>
      </c>
      <c r="F21" t="s">
        <v>43</v>
      </c>
      <c r="G21" s="7">
        <v>43549</v>
      </c>
      <c r="H21" t="s">
        <v>14</v>
      </c>
      <c r="I21" t="s">
        <v>22</v>
      </c>
      <c r="J21" t="s">
        <v>69</v>
      </c>
    </row>
    <row r="22" spans="1:10" x14ac:dyDescent="0.3">
      <c r="A22" t="s">
        <v>54</v>
      </c>
      <c r="B22">
        <v>35</v>
      </c>
      <c r="C22" s="6">
        <v>50000</v>
      </c>
      <c r="D22" t="s">
        <v>18</v>
      </c>
      <c r="E22" t="s">
        <v>30</v>
      </c>
      <c r="F22" t="s">
        <v>39</v>
      </c>
      <c r="G22" s="7">
        <v>43845</v>
      </c>
      <c r="H22" t="s">
        <v>14</v>
      </c>
      <c r="I22" t="s">
        <v>15</v>
      </c>
      <c r="J22" t="s">
        <v>28</v>
      </c>
    </row>
    <row r="23" spans="1:10" x14ac:dyDescent="0.3">
      <c r="A23" t="s">
        <v>59</v>
      </c>
      <c r="B23">
        <v>25</v>
      </c>
      <c r="C23" s="6">
        <v>50000</v>
      </c>
      <c r="D23" t="s">
        <v>36</v>
      </c>
      <c r="E23" t="s">
        <v>30</v>
      </c>
      <c r="F23" t="s">
        <v>20</v>
      </c>
      <c r="G23" s="7">
        <v>43195</v>
      </c>
      <c r="H23" t="s">
        <v>21</v>
      </c>
      <c r="I23" t="s">
        <v>22</v>
      </c>
      <c r="J23" t="s">
        <v>45</v>
      </c>
    </row>
    <row r="24" spans="1:10" x14ac:dyDescent="0.3">
      <c r="A24" t="s">
        <v>55</v>
      </c>
      <c r="B24">
        <v>50</v>
      </c>
      <c r="C24" s="6">
        <v>50000</v>
      </c>
      <c r="D24" t="s">
        <v>36</v>
      </c>
      <c r="E24" t="s">
        <v>37</v>
      </c>
      <c r="F24" t="s">
        <v>44</v>
      </c>
      <c r="G24" s="7">
        <v>43195</v>
      </c>
      <c r="H24" t="s">
        <v>41</v>
      </c>
      <c r="I24" t="s">
        <v>15</v>
      </c>
      <c r="J24" t="s">
        <v>69</v>
      </c>
    </row>
    <row r="25" spans="1:10" x14ac:dyDescent="0.3">
      <c r="A25" t="s">
        <v>57</v>
      </c>
      <c r="B25">
        <v>40</v>
      </c>
      <c r="C25" s="6">
        <v>70000</v>
      </c>
      <c r="D25" t="s">
        <v>36</v>
      </c>
      <c r="E25" t="s">
        <v>37</v>
      </c>
      <c r="F25" t="s">
        <v>20</v>
      </c>
      <c r="G25" s="7">
        <v>43845</v>
      </c>
      <c r="H25" t="s">
        <v>41</v>
      </c>
      <c r="I25" t="s">
        <v>15</v>
      </c>
      <c r="J25" t="s">
        <v>45</v>
      </c>
    </row>
    <row r="26" spans="1:10" x14ac:dyDescent="0.3">
      <c r="A26" t="s">
        <v>60</v>
      </c>
      <c r="B26">
        <v>40</v>
      </c>
      <c r="C26" s="6">
        <v>50000</v>
      </c>
      <c r="D26" t="s">
        <v>36</v>
      </c>
      <c r="E26" t="s">
        <v>19</v>
      </c>
      <c r="F26" t="s">
        <v>13</v>
      </c>
      <c r="G26" s="7">
        <v>43195</v>
      </c>
      <c r="H26" t="s">
        <v>31</v>
      </c>
      <c r="I26" t="s">
        <v>32</v>
      </c>
      <c r="J26" t="s">
        <v>23</v>
      </c>
    </row>
    <row r="27" spans="1:10" x14ac:dyDescent="0.3">
      <c r="A27" t="s">
        <v>59</v>
      </c>
      <c r="B27">
        <v>30</v>
      </c>
      <c r="C27" s="6">
        <v>70000</v>
      </c>
      <c r="D27" t="s">
        <v>11</v>
      </c>
      <c r="E27" t="s">
        <v>26</v>
      </c>
      <c r="F27" t="s">
        <v>39</v>
      </c>
      <c r="G27" s="7">
        <v>43845</v>
      </c>
      <c r="H27" t="s">
        <v>41</v>
      </c>
      <c r="I27" t="s">
        <v>15</v>
      </c>
      <c r="J27" t="s">
        <v>23</v>
      </c>
    </row>
    <row r="28" spans="1:10" x14ac:dyDescent="0.3">
      <c r="A28" t="s">
        <v>55</v>
      </c>
      <c r="B28">
        <v>50</v>
      </c>
      <c r="C28" s="6">
        <v>70000</v>
      </c>
      <c r="D28" t="s">
        <v>11</v>
      </c>
      <c r="E28" t="s">
        <v>19</v>
      </c>
      <c r="F28" t="s">
        <v>44</v>
      </c>
      <c r="G28" s="7">
        <v>43881</v>
      </c>
      <c r="H28" t="s">
        <v>31</v>
      </c>
      <c r="I28" t="s">
        <v>15</v>
      </c>
      <c r="J28" t="s">
        <v>28</v>
      </c>
    </row>
    <row r="29" spans="1:10" x14ac:dyDescent="0.3">
      <c r="A29" t="s">
        <v>56</v>
      </c>
      <c r="B29">
        <v>36</v>
      </c>
      <c r="C29" s="6">
        <v>50000</v>
      </c>
      <c r="D29" t="s">
        <v>36</v>
      </c>
      <c r="E29" t="s">
        <v>26</v>
      </c>
      <c r="F29" t="s">
        <v>39</v>
      </c>
      <c r="G29" s="7">
        <v>43549</v>
      </c>
      <c r="H29" t="s">
        <v>27</v>
      </c>
      <c r="I29" t="s">
        <v>32</v>
      </c>
      <c r="J29" t="s">
        <v>69</v>
      </c>
    </row>
    <row r="30" spans="1:10" x14ac:dyDescent="0.3">
      <c r="A30" t="s">
        <v>51</v>
      </c>
      <c r="B30">
        <v>50</v>
      </c>
      <c r="C30" s="6">
        <v>60000</v>
      </c>
      <c r="D30" t="s">
        <v>11</v>
      </c>
      <c r="E30" t="s">
        <v>30</v>
      </c>
      <c r="F30" t="s">
        <v>39</v>
      </c>
      <c r="G30" s="7">
        <v>43881</v>
      </c>
      <c r="H30" t="s">
        <v>27</v>
      </c>
      <c r="I30" t="s">
        <v>69</v>
      </c>
      <c r="J30" t="s">
        <v>69</v>
      </c>
    </row>
    <row r="31" spans="1:10" x14ac:dyDescent="0.3">
      <c r="A31" t="s">
        <v>52</v>
      </c>
      <c r="B31">
        <v>25</v>
      </c>
      <c r="C31" s="6">
        <v>65000</v>
      </c>
      <c r="D31" t="s">
        <v>11</v>
      </c>
      <c r="E31" t="s">
        <v>12</v>
      </c>
      <c r="F31" t="s">
        <v>43</v>
      </c>
      <c r="G31" s="7">
        <v>43800</v>
      </c>
      <c r="H31" t="s">
        <v>27</v>
      </c>
      <c r="I31" t="s">
        <v>69</v>
      </c>
      <c r="J31" t="s">
        <v>45</v>
      </c>
    </row>
    <row r="32" spans="1:10" x14ac:dyDescent="0.3">
      <c r="A32" t="s">
        <v>60</v>
      </c>
      <c r="B32">
        <v>25</v>
      </c>
      <c r="C32" s="6">
        <v>55000</v>
      </c>
      <c r="D32" t="s">
        <v>18</v>
      </c>
      <c r="E32" t="s">
        <v>19</v>
      </c>
      <c r="F32" t="s">
        <v>13</v>
      </c>
      <c r="G32" s="7">
        <v>43800</v>
      </c>
      <c r="H32" t="s">
        <v>41</v>
      </c>
      <c r="I32" t="s">
        <v>32</v>
      </c>
      <c r="J32" t="s">
        <v>28</v>
      </c>
    </row>
    <row r="33" spans="1:10" x14ac:dyDescent="0.3">
      <c r="A33" t="s">
        <v>56</v>
      </c>
      <c r="B33">
        <v>50</v>
      </c>
      <c r="C33" s="6">
        <v>70000</v>
      </c>
      <c r="D33" t="s">
        <v>18</v>
      </c>
      <c r="E33" t="s">
        <v>19</v>
      </c>
      <c r="F33" t="s">
        <v>39</v>
      </c>
      <c r="G33" s="7">
        <v>43800</v>
      </c>
      <c r="H33" t="s">
        <v>41</v>
      </c>
      <c r="I33" t="s">
        <v>69</v>
      </c>
      <c r="J33" t="s">
        <v>69</v>
      </c>
    </row>
    <row r="34" spans="1:10" x14ac:dyDescent="0.3">
      <c r="A34" t="s">
        <v>54</v>
      </c>
      <c r="B34">
        <v>35</v>
      </c>
      <c r="C34" s="6" t="s">
        <v>68</v>
      </c>
      <c r="D34" t="s">
        <v>18</v>
      </c>
      <c r="E34" t="s">
        <v>26</v>
      </c>
      <c r="F34" t="s">
        <v>20</v>
      </c>
      <c r="G34" s="7">
        <v>43845</v>
      </c>
      <c r="H34" t="s">
        <v>31</v>
      </c>
      <c r="I34" t="s">
        <v>15</v>
      </c>
      <c r="J34" t="s">
        <v>23</v>
      </c>
    </row>
    <row r="35" spans="1:10" x14ac:dyDescent="0.3">
      <c r="A35" t="s">
        <v>56</v>
      </c>
      <c r="B35">
        <v>40</v>
      </c>
      <c r="C35" s="6" t="s">
        <v>68</v>
      </c>
      <c r="D35" t="s">
        <v>18</v>
      </c>
      <c r="E35" t="s">
        <v>30</v>
      </c>
      <c r="F35" t="s">
        <v>20</v>
      </c>
      <c r="G35" s="7">
        <v>43195</v>
      </c>
      <c r="H35" t="s">
        <v>14</v>
      </c>
      <c r="I35" t="s">
        <v>15</v>
      </c>
      <c r="J35" t="s">
        <v>45</v>
      </c>
    </row>
    <row r="36" spans="1:10" x14ac:dyDescent="0.3">
      <c r="A36" t="s">
        <v>51</v>
      </c>
      <c r="B36">
        <v>25</v>
      </c>
      <c r="C36" s="6">
        <v>65000</v>
      </c>
      <c r="D36" t="s">
        <v>11</v>
      </c>
      <c r="E36" t="s">
        <v>30</v>
      </c>
      <c r="F36" t="s">
        <v>43</v>
      </c>
      <c r="G36" s="7">
        <v>43881</v>
      </c>
      <c r="H36" t="s">
        <v>31</v>
      </c>
      <c r="I36" t="s">
        <v>32</v>
      </c>
      <c r="J36" t="s">
        <v>69</v>
      </c>
    </row>
    <row r="37" spans="1:10" x14ac:dyDescent="0.3">
      <c r="A37" t="s">
        <v>54</v>
      </c>
      <c r="B37">
        <v>40</v>
      </c>
      <c r="C37" s="6" t="s">
        <v>68</v>
      </c>
      <c r="D37" t="s">
        <v>36</v>
      </c>
      <c r="E37" t="s">
        <v>26</v>
      </c>
      <c r="F37" t="s">
        <v>13</v>
      </c>
      <c r="G37" s="7">
        <v>43881</v>
      </c>
      <c r="H37" t="s">
        <v>27</v>
      </c>
      <c r="I37" t="s">
        <v>32</v>
      </c>
      <c r="J37" t="s">
        <v>23</v>
      </c>
    </row>
    <row r="38" spans="1:10" x14ac:dyDescent="0.3">
      <c r="A38" t="s">
        <v>60</v>
      </c>
      <c r="B38">
        <v>25</v>
      </c>
      <c r="C38" s="6">
        <v>60000</v>
      </c>
      <c r="D38" t="s">
        <v>11</v>
      </c>
      <c r="E38" t="s">
        <v>30</v>
      </c>
      <c r="F38" t="s">
        <v>13</v>
      </c>
      <c r="G38" s="7">
        <v>43881</v>
      </c>
      <c r="H38" t="s">
        <v>31</v>
      </c>
      <c r="I38" t="s">
        <v>69</v>
      </c>
      <c r="J38" t="s">
        <v>28</v>
      </c>
    </row>
    <row r="39" spans="1:10" x14ac:dyDescent="0.3">
      <c r="A39" t="s">
        <v>51</v>
      </c>
      <c r="B39">
        <v>30</v>
      </c>
      <c r="C39" s="6" t="s">
        <v>68</v>
      </c>
      <c r="D39" t="s">
        <v>11</v>
      </c>
      <c r="E39" t="s">
        <v>37</v>
      </c>
      <c r="F39" t="s">
        <v>20</v>
      </c>
      <c r="G39" s="7">
        <v>43881</v>
      </c>
      <c r="H39" t="s">
        <v>14</v>
      </c>
      <c r="I39" t="s">
        <v>69</v>
      </c>
      <c r="J39" t="s">
        <v>69</v>
      </c>
    </row>
    <row r="40" spans="1:10" x14ac:dyDescent="0.3">
      <c r="A40" t="s">
        <v>58</v>
      </c>
      <c r="B40">
        <v>36</v>
      </c>
      <c r="C40" s="6">
        <v>55000</v>
      </c>
      <c r="D40" t="s">
        <v>11</v>
      </c>
      <c r="E40" t="s">
        <v>12</v>
      </c>
      <c r="F40" t="s">
        <v>44</v>
      </c>
      <c r="G40" s="7">
        <v>43800</v>
      </c>
      <c r="H40" t="s">
        <v>41</v>
      </c>
      <c r="I40" t="s">
        <v>22</v>
      </c>
      <c r="J40" t="s">
        <v>23</v>
      </c>
    </row>
    <row r="41" spans="1:10" x14ac:dyDescent="0.3">
      <c r="A41" t="s">
        <v>52</v>
      </c>
      <c r="B41">
        <v>25</v>
      </c>
      <c r="C41" s="6">
        <v>55000</v>
      </c>
      <c r="D41" t="s">
        <v>18</v>
      </c>
      <c r="E41" t="s">
        <v>19</v>
      </c>
      <c r="F41" t="s">
        <v>43</v>
      </c>
      <c r="G41" s="7">
        <v>43881</v>
      </c>
      <c r="H41" t="s">
        <v>31</v>
      </c>
      <c r="I41" t="s">
        <v>69</v>
      </c>
      <c r="J41" t="s">
        <v>69</v>
      </c>
    </row>
    <row r="42" spans="1:10" x14ac:dyDescent="0.3">
      <c r="A42" t="s">
        <v>60</v>
      </c>
      <c r="B42">
        <v>40</v>
      </c>
      <c r="C42" s="6">
        <v>70000</v>
      </c>
      <c r="D42" t="s">
        <v>18</v>
      </c>
      <c r="E42" t="s">
        <v>12</v>
      </c>
      <c r="F42" t="s">
        <v>43</v>
      </c>
      <c r="G42" s="7">
        <v>43195</v>
      </c>
      <c r="H42" t="s">
        <v>27</v>
      </c>
      <c r="I42" t="s">
        <v>15</v>
      </c>
      <c r="J42" t="s">
        <v>69</v>
      </c>
    </row>
    <row r="43" spans="1:10" x14ac:dyDescent="0.3">
      <c r="A43" t="s">
        <v>58</v>
      </c>
      <c r="B43">
        <v>30</v>
      </c>
      <c r="C43" s="6">
        <v>50000</v>
      </c>
      <c r="D43" t="s">
        <v>18</v>
      </c>
      <c r="E43" t="s">
        <v>19</v>
      </c>
      <c r="F43" t="s">
        <v>20</v>
      </c>
      <c r="G43" s="7">
        <v>43800</v>
      </c>
      <c r="H43" t="s">
        <v>27</v>
      </c>
      <c r="I43" t="s">
        <v>32</v>
      </c>
      <c r="J43" t="s">
        <v>28</v>
      </c>
    </row>
    <row r="44" spans="1:10" x14ac:dyDescent="0.3">
      <c r="A44" t="s">
        <v>55</v>
      </c>
      <c r="B44">
        <v>25</v>
      </c>
      <c r="C44" s="6">
        <v>60000</v>
      </c>
      <c r="D44" t="s">
        <v>36</v>
      </c>
      <c r="E44" t="s">
        <v>37</v>
      </c>
      <c r="F44" t="s">
        <v>20</v>
      </c>
      <c r="G44" s="7">
        <v>43881</v>
      </c>
      <c r="H44" t="s">
        <v>41</v>
      </c>
      <c r="I44" t="s">
        <v>69</v>
      </c>
      <c r="J44" t="s">
        <v>23</v>
      </c>
    </row>
    <row r="45" spans="1:10" x14ac:dyDescent="0.3">
      <c r="A45" t="s">
        <v>60</v>
      </c>
      <c r="B45">
        <v>35</v>
      </c>
      <c r="C45" s="6">
        <v>70000</v>
      </c>
      <c r="D45" t="s">
        <v>11</v>
      </c>
      <c r="E45" t="s">
        <v>30</v>
      </c>
      <c r="F45" t="s">
        <v>44</v>
      </c>
      <c r="G45" s="7">
        <v>43845</v>
      </c>
      <c r="H45" t="s">
        <v>31</v>
      </c>
      <c r="I45" t="s">
        <v>69</v>
      </c>
      <c r="J45" t="s">
        <v>45</v>
      </c>
    </row>
    <row r="46" spans="1:10" x14ac:dyDescent="0.3">
      <c r="A46" t="s">
        <v>55</v>
      </c>
      <c r="B46">
        <v>36</v>
      </c>
      <c r="C46" s="6">
        <v>60000</v>
      </c>
      <c r="D46" t="s">
        <v>36</v>
      </c>
      <c r="E46" t="s">
        <v>26</v>
      </c>
      <c r="F46" t="s">
        <v>44</v>
      </c>
      <c r="G46" s="7">
        <v>43549</v>
      </c>
      <c r="H46" t="s">
        <v>14</v>
      </c>
      <c r="I46" t="s">
        <v>69</v>
      </c>
      <c r="J46" t="s">
        <v>23</v>
      </c>
    </row>
    <row r="47" spans="1:10" x14ac:dyDescent="0.3">
      <c r="A47" t="s">
        <v>54</v>
      </c>
      <c r="B47">
        <v>25</v>
      </c>
      <c r="C47" s="6">
        <v>50000</v>
      </c>
      <c r="D47" t="s">
        <v>18</v>
      </c>
      <c r="E47" t="s">
        <v>37</v>
      </c>
      <c r="F47" t="s">
        <v>13</v>
      </c>
      <c r="G47" s="7">
        <v>43549</v>
      </c>
      <c r="H47" t="s">
        <v>41</v>
      </c>
      <c r="I47" t="s">
        <v>69</v>
      </c>
      <c r="J47" t="s">
        <v>69</v>
      </c>
    </row>
    <row r="48" spans="1:10" x14ac:dyDescent="0.3">
      <c r="A48" t="s">
        <v>58</v>
      </c>
      <c r="B48">
        <v>30</v>
      </c>
      <c r="C48" s="6" t="s">
        <v>68</v>
      </c>
      <c r="D48" t="s">
        <v>36</v>
      </c>
      <c r="E48" t="s">
        <v>12</v>
      </c>
      <c r="F48" t="s">
        <v>43</v>
      </c>
      <c r="G48" s="7">
        <v>43549</v>
      </c>
      <c r="H48" t="s">
        <v>31</v>
      </c>
      <c r="I48" t="s">
        <v>15</v>
      </c>
      <c r="J48" t="s">
        <v>28</v>
      </c>
    </row>
    <row r="49" spans="1:10" x14ac:dyDescent="0.3">
      <c r="A49" t="s">
        <v>52</v>
      </c>
      <c r="B49">
        <v>35</v>
      </c>
      <c r="C49" s="6" t="s">
        <v>68</v>
      </c>
      <c r="D49" t="s">
        <v>11</v>
      </c>
      <c r="E49" t="s">
        <v>26</v>
      </c>
      <c r="F49" t="s">
        <v>43</v>
      </c>
      <c r="G49" s="7">
        <v>43800</v>
      </c>
      <c r="H49" t="s">
        <v>21</v>
      </c>
      <c r="I49" t="s">
        <v>22</v>
      </c>
      <c r="J49" t="s">
        <v>28</v>
      </c>
    </row>
    <row r="50" spans="1:10" x14ac:dyDescent="0.3">
      <c r="A50" t="s">
        <v>51</v>
      </c>
      <c r="B50">
        <v>50</v>
      </c>
      <c r="C50" s="6">
        <v>50000</v>
      </c>
      <c r="D50" t="s">
        <v>11</v>
      </c>
      <c r="E50" t="s">
        <v>30</v>
      </c>
      <c r="F50" t="s">
        <v>20</v>
      </c>
      <c r="G50" s="7">
        <v>43881</v>
      </c>
      <c r="H50" t="s">
        <v>27</v>
      </c>
      <c r="I50" t="s">
        <v>69</v>
      </c>
      <c r="J50" t="s">
        <v>45</v>
      </c>
    </row>
    <row r="51" spans="1:10" x14ac:dyDescent="0.3">
      <c r="A51" t="s">
        <v>53</v>
      </c>
      <c r="B51">
        <v>30</v>
      </c>
      <c r="C51" s="6">
        <v>70000</v>
      </c>
      <c r="D51" t="s">
        <v>18</v>
      </c>
      <c r="E51" t="s">
        <v>37</v>
      </c>
      <c r="F51" t="s">
        <v>13</v>
      </c>
      <c r="G51" s="7">
        <v>43800</v>
      </c>
      <c r="H51" t="s">
        <v>14</v>
      </c>
      <c r="I51" t="s">
        <v>69</v>
      </c>
      <c r="J51" t="s">
        <v>28</v>
      </c>
    </row>
    <row r="52" spans="1:10" x14ac:dyDescent="0.3">
      <c r="A52" t="s">
        <v>56</v>
      </c>
      <c r="B52">
        <v>30</v>
      </c>
      <c r="C52" s="6">
        <v>50000</v>
      </c>
      <c r="D52" t="s">
        <v>18</v>
      </c>
      <c r="E52" t="s">
        <v>26</v>
      </c>
      <c r="F52" t="s">
        <v>43</v>
      </c>
      <c r="G52" s="7">
        <v>43195</v>
      </c>
      <c r="H52" t="s">
        <v>14</v>
      </c>
      <c r="I52" t="s">
        <v>22</v>
      </c>
      <c r="J52" t="s">
        <v>28</v>
      </c>
    </row>
    <row r="53" spans="1:10" x14ac:dyDescent="0.3">
      <c r="A53" t="s">
        <v>59</v>
      </c>
      <c r="B53">
        <v>35</v>
      </c>
      <c r="C53" s="6">
        <v>65000</v>
      </c>
      <c r="D53" t="s">
        <v>36</v>
      </c>
      <c r="E53" t="s">
        <v>37</v>
      </c>
      <c r="F53" t="s">
        <v>13</v>
      </c>
      <c r="G53" s="7">
        <v>43845</v>
      </c>
      <c r="H53" t="s">
        <v>14</v>
      </c>
      <c r="I53" t="s">
        <v>69</v>
      </c>
      <c r="J53" t="s">
        <v>28</v>
      </c>
    </row>
    <row r="54" spans="1:10" x14ac:dyDescent="0.3">
      <c r="A54" t="s">
        <v>52</v>
      </c>
      <c r="B54">
        <v>30</v>
      </c>
      <c r="C54" s="6">
        <v>55000</v>
      </c>
      <c r="D54" t="s">
        <v>18</v>
      </c>
      <c r="E54" t="s">
        <v>37</v>
      </c>
      <c r="F54" t="s">
        <v>13</v>
      </c>
      <c r="G54" s="7">
        <v>43845</v>
      </c>
      <c r="H54" t="s">
        <v>27</v>
      </c>
      <c r="I54" t="s">
        <v>69</v>
      </c>
      <c r="J54" t="s">
        <v>28</v>
      </c>
    </row>
    <row r="55" spans="1:10" x14ac:dyDescent="0.3">
      <c r="A55" t="s">
        <v>58</v>
      </c>
      <c r="B55">
        <v>35</v>
      </c>
      <c r="C55" s="6">
        <v>70000</v>
      </c>
      <c r="D55" t="s">
        <v>18</v>
      </c>
      <c r="E55" t="s">
        <v>30</v>
      </c>
      <c r="F55" t="s">
        <v>20</v>
      </c>
      <c r="G55" s="7">
        <v>43549</v>
      </c>
      <c r="H55" t="s">
        <v>31</v>
      </c>
      <c r="I55" t="s">
        <v>69</v>
      </c>
      <c r="J55" t="s">
        <v>28</v>
      </c>
    </row>
    <row r="56" spans="1:10" x14ac:dyDescent="0.3">
      <c r="A56" t="s">
        <v>53</v>
      </c>
      <c r="B56">
        <v>25</v>
      </c>
      <c r="C56" s="6">
        <v>60000</v>
      </c>
      <c r="D56" t="s">
        <v>11</v>
      </c>
      <c r="E56" t="s">
        <v>19</v>
      </c>
      <c r="F56" t="s">
        <v>13</v>
      </c>
      <c r="G56" s="7">
        <v>43549</v>
      </c>
      <c r="H56" t="s">
        <v>41</v>
      </c>
      <c r="I56" t="s">
        <v>69</v>
      </c>
      <c r="J56" t="s">
        <v>69</v>
      </c>
    </row>
    <row r="57" spans="1:10" x14ac:dyDescent="0.3">
      <c r="A57" t="s">
        <v>52</v>
      </c>
      <c r="B57">
        <v>35</v>
      </c>
      <c r="C57" s="6">
        <v>65000</v>
      </c>
      <c r="D57" t="s">
        <v>18</v>
      </c>
      <c r="E57" t="s">
        <v>26</v>
      </c>
      <c r="F57" t="s">
        <v>44</v>
      </c>
      <c r="G57" s="7">
        <v>43549</v>
      </c>
      <c r="H57" t="s">
        <v>31</v>
      </c>
      <c r="I57" t="s">
        <v>22</v>
      </c>
      <c r="J57" t="s">
        <v>23</v>
      </c>
    </row>
    <row r="58" spans="1:10" x14ac:dyDescent="0.3">
      <c r="A58" t="s">
        <v>58</v>
      </c>
      <c r="B58">
        <v>35</v>
      </c>
      <c r="C58" s="6">
        <v>70000</v>
      </c>
      <c r="D58" t="s">
        <v>18</v>
      </c>
      <c r="E58" t="s">
        <v>30</v>
      </c>
      <c r="F58" t="s">
        <v>44</v>
      </c>
      <c r="G58" s="7">
        <v>43881</v>
      </c>
      <c r="H58" t="s">
        <v>41</v>
      </c>
      <c r="I58" t="s">
        <v>15</v>
      </c>
      <c r="J58" t="s">
        <v>69</v>
      </c>
    </row>
    <row r="59" spans="1:10" x14ac:dyDescent="0.3">
      <c r="A59" t="s">
        <v>57</v>
      </c>
      <c r="B59">
        <v>36</v>
      </c>
      <c r="C59" s="6">
        <v>50000</v>
      </c>
      <c r="D59" t="s">
        <v>11</v>
      </c>
      <c r="E59" t="s">
        <v>37</v>
      </c>
      <c r="F59" t="s">
        <v>39</v>
      </c>
      <c r="G59" s="7">
        <v>43195</v>
      </c>
      <c r="H59" t="s">
        <v>14</v>
      </c>
      <c r="I59" t="s">
        <v>69</v>
      </c>
      <c r="J59" t="s">
        <v>28</v>
      </c>
    </row>
    <row r="60" spans="1:10" x14ac:dyDescent="0.3">
      <c r="A60" t="s">
        <v>57</v>
      </c>
      <c r="B60">
        <v>35</v>
      </c>
      <c r="C60" s="6">
        <v>50000</v>
      </c>
      <c r="D60" t="s">
        <v>11</v>
      </c>
      <c r="E60" t="s">
        <v>30</v>
      </c>
      <c r="F60" t="s">
        <v>20</v>
      </c>
      <c r="G60" s="7">
        <v>43195</v>
      </c>
      <c r="H60" t="s">
        <v>31</v>
      </c>
      <c r="I60" t="s">
        <v>15</v>
      </c>
      <c r="J60" t="s">
        <v>69</v>
      </c>
    </row>
    <row r="61" spans="1:10" x14ac:dyDescent="0.3">
      <c r="A61" t="s">
        <v>55</v>
      </c>
      <c r="B61">
        <v>35</v>
      </c>
      <c r="C61" s="6">
        <v>50000</v>
      </c>
      <c r="D61" t="s">
        <v>36</v>
      </c>
      <c r="E61" t="s">
        <v>19</v>
      </c>
      <c r="F61" t="s">
        <v>39</v>
      </c>
      <c r="G61" s="7">
        <v>43195</v>
      </c>
      <c r="H61" t="s">
        <v>14</v>
      </c>
      <c r="I61" t="s">
        <v>22</v>
      </c>
      <c r="J61" t="s">
        <v>69</v>
      </c>
    </row>
    <row r="62" spans="1:10" x14ac:dyDescent="0.3">
      <c r="A62" t="s">
        <v>52</v>
      </c>
      <c r="B62">
        <v>50</v>
      </c>
      <c r="C62" s="6">
        <v>50000</v>
      </c>
      <c r="D62" t="s">
        <v>18</v>
      </c>
      <c r="E62" t="s">
        <v>26</v>
      </c>
      <c r="F62" t="s">
        <v>44</v>
      </c>
      <c r="G62" s="7">
        <v>43195</v>
      </c>
      <c r="H62" t="s">
        <v>21</v>
      </c>
      <c r="I62" t="s">
        <v>22</v>
      </c>
      <c r="J62" t="s">
        <v>69</v>
      </c>
    </row>
    <row r="63" spans="1:10" x14ac:dyDescent="0.3">
      <c r="A63" t="s">
        <v>57</v>
      </c>
      <c r="B63">
        <v>25</v>
      </c>
      <c r="C63" s="6">
        <v>60000</v>
      </c>
      <c r="D63" t="s">
        <v>11</v>
      </c>
      <c r="E63" t="s">
        <v>19</v>
      </c>
      <c r="F63" t="s">
        <v>39</v>
      </c>
      <c r="G63" s="7">
        <v>43549</v>
      </c>
      <c r="H63" t="s">
        <v>14</v>
      </c>
      <c r="I63" t="s">
        <v>69</v>
      </c>
      <c r="J63" t="s">
        <v>28</v>
      </c>
    </row>
    <row r="64" spans="1:10" x14ac:dyDescent="0.3">
      <c r="A64" t="s">
        <v>58</v>
      </c>
      <c r="B64">
        <v>36</v>
      </c>
      <c r="C64" s="6">
        <v>65000</v>
      </c>
      <c r="D64" t="s">
        <v>36</v>
      </c>
      <c r="E64" t="s">
        <v>12</v>
      </c>
      <c r="F64" t="s">
        <v>20</v>
      </c>
      <c r="G64" s="7">
        <v>43845</v>
      </c>
      <c r="H64" t="s">
        <v>14</v>
      </c>
      <c r="I64" t="s">
        <v>69</v>
      </c>
      <c r="J64" t="s">
        <v>69</v>
      </c>
    </row>
    <row r="65" spans="1:10" x14ac:dyDescent="0.3">
      <c r="A65" t="s">
        <v>55</v>
      </c>
      <c r="B65">
        <v>50</v>
      </c>
      <c r="C65" s="6" t="s">
        <v>68</v>
      </c>
      <c r="D65" t="s">
        <v>36</v>
      </c>
      <c r="E65" t="s">
        <v>26</v>
      </c>
      <c r="F65" t="s">
        <v>20</v>
      </c>
      <c r="G65" s="7">
        <v>43549</v>
      </c>
      <c r="H65" t="s">
        <v>41</v>
      </c>
      <c r="I65" t="s">
        <v>32</v>
      </c>
      <c r="J65" t="s">
        <v>28</v>
      </c>
    </row>
    <row r="66" spans="1:10" x14ac:dyDescent="0.3">
      <c r="A66" t="s">
        <v>58</v>
      </c>
      <c r="B66">
        <v>40</v>
      </c>
      <c r="C66" s="6">
        <v>55000</v>
      </c>
      <c r="D66" t="s">
        <v>18</v>
      </c>
      <c r="E66" t="s">
        <v>19</v>
      </c>
      <c r="F66" t="s">
        <v>13</v>
      </c>
      <c r="G66" s="7">
        <v>43195</v>
      </c>
      <c r="H66" t="s">
        <v>21</v>
      </c>
      <c r="I66" t="s">
        <v>22</v>
      </c>
      <c r="J66" t="s">
        <v>45</v>
      </c>
    </row>
    <row r="67" spans="1:10" x14ac:dyDescent="0.3">
      <c r="A67" t="s">
        <v>55</v>
      </c>
      <c r="B67">
        <v>25</v>
      </c>
      <c r="C67" s="6">
        <v>60000</v>
      </c>
      <c r="D67" t="s">
        <v>18</v>
      </c>
      <c r="E67" t="s">
        <v>37</v>
      </c>
      <c r="F67" t="s">
        <v>43</v>
      </c>
      <c r="G67" s="7">
        <v>43549</v>
      </c>
      <c r="H67" t="s">
        <v>14</v>
      </c>
      <c r="I67" t="s">
        <v>69</v>
      </c>
      <c r="J67" t="s">
        <v>45</v>
      </c>
    </row>
    <row r="68" spans="1:10" x14ac:dyDescent="0.3">
      <c r="A68" t="s">
        <v>52</v>
      </c>
      <c r="B68">
        <v>25</v>
      </c>
      <c r="C68" s="6">
        <v>60000</v>
      </c>
      <c r="D68" t="s">
        <v>36</v>
      </c>
      <c r="E68" t="s">
        <v>26</v>
      </c>
      <c r="F68" t="s">
        <v>13</v>
      </c>
      <c r="G68" s="7">
        <v>43195</v>
      </c>
      <c r="H68" t="s">
        <v>14</v>
      </c>
      <c r="I68" t="s">
        <v>15</v>
      </c>
      <c r="J68" t="s">
        <v>45</v>
      </c>
    </row>
    <row r="69" spans="1:10" x14ac:dyDescent="0.3">
      <c r="A69" t="s">
        <v>53</v>
      </c>
      <c r="B69">
        <v>40</v>
      </c>
      <c r="C69" s="6" t="s">
        <v>68</v>
      </c>
      <c r="D69" t="s">
        <v>11</v>
      </c>
      <c r="E69" t="s">
        <v>26</v>
      </c>
      <c r="F69" t="s">
        <v>20</v>
      </c>
      <c r="G69" s="7">
        <v>43800</v>
      </c>
      <c r="H69" t="s">
        <v>21</v>
      </c>
      <c r="I69" t="s">
        <v>69</v>
      </c>
      <c r="J69" t="s">
        <v>69</v>
      </c>
    </row>
    <row r="70" spans="1:10" x14ac:dyDescent="0.3">
      <c r="A70" t="s">
        <v>51</v>
      </c>
      <c r="B70">
        <v>35</v>
      </c>
      <c r="C70" s="6" t="s">
        <v>68</v>
      </c>
      <c r="D70" t="s">
        <v>36</v>
      </c>
      <c r="E70" t="s">
        <v>30</v>
      </c>
      <c r="F70" t="s">
        <v>44</v>
      </c>
      <c r="G70" s="7">
        <v>43845</v>
      </c>
      <c r="H70" t="s">
        <v>21</v>
      </c>
      <c r="I70" t="s">
        <v>15</v>
      </c>
      <c r="J70" t="s">
        <v>45</v>
      </c>
    </row>
    <row r="71" spans="1:10" x14ac:dyDescent="0.3">
      <c r="A71" t="s">
        <v>60</v>
      </c>
      <c r="B71">
        <v>50</v>
      </c>
      <c r="C71" s="6">
        <v>55000</v>
      </c>
      <c r="D71" t="s">
        <v>18</v>
      </c>
      <c r="E71" t="s">
        <v>37</v>
      </c>
      <c r="F71" t="s">
        <v>44</v>
      </c>
      <c r="G71" s="7">
        <v>43800</v>
      </c>
      <c r="H71" t="s">
        <v>31</v>
      </c>
      <c r="I71" t="s">
        <v>22</v>
      </c>
      <c r="J71" t="s">
        <v>69</v>
      </c>
    </row>
    <row r="72" spans="1:10" x14ac:dyDescent="0.3">
      <c r="A72" t="s">
        <v>53</v>
      </c>
      <c r="B72">
        <v>30</v>
      </c>
      <c r="C72" s="6">
        <v>55000</v>
      </c>
      <c r="D72" t="s">
        <v>11</v>
      </c>
      <c r="E72" t="s">
        <v>12</v>
      </c>
      <c r="F72" t="s">
        <v>13</v>
      </c>
      <c r="G72" s="7">
        <v>43881</v>
      </c>
      <c r="H72" t="s">
        <v>41</v>
      </c>
      <c r="I72" t="s">
        <v>22</v>
      </c>
      <c r="J72" t="s">
        <v>69</v>
      </c>
    </row>
    <row r="73" spans="1:10" x14ac:dyDescent="0.3">
      <c r="A73" t="s">
        <v>54</v>
      </c>
      <c r="B73">
        <v>36</v>
      </c>
      <c r="C73" s="6" t="s">
        <v>68</v>
      </c>
      <c r="D73" t="s">
        <v>11</v>
      </c>
      <c r="E73" t="s">
        <v>19</v>
      </c>
      <c r="F73" t="s">
        <v>20</v>
      </c>
      <c r="G73" s="7">
        <v>43549</v>
      </c>
      <c r="H73" t="s">
        <v>21</v>
      </c>
      <c r="I73" t="s">
        <v>15</v>
      </c>
      <c r="J73" t="s">
        <v>69</v>
      </c>
    </row>
    <row r="74" spans="1:10" x14ac:dyDescent="0.3">
      <c r="A74" t="s">
        <v>58</v>
      </c>
      <c r="B74">
        <v>30</v>
      </c>
      <c r="C74" s="6">
        <v>50000</v>
      </c>
      <c r="D74" t="s">
        <v>36</v>
      </c>
      <c r="E74" t="s">
        <v>30</v>
      </c>
      <c r="F74" t="s">
        <v>44</v>
      </c>
      <c r="G74" s="7">
        <v>43881</v>
      </c>
      <c r="H74" t="s">
        <v>21</v>
      </c>
      <c r="I74" t="s">
        <v>22</v>
      </c>
      <c r="J74" t="s">
        <v>28</v>
      </c>
    </row>
    <row r="75" spans="1:10" x14ac:dyDescent="0.3">
      <c r="A75" t="s">
        <v>54</v>
      </c>
      <c r="B75">
        <v>40</v>
      </c>
      <c r="C75" s="6">
        <v>60000</v>
      </c>
      <c r="D75" t="s">
        <v>18</v>
      </c>
      <c r="E75" t="s">
        <v>19</v>
      </c>
      <c r="F75" t="s">
        <v>20</v>
      </c>
      <c r="G75" s="7">
        <v>43549</v>
      </c>
      <c r="H75" t="s">
        <v>27</v>
      </c>
      <c r="I75" t="s">
        <v>69</v>
      </c>
      <c r="J75" t="s">
        <v>23</v>
      </c>
    </row>
    <row r="76" spans="1:10" x14ac:dyDescent="0.3">
      <c r="A76" t="s">
        <v>53</v>
      </c>
      <c r="B76">
        <v>25</v>
      </c>
      <c r="C76" s="6">
        <v>70000</v>
      </c>
      <c r="D76" t="s">
        <v>36</v>
      </c>
      <c r="E76" t="s">
        <v>12</v>
      </c>
      <c r="F76" t="s">
        <v>44</v>
      </c>
      <c r="G76" s="7">
        <v>43800</v>
      </c>
      <c r="H76" t="s">
        <v>21</v>
      </c>
      <c r="I76" t="s">
        <v>22</v>
      </c>
      <c r="J76" t="s">
        <v>28</v>
      </c>
    </row>
    <row r="77" spans="1:10" x14ac:dyDescent="0.3">
      <c r="A77" t="s">
        <v>55</v>
      </c>
      <c r="B77">
        <v>25</v>
      </c>
      <c r="C77" s="6">
        <v>55000</v>
      </c>
      <c r="D77" t="s">
        <v>36</v>
      </c>
      <c r="E77" t="s">
        <v>12</v>
      </c>
      <c r="F77" t="s">
        <v>20</v>
      </c>
      <c r="G77" s="7">
        <v>43195</v>
      </c>
      <c r="H77" t="s">
        <v>41</v>
      </c>
      <c r="I77" t="s">
        <v>69</v>
      </c>
      <c r="J77" t="s">
        <v>28</v>
      </c>
    </row>
    <row r="78" spans="1:10" x14ac:dyDescent="0.3">
      <c r="A78" t="s">
        <v>60</v>
      </c>
      <c r="B78">
        <v>36</v>
      </c>
      <c r="C78" s="6">
        <v>55000</v>
      </c>
      <c r="D78" t="s">
        <v>36</v>
      </c>
      <c r="E78" t="s">
        <v>26</v>
      </c>
      <c r="F78" t="s">
        <v>39</v>
      </c>
      <c r="G78" s="7">
        <v>43195</v>
      </c>
      <c r="H78" t="s">
        <v>14</v>
      </c>
      <c r="I78" t="s">
        <v>69</v>
      </c>
      <c r="J78" t="s">
        <v>28</v>
      </c>
    </row>
    <row r="79" spans="1:10" x14ac:dyDescent="0.3">
      <c r="A79" t="s">
        <v>60</v>
      </c>
      <c r="B79">
        <v>25</v>
      </c>
      <c r="C79" s="6" t="s">
        <v>68</v>
      </c>
      <c r="D79" t="s">
        <v>11</v>
      </c>
      <c r="E79" t="s">
        <v>12</v>
      </c>
      <c r="F79" t="s">
        <v>20</v>
      </c>
      <c r="G79" s="7">
        <v>43549</v>
      </c>
      <c r="H79" t="s">
        <v>14</v>
      </c>
      <c r="I79" t="s">
        <v>32</v>
      </c>
      <c r="J79" t="s">
        <v>28</v>
      </c>
    </row>
    <row r="80" spans="1:10" x14ac:dyDescent="0.3">
      <c r="A80" t="s">
        <v>59</v>
      </c>
      <c r="B80">
        <v>25</v>
      </c>
      <c r="C80" s="6">
        <v>65000</v>
      </c>
      <c r="D80" t="s">
        <v>11</v>
      </c>
      <c r="E80" t="s">
        <v>19</v>
      </c>
      <c r="F80" t="s">
        <v>20</v>
      </c>
      <c r="G80" s="7">
        <v>43195</v>
      </c>
      <c r="H80" t="s">
        <v>14</v>
      </c>
      <c r="I80" t="s">
        <v>22</v>
      </c>
      <c r="J80" t="s">
        <v>23</v>
      </c>
    </row>
    <row r="81" spans="1:10" x14ac:dyDescent="0.3">
      <c r="A81" t="s">
        <v>60</v>
      </c>
      <c r="B81">
        <v>36</v>
      </c>
      <c r="C81" s="6">
        <v>70000</v>
      </c>
      <c r="D81" t="s">
        <v>18</v>
      </c>
      <c r="E81" t="s">
        <v>37</v>
      </c>
      <c r="F81" t="s">
        <v>13</v>
      </c>
      <c r="G81" s="7">
        <v>43800</v>
      </c>
      <c r="H81" t="s">
        <v>14</v>
      </c>
      <c r="I81" t="s">
        <v>22</v>
      </c>
      <c r="J81" t="s">
        <v>45</v>
      </c>
    </row>
    <row r="82" spans="1:10" x14ac:dyDescent="0.3">
      <c r="A82" t="s">
        <v>51</v>
      </c>
      <c r="B82">
        <v>50</v>
      </c>
      <c r="C82" s="6">
        <v>70000</v>
      </c>
      <c r="D82" t="s">
        <v>18</v>
      </c>
      <c r="E82" t="s">
        <v>37</v>
      </c>
      <c r="F82" t="s">
        <v>39</v>
      </c>
      <c r="G82" s="7">
        <v>43195</v>
      </c>
      <c r="H82" t="s">
        <v>27</v>
      </c>
      <c r="I82" t="s">
        <v>69</v>
      </c>
      <c r="J82" t="s">
        <v>28</v>
      </c>
    </row>
    <row r="83" spans="1:10" x14ac:dyDescent="0.3">
      <c r="A83" t="s">
        <v>60</v>
      </c>
      <c r="B83">
        <v>50</v>
      </c>
      <c r="C83" s="6">
        <v>55000</v>
      </c>
      <c r="D83" t="s">
        <v>36</v>
      </c>
      <c r="E83" t="s">
        <v>26</v>
      </c>
      <c r="F83" t="s">
        <v>43</v>
      </c>
      <c r="G83" s="7">
        <v>43800</v>
      </c>
      <c r="H83" t="s">
        <v>21</v>
      </c>
      <c r="I83" t="s">
        <v>69</v>
      </c>
      <c r="J83" t="s">
        <v>69</v>
      </c>
    </row>
    <row r="84" spans="1:10" x14ac:dyDescent="0.3">
      <c r="A84" t="s">
        <v>53</v>
      </c>
      <c r="B84">
        <v>36</v>
      </c>
      <c r="C84" s="6">
        <v>50000</v>
      </c>
      <c r="D84" t="s">
        <v>36</v>
      </c>
      <c r="E84" t="s">
        <v>19</v>
      </c>
      <c r="F84" t="s">
        <v>13</v>
      </c>
      <c r="G84" s="7">
        <v>43881</v>
      </c>
      <c r="H84" t="s">
        <v>14</v>
      </c>
      <c r="I84" t="s">
        <v>15</v>
      </c>
      <c r="J84" t="s">
        <v>69</v>
      </c>
    </row>
    <row r="85" spans="1:10" x14ac:dyDescent="0.3">
      <c r="A85" t="s">
        <v>59</v>
      </c>
      <c r="B85">
        <v>40</v>
      </c>
      <c r="C85" s="6">
        <v>65000</v>
      </c>
      <c r="D85" t="s">
        <v>36</v>
      </c>
      <c r="E85" t="s">
        <v>19</v>
      </c>
      <c r="F85" t="s">
        <v>43</v>
      </c>
      <c r="G85" s="7">
        <v>43800</v>
      </c>
      <c r="H85" t="s">
        <v>31</v>
      </c>
      <c r="I85" t="s">
        <v>15</v>
      </c>
      <c r="J85" t="s">
        <v>69</v>
      </c>
    </row>
    <row r="86" spans="1:10" x14ac:dyDescent="0.3">
      <c r="A86" t="s">
        <v>53</v>
      </c>
      <c r="B86">
        <v>25</v>
      </c>
      <c r="C86" s="6">
        <v>70000</v>
      </c>
      <c r="D86" t="s">
        <v>18</v>
      </c>
      <c r="E86" t="s">
        <v>12</v>
      </c>
      <c r="F86" t="s">
        <v>44</v>
      </c>
      <c r="G86" s="7">
        <v>43845</v>
      </c>
      <c r="H86" t="s">
        <v>14</v>
      </c>
      <c r="I86" t="s">
        <v>15</v>
      </c>
      <c r="J86" t="s">
        <v>69</v>
      </c>
    </row>
    <row r="87" spans="1:10" x14ac:dyDescent="0.3">
      <c r="A87" t="s">
        <v>53</v>
      </c>
      <c r="B87">
        <v>25</v>
      </c>
      <c r="C87" s="6">
        <v>55000</v>
      </c>
      <c r="D87" t="s">
        <v>11</v>
      </c>
      <c r="E87" t="s">
        <v>19</v>
      </c>
      <c r="F87" t="s">
        <v>43</v>
      </c>
      <c r="G87" s="7">
        <v>43845</v>
      </c>
      <c r="H87" t="s">
        <v>21</v>
      </c>
      <c r="I87" t="s">
        <v>69</v>
      </c>
      <c r="J87" t="s">
        <v>28</v>
      </c>
    </row>
    <row r="88" spans="1:10" x14ac:dyDescent="0.3">
      <c r="A88" t="s">
        <v>56</v>
      </c>
      <c r="B88">
        <v>40</v>
      </c>
      <c r="C88" s="6">
        <v>70000</v>
      </c>
      <c r="D88" t="s">
        <v>11</v>
      </c>
      <c r="E88" t="s">
        <v>30</v>
      </c>
      <c r="F88" t="s">
        <v>20</v>
      </c>
      <c r="G88" s="7">
        <v>43845</v>
      </c>
      <c r="H88" t="s">
        <v>14</v>
      </c>
      <c r="I88" t="s">
        <v>15</v>
      </c>
      <c r="J88" t="s">
        <v>23</v>
      </c>
    </row>
    <row r="89" spans="1:10" x14ac:dyDescent="0.3">
      <c r="A89" t="s">
        <v>59</v>
      </c>
      <c r="B89">
        <v>50</v>
      </c>
      <c r="C89" s="6">
        <v>65000</v>
      </c>
      <c r="D89" t="s">
        <v>36</v>
      </c>
      <c r="E89" t="s">
        <v>12</v>
      </c>
      <c r="F89" t="s">
        <v>43</v>
      </c>
      <c r="G89" s="7">
        <v>43549</v>
      </c>
      <c r="H89" t="s">
        <v>27</v>
      </c>
      <c r="I89" t="s">
        <v>15</v>
      </c>
      <c r="J89" t="s">
        <v>45</v>
      </c>
    </row>
    <row r="90" spans="1:10" x14ac:dyDescent="0.3">
      <c r="A90" t="s">
        <v>53</v>
      </c>
      <c r="B90">
        <v>35</v>
      </c>
      <c r="C90" s="6">
        <v>65000</v>
      </c>
      <c r="D90" t="s">
        <v>36</v>
      </c>
      <c r="E90" t="s">
        <v>30</v>
      </c>
      <c r="F90" t="s">
        <v>13</v>
      </c>
      <c r="G90" s="7">
        <v>43549</v>
      </c>
      <c r="H90" t="s">
        <v>41</v>
      </c>
      <c r="I90" t="s">
        <v>32</v>
      </c>
      <c r="J90" t="s">
        <v>69</v>
      </c>
    </row>
    <row r="91" spans="1:10" x14ac:dyDescent="0.3">
      <c r="A91" t="s">
        <v>56</v>
      </c>
      <c r="B91">
        <v>35</v>
      </c>
      <c r="C91" s="6">
        <v>60000</v>
      </c>
      <c r="D91" t="s">
        <v>36</v>
      </c>
      <c r="E91" t="s">
        <v>26</v>
      </c>
      <c r="F91" t="s">
        <v>13</v>
      </c>
      <c r="G91" s="7">
        <v>43549</v>
      </c>
      <c r="H91" t="s">
        <v>41</v>
      </c>
      <c r="I91" t="s">
        <v>15</v>
      </c>
      <c r="J91" t="s">
        <v>45</v>
      </c>
    </row>
    <row r="92" spans="1:10" x14ac:dyDescent="0.3">
      <c r="A92" t="s">
        <v>56</v>
      </c>
      <c r="B92">
        <v>35</v>
      </c>
      <c r="C92" s="6" t="s">
        <v>68</v>
      </c>
      <c r="D92" t="s">
        <v>36</v>
      </c>
      <c r="E92" t="s">
        <v>37</v>
      </c>
      <c r="F92" t="s">
        <v>43</v>
      </c>
      <c r="G92" s="7">
        <v>43800</v>
      </c>
      <c r="H92" t="s">
        <v>21</v>
      </c>
      <c r="I92" t="s">
        <v>22</v>
      </c>
      <c r="J92" t="s">
        <v>23</v>
      </c>
    </row>
    <row r="93" spans="1:10" x14ac:dyDescent="0.3">
      <c r="A93" t="s">
        <v>59</v>
      </c>
      <c r="B93">
        <v>50</v>
      </c>
      <c r="C93" s="6" t="s">
        <v>68</v>
      </c>
      <c r="D93" t="s">
        <v>18</v>
      </c>
      <c r="E93" t="s">
        <v>26</v>
      </c>
      <c r="F93" t="s">
        <v>13</v>
      </c>
      <c r="G93" s="7">
        <v>43549</v>
      </c>
      <c r="H93" t="s">
        <v>41</v>
      </c>
      <c r="I93" t="s">
        <v>69</v>
      </c>
      <c r="J93" t="s">
        <v>69</v>
      </c>
    </row>
    <row r="94" spans="1:10" x14ac:dyDescent="0.3">
      <c r="A94" t="s">
        <v>54</v>
      </c>
      <c r="B94">
        <v>50</v>
      </c>
      <c r="C94" s="6">
        <v>55000</v>
      </c>
      <c r="D94" t="s">
        <v>11</v>
      </c>
      <c r="E94" t="s">
        <v>37</v>
      </c>
      <c r="F94" t="s">
        <v>13</v>
      </c>
      <c r="G94" s="7">
        <v>43881</v>
      </c>
      <c r="H94" t="s">
        <v>41</v>
      </c>
      <c r="I94" t="s">
        <v>69</v>
      </c>
      <c r="J94" t="s">
        <v>45</v>
      </c>
    </row>
    <row r="95" spans="1:10" x14ac:dyDescent="0.3">
      <c r="A95" t="s">
        <v>55</v>
      </c>
      <c r="B95">
        <v>40</v>
      </c>
      <c r="C95" s="6">
        <v>65000</v>
      </c>
      <c r="D95" t="s">
        <v>36</v>
      </c>
      <c r="E95" t="s">
        <v>26</v>
      </c>
      <c r="F95" t="s">
        <v>43</v>
      </c>
      <c r="G95" s="7">
        <v>43845</v>
      </c>
      <c r="H95" t="s">
        <v>31</v>
      </c>
      <c r="I95" t="s">
        <v>32</v>
      </c>
      <c r="J95" t="s">
        <v>23</v>
      </c>
    </row>
    <row r="96" spans="1:10" x14ac:dyDescent="0.3">
      <c r="A96" t="s">
        <v>51</v>
      </c>
      <c r="B96">
        <v>25</v>
      </c>
      <c r="C96" s="6">
        <v>60000</v>
      </c>
      <c r="D96" t="s">
        <v>18</v>
      </c>
      <c r="E96" t="s">
        <v>19</v>
      </c>
      <c r="F96" t="s">
        <v>39</v>
      </c>
      <c r="G96" s="7">
        <v>43800</v>
      </c>
      <c r="H96" t="s">
        <v>21</v>
      </c>
      <c r="I96" t="s">
        <v>69</v>
      </c>
      <c r="J96" t="s">
        <v>45</v>
      </c>
    </row>
    <row r="97" spans="1:10" x14ac:dyDescent="0.3">
      <c r="A97" t="s">
        <v>55</v>
      </c>
      <c r="B97">
        <v>40</v>
      </c>
      <c r="C97" s="6">
        <v>60000</v>
      </c>
      <c r="D97" t="s">
        <v>36</v>
      </c>
      <c r="E97" t="s">
        <v>30</v>
      </c>
      <c r="F97" t="s">
        <v>39</v>
      </c>
      <c r="G97" s="7">
        <v>43845</v>
      </c>
      <c r="H97" t="s">
        <v>21</v>
      </c>
      <c r="I97" t="s">
        <v>69</v>
      </c>
      <c r="J97" t="s">
        <v>28</v>
      </c>
    </row>
    <row r="98" spans="1:10" x14ac:dyDescent="0.3">
      <c r="A98" t="s">
        <v>60</v>
      </c>
      <c r="B98">
        <v>40</v>
      </c>
      <c r="C98" s="6">
        <v>70000</v>
      </c>
      <c r="D98" t="s">
        <v>36</v>
      </c>
      <c r="E98" t="s">
        <v>37</v>
      </c>
      <c r="F98" t="s">
        <v>44</v>
      </c>
      <c r="G98" s="7">
        <v>43549</v>
      </c>
      <c r="H98" t="s">
        <v>41</v>
      </c>
      <c r="I98" t="s">
        <v>22</v>
      </c>
      <c r="J98" t="s">
        <v>23</v>
      </c>
    </row>
    <row r="99" spans="1:10" x14ac:dyDescent="0.3">
      <c r="A99" t="s">
        <v>51</v>
      </c>
      <c r="B99">
        <v>50</v>
      </c>
      <c r="C99" s="6">
        <v>70000</v>
      </c>
      <c r="D99" t="s">
        <v>11</v>
      </c>
      <c r="E99" t="s">
        <v>12</v>
      </c>
      <c r="F99" t="s">
        <v>13</v>
      </c>
      <c r="G99" s="7">
        <v>43800</v>
      </c>
      <c r="H99" t="s">
        <v>41</v>
      </c>
      <c r="I99" t="s">
        <v>15</v>
      </c>
      <c r="J99" t="s">
        <v>45</v>
      </c>
    </row>
    <row r="100" spans="1:10" x14ac:dyDescent="0.3">
      <c r="A100" t="s">
        <v>60</v>
      </c>
      <c r="B100">
        <v>35</v>
      </c>
      <c r="C100" s="6">
        <v>60000</v>
      </c>
      <c r="D100" t="s">
        <v>36</v>
      </c>
      <c r="E100" t="s">
        <v>30</v>
      </c>
      <c r="F100" t="s">
        <v>43</v>
      </c>
      <c r="G100" s="7">
        <v>43195</v>
      </c>
      <c r="H100" t="s">
        <v>41</v>
      </c>
      <c r="I100" t="s">
        <v>22</v>
      </c>
      <c r="J100" t="s">
        <v>28</v>
      </c>
    </row>
    <row r="101" spans="1:10" x14ac:dyDescent="0.3">
      <c r="A101" t="s">
        <v>53</v>
      </c>
      <c r="B101">
        <v>30</v>
      </c>
      <c r="C101" s="6">
        <v>70000</v>
      </c>
      <c r="D101" t="s">
        <v>11</v>
      </c>
      <c r="E101" t="s">
        <v>12</v>
      </c>
      <c r="F101" t="s">
        <v>13</v>
      </c>
      <c r="G101" s="7">
        <v>43881</v>
      </c>
      <c r="H101" t="s">
        <v>27</v>
      </c>
      <c r="I101" t="s">
        <v>15</v>
      </c>
      <c r="J101" t="s">
        <v>28</v>
      </c>
    </row>
    <row r="102" spans="1:10" x14ac:dyDescent="0.3">
      <c r="A102" t="s">
        <v>58</v>
      </c>
      <c r="B102">
        <v>25</v>
      </c>
      <c r="C102" s="6">
        <v>65000</v>
      </c>
      <c r="D102" t="s">
        <v>11</v>
      </c>
      <c r="E102" t="s">
        <v>30</v>
      </c>
      <c r="F102" t="s">
        <v>20</v>
      </c>
      <c r="G102" s="7">
        <v>43549</v>
      </c>
      <c r="H102" t="s">
        <v>14</v>
      </c>
      <c r="I102" t="s">
        <v>15</v>
      </c>
      <c r="J102" t="s">
        <v>23</v>
      </c>
    </row>
    <row r="103" spans="1:10" x14ac:dyDescent="0.3">
      <c r="A103" t="s">
        <v>59</v>
      </c>
      <c r="B103">
        <v>50</v>
      </c>
      <c r="C103" s="6">
        <v>50000</v>
      </c>
      <c r="D103" t="s">
        <v>11</v>
      </c>
      <c r="E103" t="s">
        <v>30</v>
      </c>
      <c r="F103" t="s">
        <v>13</v>
      </c>
      <c r="G103" s="7">
        <v>43549</v>
      </c>
      <c r="H103" t="s">
        <v>27</v>
      </c>
      <c r="I103" t="s">
        <v>69</v>
      </c>
      <c r="J103" t="s">
        <v>69</v>
      </c>
    </row>
    <row r="104" spans="1:10" x14ac:dyDescent="0.3">
      <c r="A104" t="s">
        <v>51</v>
      </c>
      <c r="B104">
        <v>35</v>
      </c>
      <c r="C104" s="6">
        <v>65000</v>
      </c>
      <c r="D104" t="s">
        <v>18</v>
      </c>
      <c r="E104" t="s">
        <v>26</v>
      </c>
      <c r="F104" t="s">
        <v>13</v>
      </c>
      <c r="G104" s="7">
        <v>43881</v>
      </c>
      <c r="H104" t="s">
        <v>21</v>
      </c>
      <c r="I104" t="s">
        <v>15</v>
      </c>
      <c r="J104" t="s">
        <v>69</v>
      </c>
    </row>
    <row r="105" spans="1:10" x14ac:dyDescent="0.3">
      <c r="A105" t="s">
        <v>51</v>
      </c>
      <c r="B105">
        <v>30</v>
      </c>
      <c r="C105" s="6">
        <v>60000</v>
      </c>
      <c r="D105" t="s">
        <v>18</v>
      </c>
      <c r="E105" t="s">
        <v>37</v>
      </c>
      <c r="F105" t="s">
        <v>39</v>
      </c>
      <c r="G105" s="7">
        <v>43881</v>
      </c>
      <c r="H105" t="s">
        <v>31</v>
      </c>
      <c r="I105" t="s">
        <v>32</v>
      </c>
      <c r="J105" t="s">
        <v>23</v>
      </c>
    </row>
    <row r="106" spans="1:10" x14ac:dyDescent="0.3">
      <c r="A106" t="s">
        <v>53</v>
      </c>
      <c r="B106">
        <v>30</v>
      </c>
      <c r="C106" s="6">
        <v>60000</v>
      </c>
      <c r="D106" t="s">
        <v>11</v>
      </c>
      <c r="E106" t="s">
        <v>37</v>
      </c>
      <c r="F106" t="s">
        <v>43</v>
      </c>
      <c r="G106" s="7">
        <v>43195</v>
      </c>
      <c r="H106" t="s">
        <v>14</v>
      </c>
      <c r="I106" t="s">
        <v>32</v>
      </c>
      <c r="J106" t="s">
        <v>28</v>
      </c>
    </row>
    <row r="107" spans="1:10" x14ac:dyDescent="0.3">
      <c r="A107" t="s">
        <v>54</v>
      </c>
      <c r="B107">
        <v>50</v>
      </c>
      <c r="C107" s="6">
        <v>65000</v>
      </c>
      <c r="D107" t="s">
        <v>36</v>
      </c>
      <c r="E107" t="s">
        <v>30</v>
      </c>
      <c r="F107" t="s">
        <v>13</v>
      </c>
      <c r="G107" s="7">
        <v>43549</v>
      </c>
      <c r="H107" t="s">
        <v>31</v>
      </c>
      <c r="I107" t="s">
        <v>32</v>
      </c>
      <c r="J107" t="s">
        <v>28</v>
      </c>
    </row>
    <row r="108" spans="1:10" x14ac:dyDescent="0.3">
      <c r="A108" t="s">
        <v>56</v>
      </c>
      <c r="B108">
        <v>36</v>
      </c>
      <c r="C108" s="6">
        <v>70000</v>
      </c>
      <c r="D108" t="s">
        <v>11</v>
      </c>
      <c r="E108" t="s">
        <v>19</v>
      </c>
      <c r="F108" t="s">
        <v>39</v>
      </c>
      <c r="G108" s="7">
        <v>43549</v>
      </c>
      <c r="H108" t="s">
        <v>21</v>
      </c>
      <c r="I108" t="s">
        <v>69</v>
      </c>
      <c r="J108" t="s">
        <v>23</v>
      </c>
    </row>
    <row r="109" spans="1:10" x14ac:dyDescent="0.3">
      <c r="A109" t="s">
        <v>53</v>
      </c>
      <c r="B109">
        <v>25</v>
      </c>
      <c r="C109" s="6">
        <v>70000</v>
      </c>
      <c r="D109" t="s">
        <v>36</v>
      </c>
      <c r="E109" t="s">
        <v>19</v>
      </c>
      <c r="F109" t="s">
        <v>44</v>
      </c>
      <c r="G109" s="7">
        <v>43845</v>
      </c>
      <c r="H109" t="s">
        <v>21</v>
      </c>
      <c r="I109" t="s">
        <v>22</v>
      </c>
      <c r="J109" t="s">
        <v>69</v>
      </c>
    </row>
    <row r="110" spans="1:10" x14ac:dyDescent="0.3">
      <c r="A110" t="s">
        <v>57</v>
      </c>
      <c r="B110">
        <v>30</v>
      </c>
      <c r="C110" s="6" t="s">
        <v>68</v>
      </c>
      <c r="D110" t="s">
        <v>11</v>
      </c>
      <c r="E110" t="s">
        <v>12</v>
      </c>
      <c r="F110" t="s">
        <v>39</v>
      </c>
      <c r="G110" s="7">
        <v>43800</v>
      </c>
      <c r="H110" t="s">
        <v>31</v>
      </c>
      <c r="I110" t="s">
        <v>69</v>
      </c>
      <c r="J110" t="s">
        <v>69</v>
      </c>
    </row>
    <row r="111" spans="1:10" x14ac:dyDescent="0.3">
      <c r="A111" t="s">
        <v>56</v>
      </c>
      <c r="B111">
        <v>50</v>
      </c>
      <c r="C111" s="6">
        <v>60000</v>
      </c>
      <c r="D111" t="s">
        <v>36</v>
      </c>
      <c r="E111" t="s">
        <v>12</v>
      </c>
      <c r="F111" t="s">
        <v>39</v>
      </c>
      <c r="G111" s="7">
        <v>43800</v>
      </c>
      <c r="H111" t="s">
        <v>31</v>
      </c>
      <c r="I111" t="s">
        <v>15</v>
      </c>
      <c r="J111" t="s">
        <v>45</v>
      </c>
    </row>
    <row r="112" spans="1:10" x14ac:dyDescent="0.3">
      <c r="A112" t="s">
        <v>59</v>
      </c>
      <c r="B112">
        <v>50</v>
      </c>
      <c r="C112" s="6">
        <v>55000</v>
      </c>
      <c r="D112" t="s">
        <v>18</v>
      </c>
      <c r="E112" t="s">
        <v>26</v>
      </c>
      <c r="F112" t="s">
        <v>39</v>
      </c>
      <c r="G112" s="7">
        <v>43845</v>
      </c>
      <c r="H112" t="s">
        <v>31</v>
      </c>
      <c r="I112" t="s">
        <v>69</v>
      </c>
      <c r="J112" t="s">
        <v>23</v>
      </c>
    </row>
    <row r="113" spans="1:10" x14ac:dyDescent="0.3">
      <c r="A113" t="s">
        <v>56</v>
      </c>
      <c r="B113">
        <v>35</v>
      </c>
      <c r="C113" s="6" t="s">
        <v>68</v>
      </c>
      <c r="D113" t="s">
        <v>36</v>
      </c>
      <c r="E113" t="s">
        <v>30</v>
      </c>
      <c r="F113" t="s">
        <v>13</v>
      </c>
      <c r="G113" s="7">
        <v>43800</v>
      </c>
      <c r="H113" t="s">
        <v>21</v>
      </c>
      <c r="I113" t="s">
        <v>22</v>
      </c>
      <c r="J113" t="s">
        <v>69</v>
      </c>
    </row>
    <row r="114" spans="1:10" x14ac:dyDescent="0.3">
      <c r="A114" t="s">
        <v>54</v>
      </c>
      <c r="B114">
        <v>36</v>
      </c>
      <c r="C114" s="6">
        <v>70000</v>
      </c>
      <c r="D114" t="s">
        <v>11</v>
      </c>
      <c r="E114" t="s">
        <v>12</v>
      </c>
      <c r="F114" t="s">
        <v>13</v>
      </c>
      <c r="G114" s="7">
        <v>43881</v>
      </c>
      <c r="H114" t="s">
        <v>41</v>
      </c>
      <c r="I114" t="s">
        <v>22</v>
      </c>
      <c r="J114" t="s">
        <v>69</v>
      </c>
    </row>
    <row r="115" spans="1:10" x14ac:dyDescent="0.3">
      <c r="A115" t="s">
        <v>56</v>
      </c>
      <c r="B115">
        <v>25</v>
      </c>
      <c r="C115" s="6">
        <v>65000</v>
      </c>
      <c r="D115" t="s">
        <v>18</v>
      </c>
      <c r="E115" t="s">
        <v>12</v>
      </c>
      <c r="F115" t="s">
        <v>44</v>
      </c>
      <c r="G115" s="7">
        <v>43800</v>
      </c>
      <c r="H115" t="s">
        <v>31</v>
      </c>
      <c r="I115" t="s">
        <v>69</v>
      </c>
      <c r="J115" t="s">
        <v>28</v>
      </c>
    </row>
    <row r="116" spans="1:10" x14ac:dyDescent="0.3">
      <c r="A116" t="s">
        <v>59</v>
      </c>
      <c r="B116">
        <v>40</v>
      </c>
      <c r="C116" s="6">
        <v>70000</v>
      </c>
      <c r="D116" t="s">
        <v>36</v>
      </c>
      <c r="E116" t="s">
        <v>30</v>
      </c>
      <c r="F116" t="s">
        <v>20</v>
      </c>
      <c r="G116" s="7">
        <v>43800</v>
      </c>
      <c r="H116" t="s">
        <v>14</v>
      </c>
      <c r="I116" t="s">
        <v>32</v>
      </c>
      <c r="J116" t="s">
        <v>45</v>
      </c>
    </row>
    <row r="117" spans="1:10" x14ac:dyDescent="0.3">
      <c r="A117" t="s">
        <v>54</v>
      </c>
      <c r="B117">
        <v>35</v>
      </c>
      <c r="C117" s="6">
        <v>65000</v>
      </c>
      <c r="D117" t="s">
        <v>36</v>
      </c>
      <c r="E117" t="s">
        <v>26</v>
      </c>
      <c r="F117" t="s">
        <v>20</v>
      </c>
      <c r="G117" s="7">
        <v>43845</v>
      </c>
      <c r="H117" t="s">
        <v>21</v>
      </c>
      <c r="I117" t="s">
        <v>32</v>
      </c>
      <c r="J117" t="s">
        <v>23</v>
      </c>
    </row>
    <row r="118" spans="1:10" x14ac:dyDescent="0.3">
      <c r="A118" t="s">
        <v>55</v>
      </c>
      <c r="B118">
        <v>30</v>
      </c>
      <c r="C118" s="6" t="s">
        <v>68</v>
      </c>
      <c r="D118" t="s">
        <v>36</v>
      </c>
      <c r="E118" t="s">
        <v>12</v>
      </c>
      <c r="F118" t="s">
        <v>20</v>
      </c>
      <c r="G118" s="7">
        <v>43195</v>
      </c>
      <c r="H118" t="s">
        <v>27</v>
      </c>
      <c r="I118" t="s">
        <v>22</v>
      </c>
      <c r="J118" t="s">
        <v>28</v>
      </c>
    </row>
    <row r="119" spans="1:10" x14ac:dyDescent="0.3">
      <c r="A119" t="s">
        <v>51</v>
      </c>
      <c r="B119">
        <v>30</v>
      </c>
      <c r="C119" s="6">
        <v>60000</v>
      </c>
      <c r="D119" t="s">
        <v>36</v>
      </c>
      <c r="E119" t="s">
        <v>26</v>
      </c>
      <c r="F119" t="s">
        <v>44</v>
      </c>
      <c r="G119" s="7">
        <v>43800</v>
      </c>
      <c r="H119" t="s">
        <v>27</v>
      </c>
      <c r="I119" t="s">
        <v>69</v>
      </c>
      <c r="J119" t="s">
        <v>28</v>
      </c>
    </row>
    <row r="120" spans="1:10" x14ac:dyDescent="0.3">
      <c r="A120" t="s">
        <v>51</v>
      </c>
      <c r="B120">
        <v>35</v>
      </c>
      <c r="C120" s="6">
        <v>70000</v>
      </c>
      <c r="D120" t="s">
        <v>36</v>
      </c>
      <c r="E120" t="s">
        <v>37</v>
      </c>
      <c r="F120" t="s">
        <v>20</v>
      </c>
      <c r="G120" s="7">
        <v>43800</v>
      </c>
      <c r="H120" t="s">
        <v>14</v>
      </c>
      <c r="I120" t="s">
        <v>69</v>
      </c>
      <c r="J120" t="s">
        <v>69</v>
      </c>
    </row>
    <row r="121" spans="1:10" x14ac:dyDescent="0.3">
      <c r="A121" t="s">
        <v>60</v>
      </c>
      <c r="B121">
        <v>50</v>
      </c>
      <c r="C121" s="6">
        <v>65000</v>
      </c>
      <c r="D121" t="s">
        <v>18</v>
      </c>
      <c r="E121" t="s">
        <v>26</v>
      </c>
      <c r="F121" t="s">
        <v>20</v>
      </c>
      <c r="G121" s="7">
        <v>43195</v>
      </c>
      <c r="H121" t="s">
        <v>41</v>
      </c>
      <c r="I121" t="s">
        <v>15</v>
      </c>
      <c r="J121" t="s">
        <v>69</v>
      </c>
    </row>
    <row r="122" spans="1:10" x14ac:dyDescent="0.3">
      <c r="A122" t="s">
        <v>55</v>
      </c>
      <c r="B122">
        <v>30</v>
      </c>
      <c r="C122" s="6">
        <v>60000</v>
      </c>
      <c r="D122" t="s">
        <v>18</v>
      </c>
      <c r="E122" t="s">
        <v>19</v>
      </c>
      <c r="F122" t="s">
        <v>39</v>
      </c>
      <c r="G122" s="7">
        <v>43845</v>
      </c>
      <c r="H122" t="s">
        <v>31</v>
      </c>
      <c r="I122" t="s">
        <v>32</v>
      </c>
      <c r="J122" t="s">
        <v>23</v>
      </c>
    </row>
    <row r="123" spans="1:10" x14ac:dyDescent="0.3">
      <c r="A123" t="s">
        <v>55</v>
      </c>
      <c r="B123">
        <v>36</v>
      </c>
      <c r="C123" s="6">
        <v>55000</v>
      </c>
      <c r="D123" t="s">
        <v>18</v>
      </c>
      <c r="E123" t="s">
        <v>19</v>
      </c>
      <c r="F123" t="s">
        <v>13</v>
      </c>
      <c r="G123" s="7">
        <v>43195</v>
      </c>
      <c r="H123" t="s">
        <v>21</v>
      </c>
      <c r="I123" t="s">
        <v>22</v>
      </c>
      <c r="J123" t="s">
        <v>23</v>
      </c>
    </row>
    <row r="124" spans="1:10" x14ac:dyDescent="0.3">
      <c r="A124" t="s">
        <v>56</v>
      </c>
      <c r="B124">
        <v>25</v>
      </c>
      <c r="C124" s="6">
        <v>65000</v>
      </c>
      <c r="D124" t="s">
        <v>18</v>
      </c>
      <c r="E124" t="s">
        <v>26</v>
      </c>
      <c r="F124" t="s">
        <v>13</v>
      </c>
      <c r="G124" s="7">
        <v>43845</v>
      </c>
      <c r="H124" t="s">
        <v>31</v>
      </c>
      <c r="I124" t="s">
        <v>69</v>
      </c>
      <c r="J124" t="s">
        <v>23</v>
      </c>
    </row>
    <row r="125" spans="1:10" x14ac:dyDescent="0.3">
      <c r="A125" t="s">
        <v>51</v>
      </c>
      <c r="B125">
        <v>36</v>
      </c>
      <c r="C125" s="6" t="s">
        <v>68</v>
      </c>
      <c r="D125" t="s">
        <v>11</v>
      </c>
      <c r="E125" t="s">
        <v>19</v>
      </c>
      <c r="F125" t="s">
        <v>39</v>
      </c>
      <c r="G125" s="7">
        <v>43881</v>
      </c>
      <c r="H125" t="s">
        <v>21</v>
      </c>
      <c r="I125" t="s">
        <v>32</v>
      </c>
      <c r="J125" t="s">
        <v>28</v>
      </c>
    </row>
    <row r="126" spans="1:10" x14ac:dyDescent="0.3">
      <c r="A126" t="s">
        <v>59</v>
      </c>
      <c r="B126">
        <v>30</v>
      </c>
      <c r="C126" s="6">
        <v>55000</v>
      </c>
      <c r="D126" t="s">
        <v>18</v>
      </c>
      <c r="E126" t="s">
        <v>37</v>
      </c>
      <c r="F126" t="s">
        <v>39</v>
      </c>
      <c r="G126" s="7">
        <v>43845</v>
      </c>
      <c r="H126" t="s">
        <v>27</v>
      </c>
      <c r="I126" t="s">
        <v>15</v>
      </c>
      <c r="J126" t="s">
        <v>69</v>
      </c>
    </row>
    <row r="127" spans="1:10" x14ac:dyDescent="0.3">
      <c r="A127" t="s">
        <v>52</v>
      </c>
      <c r="B127">
        <v>40</v>
      </c>
      <c r="C127" s="6">
        <v>55000</v>
      </c>
      <c r="D127" t="s">
        <v>36</v>
      </c>
      <c r="E127" t="s">
        <v>30</v>
      </c>
      <c r="F127" t="s">
        <v>39</v>
      </c>
      <c r="G127" s="7">
        <v>43881</v>
      </c>
      <c r="H127" t="s">
        <v>31</v>
      </c>
      <c r="I127" t="s">
        <v>69</v>
      </c>
      <c r="J127" t="s">
        <v>45</v>
      </c>
    </row>
    <row r="128" spans="1:10" x14ac:dyDescent="0.3">
      <c r="A128" t="s">
        <v>52</v>
      </c>
      <c r="B128">
        <v>25</v>
      </c>
      <c r="C128" s="6">
        <v>50000</v>
      </c>
      <c r="D128" t="s">
        <v>36</v>
      </c>
      <c r="E128" t="s">
        <v>19</v>
      </c>
      <c r="F128" t="s">
        <v>13</v>
      </c>
      <c r="G128" s="7">
        <v>43881</v>
      </c>
      <c r="H128" t="s">
        <v>14</v>
      </c>
      <c r="I128" t="s">
        <v>22</v>
      </c>
      <c r="J128" t="s">
        <v>28</v>
      </c>
    </row>
    <row r="129" spans="1:10" x14ac:dyDescent="0.3">
      <c r="A129" t="s">
        <v>54</v>
      </c>
      <c r="B129">
        <v>25</v>
      </c>
      <c r="C129" s="6">
        <v>70000</v>
      </c>
      <c r="D129" t="s">
        <v>18</v>
      </c>
      <c r="E129" t="s">
        <v>19</v>
      </c>
      <c r="F129" t="s">
        <v>20</v>
      </c>
      <c r="G129" s="7">
        <v>43845</v>
      </c>
      <c r="H129" t="s">
        <v>41</v>
      </c>
      <c r="I129" t="s">
        <v>32</v>
      </c>
      <c r="J129" t="s">
        <v>45</v>
      </c>
    </row>
    <row r="130" spans="1:10" x14ac:dyDescent="0.3">
      <c r="A130" t="s">
        <v>51</v>
      </c>
      <c r="B130">
        <v>35</v>
      </c>
      <c r="C130" s="6">
        <v>65000</v>
      </c>
      <c r="D130" t="s">
        <v>36</v>
      </c>
      <c r="E130" t="s">
        <v>26</v>
      </c>
      <c r="F130" t="s">
        <v>39</v>
      </c>
      <c r="G130" s="7">
        <v>43549</v>
      </c>
      <c r="H130" t="s">
        <v>14</v>
      </c>
      <c r="I130" t="s">
        <v>69</v>
      </c>
      <c r="J130" t="s">
        <v>69</v>
      </c>
    </row>
    <row r="131" spans="1:10" x14ac:dyDescent="0.3">
      <c r="A131" t="s">
        <v>51</v>
      </c>
      <c r="B131">
        <v>35</v>
      </c>
      <c r="C131" s="6">
        <v>55000</v>
      </c>
      <c r="D131" t="s">
        <v>18</v>
      </c>
      <c r="E131" t="s">
        <v>37</v>
      </c>
      <c r="F131" t="s">
        <v>44</v>
      </c>
      <c r="G131" s="7">
        <v>43845</v>
      </c>
      <c r="H131" t="s">
        <v>41</v>
      </c>
      <c r="I131" t="s">
        <v>15</v>
      </c>
      <c r="J131" t="s">
        <v>69</v>
      </c>
    </row>
    <row r="132" spans="1:10" x14ac:dyDescent="0.3">
      <c r="A132" t="s">
        <v>52</v>
      </c>
      <c r="B132">
        <v>40</v>
      </c>
      <c r="C132" s="6">
        <v>50000</v>
      </c>
      <c r="D132" t="s">
        <v>36</v>
      </c>
      <c r="E132" t="s">
        <v>30</v>
      </c>
      <c r="F132" t="s">
        <v>39</v>
      </c>
      <c r="G132" s="7">
        <v>43800</v>
      </c>
      <c r="H132" t="s">
        <v>31</v>
      </c>
      <c r="I132" t="s">
        <v>15</v>
      </c>
      <c r="J132" t="s">
        <v>23</v>
      </c>
    </row>
    <row r="133" spans="1:10" x14ac:dyDescent="0.3">
      <c r="A133" t="s">
        <v>51</v>
      </c>
      <c r="B133">
        <v>50</v>
      </c>
      <c r="C133" s="6" t="s">
        <v>68</v>
      </c>
      <c r="D133" t="s">
        <v>11</v>
      </c>
      <c r="E133" t="s">
        <v>26</v>
      </c>
      <c r="F133" t="s">
        <v>43</v>
      </c>
      <c r="G133" s="7">
        <v>43800</v>
      </c>
      <c r="H133" t="s">
        <v>31</v>
      </c>
      <c r="I133" t="s">
        <v>32</v>
      </c>
      <c r="J133" t="s">
        <v>45</v>
      </c>
    </row>
    <row r="134" spans="1:10" x14ac:dyDescent="0.3">
      <c r="A134" t="s">
        <v>56</v>
      </c>
      <c r="B134">
        <v>25</v>
      </c>
      <c r="C134" s="6">
        <v>60000</v>
      </c>
      <c r="D134" t="s">
        <v>11</v>
      </c>
      <c r="E134" t="s">
        <v>26</v>
      </c>
      <c r="F134" t="s">
        <v>39</v>
      </c>
      <c r="G134" s="7">
        <v>43549</v>
      </c>
      <c r="H134" t="s">
        <v>41</v>
      </c>
      <c r="I134" t="s">
        <v>69</v>
      </c>
      <c r="J134" t="s">
        <v>28</v>
      </c>
    </row>
    <row r="135" spans="1:10" x14ac:dyDescent="0.3">
      <c r="A135" t="s">
        <v>57</v>
      </c>
      <c r="B135">
        <v>40</v>
      </c>
      <c r="C135" s="6">
        <v>65000</v>
      </c>
      <c r="D135" t="s">
        <v>18</v>
      </c>
      <c r="E135" t="s">
        <v>37</v>
      </c>
      <c r="F135" t="s">
        <v>13</v>
      </c>
      <c r="G135" s="7">
        <v>43881</v>
      </c>
      <c r="H135" t="s">
        <v>27</v>
      </c>
      <c r="I135" t="s">
        <v>15</v>
      </c>
      <c r="J135" t="s">
        <v>45</v>
      </c>
    </row>
    <row r="136" spans="1:10" x14ac:dyDescent="0.3">
      <c r="A136" t="s">
        <v>58</v>
      </c>
      <c r="B136">
        <v>35</v>
      </c>
      <c r="C136" s="6">
        <v>55000</v>
      </c>
      <c r="D136" t="s">
        <v>18</v>
      </c>
      <c r="E136" t="s">
        <v>30</v>
      </c>
      <c r="F136" t="s">
        <v>39</v>
      </c>
      <c r="G136" s="7">
        <v>43549</v>
      </c>
      <c r="H136" t="s">
        <v>21</v>
      </c>
      <c r="I136" t="s">
        <v>22</v>
      </c>
      <c r="J136" t="s">
        <v>69</v>
      </c>
    </row>
    <row r="137" spans="1:10" x14ac:dyDescent="0.3">
      <c r="A137" t="s">
        <v>55</v>
      </c>
      <c r="B137">
        <v>35</v>
      </c>
      <c r="C137" s="6">
        <v>70000</v>
      </c>
      <c r="D137" t="s">
        <v>18</v>
      </c>
      <c r="E137" t="s">
        <v>37</v>
      </c>
      <c r="F137" t="s">
        <v>43</v>
      </c>
      <c r="G137" s="7">
        <v>43800</v>
      </c>
      <c r="H137" t="s">
        <v>14</v>
      </c>
      <c r="I137" t="s">
        <v>15</v>
      </c>
      <c r="J137" t="s">
        <v>23</v>
      </c>
    </row>
    <row r="138" spans="1:10" x14ac:dyDescent="0.3">
      <c r="A138" t="s">
        <v>60</v>
      </c>
      <c r="B138">
        <v>25</v>
      </c>
      <c r="C138" s="6">
        <v>50000</v>
      </c>
      <c r="D138" t="s">
        <v>36</v>
      </c>
      <c r="E138" t="s">
        <v>30</v>
      </c>
      <c r="F138" t="s">
        <v>44</v>
      </c>
      <c r="G138" s="7">
        <v>43549</v>
      </c>
      <c r="H138" t="s">
        <v>14</v>
      </c>
      <c r="I138" t="s">
        <v>69</v>
      </c>
      <c r="J138" t="s">
        <v>45</v>
      </c>
    </row>
    <row r="139" spans="1:10" x14ac:dyDescent="0.3">
      <c r="A139" t="s">
        <v>54</v>
      </c>
      <c r="B139">
        <v>36</v>
      </c>
      <c r="C139" s="6">
        <v>55000</v>
      </c>
      <c r="D139" t="s">
        <v>18</v>
      </c>
      <c r="E139" t="s">
        <v>37</v>
      </c>
      <c r="F139" t="s">
        <v>20</v>
      </c>
      <c r="G139" s="7">
        <v>43845</v>
      </c>
      <c r="H139" t="s">
        <v>14</v>
      </c>
      <c r="I139" t="s">
        <v>69</v>
      </c>
      <c r="J139" t="s">
        <v>69</v>
      </c>
    </row>
    <row r="140" spans="1:10" x14ac:dyDescent="0.3">
      <c r="A140" t="s">
        <v>57</v>
      </c>
      <c r="B140">
        <v>30</v>
      </c>
      <c r="C140" s="6">
        <v>70000</v>
      </c>
      <c r="D140" t="s">
        <v>11</v>
      </c>
      <c r="E140" t="s">
        <v>26</v>
      </c>
      <c r="F140" t="s">
        <v>39</v>
      </c>
      <c r="G140" s="7">
        <v>43549</v>
      </c>
      <c r="H140" t="s">
        <v>31</v>
      </c>
      <c r="I140" t="s">
        <v>69</v>
      </c>
      <c r="J140" t="s">
        <v>28</v>
      </c>
    </row>
    <row r="141" spans="1:10" x14ac:dyDescent="0.3">
      <c r="A141" t="s">
        <v>52</v>
      </c>
      <c r="B141">
        <v>35</v>
      </c>
      <c r="C141" s="6">
        <v>55000</v>
      </c>
      <c r="D141" t="s">
        <v>36</v>
      </c>
      <c r="E141" t="s">
        <v>26</v>
      </c>
      <c r="F141" t="s">
        <v>43</v>
      </c>
      <c r="G141" s="7">
        <v>43881</v>
      </c>
      <c r="H141" t="s">
        <v>14</v>
      </c>
      <c r="I141" t="s">
        <v>32</v>
      </c>
      <c r="J141" t="s">
        <v>69</v>
      </c>
    </row>
    <row r="142" spans="1:10" x14ac:dyDescent="0.3">
      <c r="A142" t="s">
        <v>55</v>
      </c>
      <c r="B142">
        <v>50</v>
      </c>
      <c r="C142" s="6">
        <v>65000</v>
      </c>
      <c r="D142" t="s">
        <v>18</v>
      </c>
      <c r="E142" t="s">
        <v>12</v>
      </c>
      <c r="F142" t="s">
        <v>43</v>
      </c>
      <c r="G142" s="7">
        <v>43845</v>
      </c>
      <c r="H142" t="s">
        <v>21</v>
      </c>
      <c r="I142" t="s">
        <v>69</v>
      </c>
      <c r="J142" t="s">
        <v>28</v>
      </c>
    </row>
    <row r="143" spans="1:10" x14ac:dyDescent="0.3">
      <c r="A143" t="s">
        <v>51</v>
      </c>
      <c r="B143">
        <v>50</v>
      </c>
      <c r="C143" s="6">
        <v>65000</v>
      </c>
      <c r="D143" t="s">
        <v>36</v>
      </c>
      <c r="E143" t="s">
        <v>19</v>
      </c>
      <c r="F143" t="s">
        <v>44</v>
      </c>
      <c r="G143" s="7">
        <v>43195</v>
      </c>
      <c r="H143" t="s">
        <v>21</v>
      </c>
      <c r="I143" t="s">
        <v>15</v>
      </c>
      <c r="J143" t="s">
        <v>23</v>
      </c>
    </row>
    <row r="144" spans="1:10" x14ac:dyDescent="0.3">
      <c r="A144" t="s">
        <v>60</v>
      </c>
      <c r="B144">
        <v>35</v>
      </c>
      <c r="C144" s="6">
        <v>65000</v>
      </c>
      <c r="D144" t="s">
        <v>36</v>
      </c>
      <c r="E144" t="s">
        <v>37</v>
      </c>
      <c r="F144" t="s">
        <v>13</v>
      </c>
      <c r="G144" s="7">
        <v>43800</v>
      </c>
      <c r="H144" t="s">
        <v>41</v>
      </c>
      <c r="I144" t="s">
        <v>15</v>
      </c>
      <c r="J144" t="s">
        <v>28</v>
      </c>
    </row>
    <row r="145" spans="1:10" x14ac:dyDescent="0.3">
      <c r="A145" t="s">
        <v>51</v>
      </c>
      <c r="B145">
        <v>36</v>
      </c>
      <c r="C145" s="6" t="s">
        <v>68</v>
      </c>
      <c r="D145" t="s">
        <v>18</v>
      </c>
      <c r="E145" t="s">
        <v>12</v>
      </c>
      <c r="F145" t="s">
        <v>39</v>
      </c>
      <c r="G145" s="7">
        <v>43800</v>
      </c>
      <c r="H145" t="s">
        <v>31</v>
      </c>
      <c r="I145" t="s">
        <v>69</v>
      </c>
      <c r="J145" t="s">
        <v>28</v>
      </c>
    </row>
    <row r="146" spans="1:10" x14ac:dyDescent="0.3">
      <c r="A146" t="s">
        <v>59</v>
      </c>
      <c r="B146">
        <v>36</v>
      </c>
      <c r="C146" s="6" t="s">
        <v>68</v>
      </c>
      <c r="D146" t="s">
        <v>36</v>
      </c>
      <c r="E146" t="s">
        <v>19</v>
      </c>
      <c r="F146" t="s">
        <v>43</v>
      </c>
      <c r="G146" s="7">
        <v>43549</v>
      </c>
      <c r="H146" t="s">
        <v>21</v>
      </c>
      <c r="I146" t="s">
        <v>69</v>
      </c>
      <c r="J146" t="s">
        <v>28</v>
      </c>
    </row>
    <row r="147" spans="1:10" x14ac:dyDescent="0.3">
      <c r="A147" t="s">
        <v>59</v>
      </c>
      <c r="B147">
        <v>40</v>
      </c>
      <c r="C147" s="6">
        <v>50000</v>
      </c>
      <c r="D147" t="s">
        <v>11</v>
      </c>
      <c r="E147" t="s">
        <v>37</v>
      </c>
      <c r="F147" t="s">
        <v>44</v>
      </c>
      <c r="G147" s="7">
        <v>43845</v>
      </c>
      <c r="H147" t="s">
        <v>27</v>
      </c>
      <c r="I147" t="s">
        <v>22</v>
      </c>
      <c r="J147" t="s">
        <v>28</v>
      </c>
    </row>
    <row r="148" spans="1:10" x14ac:dyDescent="0.3">
      <c r="A148" t="s">
        <v>60</v>
      </c>
      <c r="B148">
        <v>50</v>
      </c>
      <c r="C148" s="6">
        <v>65000</v>
      </c>
      <c r="D148" t="s">
        <v>11</v>
      </c>
      <c r="E148" t="s">
        <v>30</v>
      </c>
      <c r="F148" t="s">
        <v>20</v>
      </c>
      <c r="G148" s="7">
        <v>43195</v>
      </c>
      <c r="H148" t="s">
        <v>31</v>
      </c>
      <c r="I148" t="s">
        <v>69</v>
      </c>
      <c r="J148" t="s">
        <v>23</v>
      </c>
    </row>
    <row r="149" spans="1:10" x14ac:dyDescent="0.3">
      <c r="A149" t="s">
        <v>60</v>
      </c>
      <c r="B149">
        <v>40</v>
      </c>
      <c r="C149" s="6">
        <v>70000</v>
      </c>
      <c r="D149" t="s">
        <v>36</v>
      </c>
      <c r="E149" t="s">
        <v>19</v>
      </c>
      <c r="F149" t="s">
        <v>43</v>
      </c>
      <c r="G149" s="7">
        <v>43845</v>
      </c>
      <c r="H149" t="s">
        <v>31</v>
      </c>
      <c r="I149" t="s">
        <v>22</v>
      </c>
      <c r="J149" t="s">
        <v>69</v>
      </c>
    </row>
    <row r="150" spans="1:10" x14ac:dyDescent="0.3">
      <c r="A150" t="s">
        <v>52</v>
      </c>
      <c r="B150">
        <v>50</v>
      </c>
      <c r="C150" s="6">
        <v>55000</v>
      </c>
      <c r="D150" t="s">
        <v>18</v>
      </c>
      <c r="E150" t="s">
        <v>26</v>
      </c>
      <c r="F150" t="s">
        <v>44</v>
      </c>
      <c r="G150" s="7">
        <v>43800</v>
      </c>
      <c r="H150" t="s">
        <v>21</v>
      </c>
      <c r="I150" t="s">
        <v>15</v>
      </c>
      <c r="J150" t="s">
        <v>45</v>
      </c>
    </row>
    <row r="151" spans="1:10" x14ac:dyDescent="0.3">
      <c r="A151" t="s">
        <v>60</v>
      </c>
      <c r="B151">
        <v>30</v>
      </c>
      <c r="C151" s="6">
        <v>60000</v>
      </c>
      <c r="D151" t="s">
        <v>36</v>
      </c>
      <c r="E151" t="s">
        <v>12</v>
      </c>
      <c r="F151" t="s">
        <v>13</v>
      </c>
      <c r="G151" s="7">
        <v>43845</v>
      </c>
      <c r="H151" t="s">
        <v>27</v>
      </c>
      <c r="I151" t="s">
        <v>22</v>
      </c>
      <c r="J151" t="s">
        <v>69</v>
      </c>
    </row>
    <row r="152" spans="1:10" x14ac:dyDescent="0.3">
      <c r="A152" t="s">
        <v>56</v>
      </c>
      <c r="B152">
        <v>30</v>
      </c>
      <c r="C152" s="6">
        <v>70000</v>
      </c>
      <c r="D152" t="s">
        <v>11</v>
      </c>
      <c r="E152" t="s">
        <v>19</v>
      </c>
      <c r="F152" t="s">
        <v>13</v>
      </c>
      <c r="G152" s="7">
        <v>43195</v>
      </c>
      <c r="H152" t="s">
        <v>41</v>
      </c>
      <c r="I152" t="s">
        <v>22</v>
      </c>
      <c r="J152" t="s">
        <v>45</v>
      </c>
    </row>
    <row r="153" spans="1:10" x14ac:dyDescent="0.3">
      <c r="A153" t="s">
        <v>51</v>
      </c>
      <c r="B153">
        <v>25</v>
      </c>
      <c r="C153" s="6" t="s">
        <v>68</v>
      </c>
      <c r="D153" t="s">
        <v>36</v>
      </c>
      <c r="E153" t="s">
        <v>19</v>
      </c>
      <c r="F153" t="s">
        <v>43</v>
      </c>
      <c r="G153" s="7">
        <v>43549</v>
      </c>
      <c r="H153" t="s">
        <v>21</v>
      </c>
      <c r="I153" t="s">
        <v>32</v>
      </c>
      <c r="J153" t="s">
        <v>45</v>
      </c>
    </row>
    <row r="154" spans="1:10" x14ac:dyDescent="0.3">
      <c r="A154" t="s">
        <v>57</v>
      </c>
      <c r="B154">
        <v>40</v>
      </c>
      <c r="C154" s="6" t="s">
        <v>68</v>
      </c>
      <c r="D154" t="s">
        <v>36</v>
      </c>
      <c r="E154" t="s">
        <v>26</v>
      </c>
      <c r="F154" t="s">
        <v>43</v>
      </c>
      <c r="G154" s="7">
        <v>43881</v>
      </c>
      <c r="H154" t="s">
        <v>27</v>
      </c>
      <c r="I154" t="s">
        <v>69</v>
      </c>
      <c r="J154" t="s">
        <v>69</v>
      </c>
    </row>
    <row r="155" spans="1:10" x14ac:dyDescent="0.3">
      <c r="A155" t="s">
        <v>53</v>
      </c>
      <c r="B155">
        <v>35</v>
      </c>
      <c r="C155" s="6">
        <v>70000</v>
      </c>
      <c r="D155" t="s">
        <v>11</v>
      </c>
      <c r="E155" t="s">
        <v>37</v>
      </c>
      <c r="F155" t="s">
        <v>39</v>
      </c>
      <c r="G155" s="7">
        <v>43845</v>
      </c>
      <c r="H155" t="s">
        <v>31</v>
      </c>
      <c r="I155" t="s">
        <v>22</v>
      </c>
      <c r="J155" t="s">
        <v>23</v>
      </c>
    </row>
    <row r="156" spans="1:10" x14ac:dyDescent="0.3">
      <c r="A156" t="s">
        <v>60</v>
      </c>
      <c r="B156">
        <v>40</v>
      </c>
      <c r="C156" s="6" t="s">
        <v>68</v>
      </c>
      <c r="D156" t="s">
        <v>36</v>
      </c>
      <c r="E156" t="s">
        <v>30</v>
      </c>
      <c r="F156" t="s">
        <v>44</v>
      </c>
      <c r="G156" s="7">
        <v>43881</v>
      </c>
      <c r="H156" t="s">
        <v>27</v>
      </c>
      <c r="I156" t="s">
        <v>15</v>
      </c>
      <c r="J156" t="s">
        <v>69</v>
      </c>
    </row>
    <row r="157" spans="1:10" x14ac:dyDescent="0.3">
      <c r="A157" t="s">
        <v>54</v>
      </c>
      <c r="B157">
        <v>35</v>
      </c>
      <c r="C157" s="6">
        <v>65000</v>
      </c>
      <c r="D157" t="s">
        <v>36</v>
      </c>
      <c r="E157" t="s">
        <v>26</v>
      </c>
      <c r="F157" t="s">
        <v>43</v>
      </c>
      <c r="G157" s="7">
        <v>43800</v>
      </c>
      <c r="H157" t="s">
        <v>31</v>
      </c>
      <c r="I157" t="s">
        <v>69</v>
      </c>
      <c r="J157" t="s">
        <v>23</v>
      </c>
    </row>
    <row r="158" spans="1:10" x14ac:dyDescent="0.3">
      <c r="A158" t="s">
        <v>59</v>
      </c>
      <c r="B158">
        <v>36</v>
      </c>
      <c r="C158" s="6">
        <v>50000</v>
      </c>
      <c r="D158" t="s">
        <v>18</v>
      </c>
      <c r="E158" t="s">
        <v>30</v>
      </c>
      <c r="F158" t="s">
        <v>39</v>
      </c>
      <c r="G158" s="7">
        <v>43549</v>
      </c>
      <c r="H158" t="s">
        <v>21</v>
      </c>
      <c r="I158" t="s">
        <v>22</v>
      </c>
      <c r="J158" t="s">
        <v>45</v>
      </c>
    </row>
    <row r="159" spans="1:10" x14ac:dyDescent="0.3">
      <c r="A159" t="s">
        <v>56</v>
      </c>
      <c r="B159">
        <v>40</v>
      </c>
      <c r="C159" s="6">
        <v>55000</v>
      </c>
      <c r="D159" t="s">
        <v>18</v>
      </c>
      <c r="E159" t="s">
        <v>37</v>
      </c>
      <c r="F159" t="s">
        <v>39</v>
      </c>
      <c r="G159" s="7">
        <v>43549</v>
      </c>
      <c r="H159" t="s">
        <v>21</v>
      </c>
      <c r="I159" t="s">
        <v>69</v>
      </c>
      <c r="J159" t="s">
        <v>23</v>
      </c>
    </row>
    <row r="160" spans="1:10" x14ac:dyDescent="0.3">
      <c r="A160" t="s">
        <v>55</v>
      </c>
      <c r="B160">
        <v>36</v>
      </c>
      <c r="C160" s="6">
        <v>50000</v>
      </c>
      <c r="D160" t="s">
        <v>11</v>
      </c>
      <c r="E160" t="s">
        <v>19</v>
      </c>
      <c r="F160" t="s">
        <v>43</v>
      </c>
      <c r="G160" s="7">
        <v>43845</v>
      </c>
      <c r="H160" t="s">
        <v>14</v>
      </c>
      <c r="I160" t="s">
        <v>32</v>
      </c>
      <c r="J160" t="s">
        <v>69</v>
      </c>
    </row>
    <row r="161" spans="1:10" x14ac:dyDescent="0.3">
      <c r="A161" t="s">
        <v>53</v>
      </c>
      <c r="B161">
        <v>30</v>
      </c>
      <c r="C161" s="6">
        <v>55000</v>
      </c>
      <c r="D161" t="s">
        <v>11</v>
      </c>
      <c r="E161" t="s">
        <v>30</v>
      </c>
      <c r="F161" t="s">
        <v>13</v>
      </c>
      <c r="G161" s="7">
        <v>43549</v>
      </c>
      <c r="H161" t="s">
        <v>14</v>
      </c>
      <c r="I161" t="s">
        <v>15</v>
      </c>
      <c r="J161" t="s">
        <v>69</v>
      </c>
    </row>
    <row r="162" spans="1:10" x14ac:dyDescent="0.3">
      <c r="A162" t="s">
        <v>57</v>
      </c>
      <c r="B162">
        <v>30</v>
      </c>
      <c r="C162" s="6">
        <v>55000</v>
      </c>
      <c r="D162" t="s">
        <v>11</v>
      </c>
      <c r="E162" t="s">
        <v>12</v>
      </c>
      <c r="F162" t="s">
        <v>44</v>
      </c>
      <c r="G162" s="7">
        <v>43845</v>
      </c>
      <c r="H162" t="s">
        <v>14</v>
      </c>
      <c r="I162" t="s">
        <v>32</v>
      </c>
      <c r="J162" t="s">
        <v>69</v>
      </c>
    </row>
    <row r="163" spans="1:10" x14ac:dyDescent="0.3">
      <c r="A163" t="s">
        <v>53</v>
      </c>
      <c r="B163">
        <v>25</v>
      </c>
      <c r="C163" s="6">
        <v>50000</v>
      </c>
      <c r="D163" t="s">
        <v>18</v>
      </c>
      <c r="E163" t="s">
        <v>12</v>
      </c>
      <c r="F163" t="s">
        <v>44</v>
      </c>
      <c r="G163" s="7">
        <v>43845</v>
      </c>
      <c r="H163" t="s">
        <v>21</v>
      </c>
      <c r="I163" t="s">
        <v>69</v>
      </c>
      <c r="J163" t="s">
        <v>45</v>
      </c>
    </row>
    <row r="164" spans="1:10" x14ac:dyDescent="0.3">
      <c r="A164" t="s">
        <v>60</v>
      </c>
      <c r="B164">
        <v>40</v>
      </c>
      <c r="C164" s="6">
        <v>70000</v>
      </c>
      <c r="D164" t="s">
        <v>11</v>
      </c>
      <c r="E164" t="s">
        <v>26</v>
      </c>
      <c r="F164" t="s">
        <v>13</v>
      </c>
      <c r="G164" s="7">
        <v>43881</v>
      </c>
      <c r="H164" t="s">
        <v>41</v>
      </c>
      <c r="I164" t="s">
        <v>22</v>
      </c>
      <c r="J164" t="s">
        <v>69</v>
      </c>
    </row>
    <row r="165" spans="1:10" x14ac:dyDescent="0.3">
      <c r="A165" t="s">
        <v>52</v>
      </c>
      <c r="B165">
        <v>36</v>
      </c>
      <c r="C165" s="6">
        <v>55000</v>
      </c>
      <c r="D165" t="s">
        <v>11</v>
      </c>
      <c r="E165" t="s">
        <v>37</v>
      </c>
      <c r="F165" t="s">
        <v>43</v>
      </c>
      <c r="G165" s="7">
        <v>43549</v>
      </c>
      <c r="H165" t="s">
        <v>21</v>
      </c>
      <c r="I165" t="s">
        <v>22</v>
      </c>
      <c r="J165" t="s">
        <v>45</v>
      </c>
    </row>
    <row r="166" spans="1:10" x14ac:dyDescent="0.3">
      <c r="A166" t="s">
        <v>59</v>
      </c>
      <c r="B166">
        <v>35</v>
      </c>
      <c r="C166" s="6">
        <v>50000</v>
      </c>
      <c r="D166" t="s">
        <v>11</v>
      </c>
      <c r="E166" t="s">
        <v>26</v>
      </c>
      <c r="F166" t="s">
        <v>44</v>
      </c>
      <c r="G166" s="7">
        <v>43845</v>
      </c>
      <c r="H166" t="s">
        <v>27</v>
      </c>
      <c r="I166" t="s">
        <v>69</v>
      </c>
      <c r="J166" t="s">
        <v>69</v>
      </c>
    </row>
    <row r="167" spans="1:10" x14ac:dyDescent="0.3">
      <c r="A167" t="s">
        <v>59</v>
      </c>
      <c r="B167">
        <v>30</v>
      </c>
      <c r="C167" s="6">
        <v>55000</v>
      </c>
      <c r="D167" t="s">
        <v>18</v>
      </c>
      <c r="E167" t="s">
        <v>26</v>
      </c>
      <c r="F167" t="s">
        <v>43</v>
      </c>
      <c r="G167" s="7">
        <v>43881</v>
      </c>
      <c r="H167" t="s">
        <v>21</v>
      </c>
      <c r="I167" t="s">
        <v>22</v>
      </c>
      <c r="J167" t="s">
        <v>45</v>
      </c>
    </row>
    <row r="168" spans="1:10" x14ac:dyDescent="0.3">
      <c r="A168" t="s">
        <v>55</v>
      </c>
      <c r="B168">
        <v>30</v>
      </c>
      <c r="C168" s="6">
        <v>60000</v>
      </c>
      <c r="D168" t="s">
        <v>36</v>
      </c>
      <c r="E168" t="s">
        <v>26</v>
      </c>
      <c r="F168" t="s">
        <v>43</v>
      </c>
      <c r="G168" s="7">
        <v>43195</v>
      </c>
      <c r="H168" t="s">
        <v>21</v>
      </c>
      <c r="I168" t="s">
        <v>15</v>
      </c>
      <c r="J168" t="s">
        <v>69</v>
      </c>
    </row>
    <row r="169" spans="1:10" x14ac:dyDescent="0.3">
      <c r="A169" t="s">
        <v>52</v>
      </c>
      <c r="B169">
        <v>35</v>
      </c>
      <c r="C169" s="6">
        <v>70000</v>
      </c>
      <c r="D169" t="s">
        <v>11</v>
      </c>
      <c r="E169" t="s">
        <v>12</v>
      </c>
      <c r="F169" t="s">
        <v>39</v>
      </c>
      <c r="G169" s="7">
        <v>43881</v>
      </c>
      <c r="H169" t="s">
        <v>31</v>
      </c>
      <c r="I169" t="s">
        <v>69</v>
      </c>
      <c r="J169" t="s">
        <v>69</v>
      </c>
    </row>
    <row r="170" spans="1:10" x14ac:dyDescent="0.3">
      <c r="A170" t="s">
        <v>51</v>
      </c>
      <c r="B170">
        <v>36</v>
      </c>
      <c r="C170" s="6">
        <v>65000</v>
      </c>
      <c r="D170" t="s">
        <v>36</v>
      </c>
      <c r="E170" t="s">
        <v>12</v>
      </c>
      <c r="F170" t="s">
        <v>13</v>
      </c>
      <c r="G170" s="7">
        <v>43881</v>
      </c>
      <c r="H170" t="s">
        <v>31</v>
      </c>
      <c r="I170" t="s">
        <v>32</v>
      </c>
      <c r="J170" t="s">
        <v>45</v>
      </c>
    </row>
    <row r="171" spans="1:10" x14ac:dyDescent="0.3">
      <c r="A171" t="s">
        <v>58</v>
      </c>
      <c r="B171">
        <v>36</v>
      </c>
      <c r="C171" s="6">
        <v>55000</v>
      </c>
      <c r="D171" t="s">
        <v>11</v>
      </c>
      <c r="E171" t="s">
        <v>26</v>
      </c>
      <c r="F171" t="s">
        <v>43</v>
      </c>
      <c r="G171" s="7">
        <v>43845</v>
      </c>
      <c r="H171" t="s">
        <v>31</v>
      </c>
      <c r="I171" t="s">
        <v>69</v>
      </c>
      <c r="J171" t="s">
        <v>69</v>
      </c>
    </row>
    <row r="172" spans="1:10" x14ac:dyDescent="0.3">
      <c r="A172" t="s">
        <v>56</v>
      </c>
      <c r="B172">
        <v>40</v>
      </c>
      <c r="C172" s="6">
        <v>60000</v>
      </c>
      <c r="D172" t="s">
        <v>36</v>
      </c>
      <c r="E172" t="s">
        <v>12</v>
      </c>
      <c r="F172" t="s">
        <v>20</v>
      </c>
      <c r="G172" s="7">
        <v>43800</v>
      </c>
      <c r="H172" t="s">
        <v>21</v>
      </c>
      <c r="I172" t="s">
        <v>22</v>
      </c>
      <c r="J172" t="s">
        <v>69</v>
      </c>
    </row>
    <row r="173" spans="1:10" x14ac:dyDescent="0.3">
      <c r="A173" t="s">
        <v>59</v>
      </c>
      <c r="B173">
        <v>40</v>
      </c>
      <c r="C173" s="6">
        <v>65000</v>
      </c>
      <c r="D173" t="s">
        <v>18</v>
      </c>
      <c r="E173" t="s">
        <v>37</v>
      </c>
      <c r="F173" t="s">
        <v>13</v>
      </c>
      <c r="G173" s="7">
        <v>43800</v>
      </c>
      <c r="H173" t="s">
        <v>41</v>
      </c>
      <c r="I173" t="s">
        <v>32</v>
      </c>
      <c r="J173" t="s">
        <v>45</v>
      </c>
    </row>
    <row r="174" spans="1:10" x14ac:dyDescent="0.3">
      <c r="A174" t="s">
        <v>54</v>
      </c>
      <c r="B174">
        <v>50</v>
      </c>
      <c r="C174" s="6">
        <v>65000</v>
      </c>
      <c r="D174" t="s">
        <v>18</v>
      </c>
      <c r="E174" t="s">
        <v>26</v>
      </c>
      <c r="F174" t="s">
        <v>44</v>
      </c>
      <c r="G174" s="7">
        <v>43800</v>
      </c>
      <c r="H174" t="s">
        <v>27</v>
      </c>
      <c r="I174" t="s">
        <v>69</v>
      </c>
      <c r="J174" t="s">
        <v>69</v>
      </c>
    </row>
    <row r="175" spans="1:10" x14ac:dyDescent="0.3">
      <c r="A175" t="s">
        <v>59</v>
      </c>
      <c r="B175">
        <v>50</v>
      </c>
      <c r="C175" s="6">
        <v>55000</v>
      </c>
      <c r="D175" t="s">
        <v>11</v>
      </c>
      <c r="E175" t="s">
        <v>12</v>
      </c>
      <c r="F175" t="s">
        <v>39</v>
      </c>
      <c r="G175" s="7">
        <v>43881</v>
      </c>
      <c r="H175" t="s">
        <v>27</v>
      </c>
      <c r="I175" t="s">
        <v>69</v>
      </c>
      <c r="J175" t="s">
        <v>69</v>
      </c>
    </row>
    <row r="176" spans="1:10" x14ac:dyDescent="0.3">
      <c r="A176" t="s">
        <v>53</v>
      </c>
      <c r="B176">
        <v>25</v>
      </c>
      <c r="C176" s="6">
        <v>50000</v>
      </c>
      <c r="D176" t="s">
        <v>36</v>
      </c>
      <c r="E176" t="s">
        <v>30</v>
      </c>
      <c r="F176" t="s">
        <v>44</v>
      </c>
      <c r="G176" s="7">
        <v>43845</v>
      </c>
      <c r="H176" t="s">
        <v>41</v>
      </c>
      <c r="I176" t="s">
        <v>32</v>
      </c>
      <c r="J176" t="s">
        <v>69</v>
      </c>
    </row>
    <row r="177" spans="1:10" x14ac:dyDescent="0.3">
      <c r="A177" t="s">
        <v>59</v>
      </c>
      <c r="B177">
        <v>30</v>
      </c>
      <c r="C177" s="6">
        <v>55000</v>
      </c>
      <c r="D177" t="s">
        <v>18</v>
      </c>
      <c r="E177" t="s">
        <v>26</v>
      </c>
      <c r="F177" t="s">
        <v>44</v>
      </c>
      <c r="G177" s="7">
        <v>43549</v>
      </c>
      <c r="H177" t="s">
        <v>41</v>
      </c>
      <c r="I177" t="s">
        <v>32</v>
      </c>
      <c r="J177" t="s">
        <v>69</v>
      </c>
    </row>
    <row r="178" spans="1:10" x14ac:dyDescent="0.3">
      <c r="A178" t="s">
        <v>59</v>
      </c>
      <c r="B178">
        <v>40</v>
      </c>
      <c r="C178" s="6">
        <v>60000</v>
      </c>
      <c r="D178" t="s">
        <v>11</v>
      </c>
      <c r="E178" t="s">
        <v>26</v>
      </c>
      <c r="F178" t="s">
        <v>13</v>
      </c>
      <c r="G178" s="7">
        <v>43881</v>
      </c>
      <c r="H178" t="s">
        <v>27</v>
      </c>
      <c r="I178" t="s">
        <v>32</v>
      </c>
      <c r="J178" t="s">
        <v>69</v>
      </c>
    </row>
    <row r="179" spans="1:10" x14ac:dyDescent="0.3">
      <c r="A179" t="s">
        <v>58</v>
      </c>
      <c r="B179">
        <v>36</v>
      </c>
      <c r="C179" s="6">
        <v>65000</v>
      </c>
      <c r="D179" t="s">
        <v>11</v>
      </c>
      <c r="E179" t="s">
        <v>37</v>
      </c>
      <c r="F179" t="s">
        <v>44</v>
      </c>
      <c r="G179" s="7">
        <v>43881</v>
      </c>
      <c r="H179" t="s">
        <v>14</v>
      </c>
      <c r="I179" t="s">
        <v>15</v>
      </c>
      <c r="J179" t="s">
        <v>45</v>
      </c>
    </row>
    <row r="180" spans="1:10" x14ac:dyDescent="0.3">
      <c r="A180" t="s">
        <v>58</v>
      </c>
      <c r="B180">
        <v>35</v>
      </c>
      <c r="C180" s="6">
        <v>55000</v>
      </c>
      <c r="D180" t="s">
        <v>18</v>
      </c>
      <c r="E180" t="s">
        <v>19</v>
      </c>
      <c r="F180" t="s">
        <v>43</v>
      </c>
      <c r="G180" s="7">
        <v>43845</v>
      </c>
      <c r="H180" t="s">
        <v>31</v>
      </c>
      <c r="I180" t="s">
        <v>69</v>
      </c>
      <c r="J180" t="s">
        <v>69</v>
      </c>
    </row>
    <row r="181" spans="1:10" x14ac:dyDescent="0.3">
      <c r="A181" t="s">
        <v>57</v>
      </c>
      <c r="B181">
        <v>36</v>
      </c>
      <c r="C181" s="6">
        <v>50000</v>
      </c>
      <c r="D181" t="s">
        <v>18</v>
      </c>
      <c r="E181" t="s">
        <v>19</v>
      </c>
      <c r="F181" t="s">
        <v>44</v>
      </c>
      <c r="G181" s="7">
        <v>43195</v>
      </c>
      <c r="H181" t="s">
        <v>31</v>
      </c>
      <c r="I181" t="s">
        <v>32</v>
      </c>
      <c r="J181" t="s">
        <v>69</v>
      </c>
    </row>
    <row r="182" spans="1:10" x14ac:dyDescent="0.3">
      <c r="A182" t="s">
        <v>51</v>
      </c>
      <c r="B182">
        <v>30</v>
      </c>
      <c r="C182" s="6">
        <v>55000</v>
      </c>
      <c r="D182" t="s">
        <v>11</v>
      </c>
      <c r="E182" t="s">
        <v>37</v>
      </c>
      <c r="F182" t="s">
        <v>39</v>
      </c>
      <c r="G182" s="7">
        <v>43881</v>
      </c>
      <c r="H182" t="s">
        <v>27</v>
      </c>
      <c r="I182" t="s">
        <v>69</v>
      </c>
      <c r="J182" t="s">
        <v>23</v>
      </c>
    </row>
    <row r="183" spans="1:10" x14ac:dyDescent="0.3">
      <c r="A183" t="s">
        <v>54</v>
      </c>
      <c r="B183">
        <v>50</v>
      </c>
      <c r="C183" s="6">
        <v>70000</v>
      </c>
      <c r="D183" t="s">
        <v>36</v>
      </c>
      <c r="E183" t="s">
        <v>37</v>
      </c>
      <c r="F183" t="s">
        <v>39</v>
      </c>
      <c r="G183" s="7">
        <v>43195</v>
      </c>
      <c r="H183" t="s">
        <v>41</v>
      </c>
      <c r="I183" t="s">
        <v>32</v>
      </c>
      <c r="J183" t="s">
        <v>69</v>
      </c>
    </row>
    <row r="184" spans="1:10" x14ac:dyDescent="0.3">
      <c r="A184" t="s">
        <v>59</v>
      </c>
      <c r="B184">
        <v>36</v>
      </c>
      <c r="C184" s="6">
        <v>50000</v>
      </c>
      <c r="D184" t="s">
        <v>36</v>
      </c>
      <c r="E184" t="s">
        <v>37</v>
      </c>
      <c r="F184" t="s">
        <v>20</v>
      </c>
      <c r="G184" s="7">
        <v>43195</v>
      </c>
      <c r="H184" t="s">
        <v>14</v>
      </c>
      <c r="I184" t="s">
        <v>69</v>
      </c>
      <c r="J184" t="s">
        <v>69</v>
      </c>
    </row>
    <row r="185" spans="1:10" x14ac:dyDescent="0.3">
      <c r="A185" t="s">
        <v>59</v>
      </c>
      <c r="B185">
        <v>25</v>
      </c>
      <c r="C185" s="6">
        <v>60000</v>
      </c>
      <c r="D185" t="s">
        <v>36</v>
      </c>
      <c r="E185" t="s">
        <v>19</v>
      </c>
      <c r="F185" t="s">
        <v>39</v>
      </c>
      <c r="G185" s="7">
        <v>43800</v>
      </c>
      <c r="H185" t="s">
        <v>27</v>
      </c>
      <c r="I185" t="s">
        <v>69</v>
      </c>
      <c r="J185" t="s">
        <v>23</v>
      </c>
    </row>
    <row r="186" spans="1:10" x14ac:dyDescent="0.3">
      <c r="A186" t="s">
        <v>56</v>
      </c>
      <c r="B186">
        <v>30</v>
      </c>
      <c r="C186" s="6">
        <v>65000</v>
      </c>
      <c r="D186" t="s">
        <v>11</v>
      </c>
      <c r="E186" t="s">
        <v>37</v>
      </c>
      <c r="F186" t="s">
        <v>44</v>
      </c>
      <c r="G186" s="7">
        <v>43845</v>
      </c>
      <c r="H186" t="s">
        <v>31</v>
      </c>
      <c r="I186" t="s">
        <v>69</v>
      </c>
      <c r="J186" t="s">
        <v>69</v>
      </c>
    </row>
    <row r="187" spans="1:10" x14ac:dyDescent="0.3">
      <c r="A187" t="s">
        <v>58</v>
      </c>
      <c r="B187">
        <v>50</v>
      </c>
      <c r="C187" s="6">
        <v>55000</v>
      </c>
      <c r="D187" t="s">
        <v>18</v>
      </c>
      <c r="E187" t="s">
        <v>12</v>
      </c>
      <c r="F187" t="s">
        <v>39</v>
      </c>
      <c r="G187" s="7">
        <v>43195</v>
      </c>
      <c r="H187" t="s">
        <v>21</v>
      </c>
      <c r="I187" t="s">
        <v>22</v>
      </c>
      <c r="J187" t="s">
        <v>28</v>
      </c>
    </row>
    <row r="188" spans="1:10" x14ac:dyDescent="0.3">
      <c r="A188" t="s">
        <v>54</v>
      </c>
      <c r="B188">
        <v>35</v>
      </c>
      <c r="C188" s="6">
        <v>50000</v>
      </c>
      <c r="D188" t="s">
        <v>11</v>
      </c>
      <c r="E188" t="s">
        <v>26</v>
      </c>
      <c r="F188" t="s">
        <v>13</v>
      </c>
      <c r="G188" s="7">
        <v>43845</v>
      </c>
      <c r="H188" t="s">
        <v>41</v>
      </c>
      <c r="I188" t="s">
        <v>32</v>
      </c>
      <c r="J188" t="s">
        <v>28</v>
      </c>
    </row>
    <row r="189" spans="1:10" x14ac:dyDescent="0.3">
      <c r="A189" t="s">
        <v>55</v>
      </c>
      <c r="B189">
        <v>50</v>
      </c>
      <c r="C189" s="6">
        <v>70000</v>
      </c>
      <c r="D189" t="s">
        <v>18</v>
      </c>
      <c r="E189" t="s">
        <v>26</v>
      </c>
      <c r="F189" t="s">
        <v>39</v>
      </c>
      <c r="G189" s="7">
        <v>43800</v>
      </c>
      <c r="H189" t="s">
        <v>21</v>
      </c>
      <c r="I189" t="s">
        <v>22</v>
      </c>
      <c r="J189" t="s">
        <v>69</v>
      </c>
    </row>
    <row r="190" spans="1:10" x14ac:dyDescent="0.3">
      <c r="A190" t="s">
        <v>57</v>
      </c>
      <c r="B190">
        <v>25</v>
      </c>
      <c r="C190" s="6">
        <v>50000</v>
      </c>
      <c r="D190" t="s">
        <v>36</v>
      </c>
      <c r="E190" t="s">
        <v>30</v>
      </c>
      <c r="F190" t="s">
        <v>43</v>
      </c>
      <c r="G190" s="7">
        <v>43845</v>
      </c>
      <c r="H190" t="s">
        <v>27</v>
      </c>
      <c r="I190" t="s">
        <v>69</v>
      </c>
      <c r="J190" t="s">
        <v>69</v>
      </c>
    </row>
    <row r="191" spans="1:10" x14ac:dyDescent="0.3">
      <c r="A191" t="s">
        <v>51</v>
      </c>
      <c r="B191">
        <v>30</v>
      </c>
      <c r="C191" s="6" t="s">
        <v>68</v>
      </c>
      <c r="D191" t="s">
        <v>36</v>
      </c>
      <c r="E191" t="s">
        <v>30</v>
      </c>
      <c r="F191" t="s">
        <v>13</v>
      </c>
      <c r="G191" s="7">
        <v>43881</v>
      </c>
      <c r="H191" t="s">
        <v>31</v>
      </c>
      <c r="I191" t="s">
        <v>22</v>
      </c>
      <c r="J191" t="s">
        <v>28</v>
      </c>
    </row>
    <row r="192" spans="1:10" x14ac:dyDescent="0.3">
      <c r="A192" t="s">
        <v>52</v>
      </c>
      <c r="B192">
        <v>35</v>
      </c>
      <c r="C192" s="6">
        <v>70000</v>
      </c>
      <c r="D192" t="s">
        <v>18</v>
      </c>
      <c r="E192" t="s">
        <v>26</v>
      </c>
      <c r="F192" t="s">
        <v>20</v>
      </c>
      <c r="G192" s="7">
        <v>43195</v>
      </c>
      <c r="H192" t="s">
        <v>14</v>
      </c>
      <c r="I192" t="s">
        <v>69</v>
      </c>
      <c r="J192" t="s">
        <v>45</v>
      </c>
    </row>
    <row r="193" spans="1:10" x14ac:dyDescent="0.3">
      <c r="A193" t="s">
        <v>51</v>
      </c>
      <c r="B193">
        <v>25</v>
      </c>
      <c r="C193" s="6">
        <v>60000</v>
      </c>
      <c r="D193" t="s">
        <v>18</v>
      </c>
      <c r="E193" t="s">
        <v>12</v>
      </c>
      <c r="F193" t="s">
        <v>43</v>
      </c>
      <c r="G193" s="7">
        <v>43845</v>
      </c>
      <c r="H193" t="s">
        <v>21</v>
      </c>
      <c r="I193" t="s">
        <v>69</v>
      </c>
      <c r="J193" t="s">
        <v>45</v>
      </c>
    </row>
    <row r="194" spans="1:10" x14ac:dyDescent="0.3">
      <c r="A194" t="s">
        <v>53</v>
      </c>
      <c r="B194">
        <v>50</v>
      </c>
      <c r="C194" s="6">
        <v>65000</v>
      </c>
      <c r="D194" t="s">
        <v>11</v>
      </c>
      <c r="E194" t="s">
        <v>19</v>
      </c>
      <c r="F194" t="s">
        <v>44</v>
      </c>
      <c r="G194" s="7">
        <v>43549</v>
      </c>
      <c r="H194" t="s">
        <v>14</v>
      </c>
      <c r="I194" t="s">
        <v>69</v>
      </c>
      <c r="J194" t="s">
        <v>23</v>
      </c>
    </row>
    <row r="195" spans="1:10" x14ac:dyDescent="0.3">
      <c r="A195" t="s">
        <v>59</v>
      </c>
      <c r="B195">
        <v>25</v>
      </c>
      <c r="C195" s="6">
        <v>60000</v>
      </c>
      <c r="D195" t="s">
        <v>36</v>
      </c>
      <c r="E195" t="s">
        <v>19</v>
      </c>
      <c r="F195" t="s">
        <v>44</v>
      </c>
      <c r="G195" s="7">
        <v>43845</v>
      </c>
      <c r="H195" t="s">
        <v>31</v>
      </c>
      <c r="I195" t="s">
        <v>22</v>
      </c>
      <c r="J195" t="s">
        <v>69</v>
      </c>
    </row>
    <row r="196" spans="1:10" x14ac:dyDescent="0.3">
      <c r="A196" t="s">
        <v>57</v>
      </c>
      <c r="B196">
        <v>30</v>
      </c>
      <c r="C196" s="6">
        <v>55000</v>
      </c>
      <c r="D196" t="s">
        <v>11</v>
      </c>
      <c r="E196" t="s">
        <v>12</v>
      </c>
      <c r="F196" t="s">
        <v>44</v>
      </c>
      <c r="G196" s="7">
        <v>43195</v>
      </c>
      <c r="H196" t="s">
        <v>21</v>
      </c>
      <c r="I196" t="s">
        <v>32</v>
      </c>
      <c r="J196" t="s">
        <v>69</v>
      </c>
    </row>
    <row r="197" spans="1:10" x14ac:dyDescent="0.3">
      <c r="A197" t="s">
        <v>53</v>
      </c>
      <c r="B197">
        <v>40</v>
      </c>
      <c r="C197" s="6">
        <v>50000</v>
      </c>
      <c r="D197" t="s">
        <v>11</v>
      </c>
      <c r="E197" t="s">
        <v>19</v>
      </c>
      <c r="F197" t="s">
        <v>43</v>
      </c>
      <c r="G197" s="7">
        <v>43800</v>
      </c>
      <c r="H197" t="s">
        <v>14</v>
      </c>
      <c r="I197" t="s">
        <v>22</v>
      </c>
      <c r="J197" t="s">
        <v>28</v>
      </c>
    </row>
    <row r="198" spans="1:10" x14ac:dyDescent="0.3">
      <c r="A198" t="s">
        <v>54</v>
      </c>
      <c r="B198">
        <v>25</v>
      </c>
      <c r="C198" s="6" t="s">
        <v>68</v>
      </c>
      <c r="D198" t="s">
        <v>11</v>
      </c>
      <c r="E198" t="s">
        <v>37</v>
      </c>
      <c r="F198" t="s">
        <v>43</v>
      </c>
      <c r="G198" s="7">
        <v>43800</v>
      </c>
      <c r="H198" t="s">
        <v>14</v>
      </c>
      <c r="I198" t="s">
        <v>32</v>
      </c>
      <c r="J198" t="s">
        <v>69</v>
      </c>
    </row>
    <row r="199" spans="1:10" x14ac:dyDescent="0.3">
      <c r="A199" t="s">
        <v>52</v>
      </c>
      <c r="B199">
        <v>25</v>
      </c>
      <c r="C199" s="6">
        <v>70000</v>
      </c>
      <c r="D199" t="s">
        <v>36</v>
      </c>
      <c r="E199" t="s">
        <v>26</v>
      </c>
      <c r="F199" t="s">
        <v>43</v>
      </c>
      <c r="G199" s="7">
        <v>43195</v>
      </c>
      <c r="H199" t="s">
        <v>21</v>
      </c>
      <c r="I199" t="s">
        <v>32</v>
      </c>
      <c r="J199" t="s">
        <v>69</v>
      </c>
    </row>
    <row r="200" spans="1:10" x14ac:dyDescent="0.3">
      <c r="A200" t="s">
        <v>58</v>
      </c>
      <c r="B200">
        <v>50</v>
      </c>
      <c r="C200" s="6">
        <v>70000</v>
      </c>
      <c r="D200" t="s">
        <v>11</v>
      </c>
      <c r="E200" t="s">
        <v>26</v>
      </c>
      <c r="F200" t="s">
        <v>13</v>
      </c>
      <c r="G200" s="7">
        <v>43881</v>
      </c>
      <c r="H200" t="s">
        <v>31</v>
      </c>
      <c r="I200" t="s">
        <v>69</v>
      </c>
      <c r="J200" t="s">
        <v>28</v>
      </c>
    </row>
    <row r="201" spans="1:10" x14ac:dyDescent="0.3">
      <c r="A201" t="s">
        <v>57</v>
      </c>
      <c r="B201">
        <v>50</v>
      </c>
      <c r="C201" s="6">
        <v>50000</v>
      </c>
      <c r="D201" t="s">
        <v>11</v>
      </c>
      <c r="E201" t="s">
        <v>12</v>
      </c>
      <c r="F201" t="s">
        <v>13</v>
      </c>
      <c r="G201" s="7">
        <v>43881</v>
      </c>
      <c r="H201" t="s">
        <v>14</v>
      </c>
      <c r="I201" t="s">
        <v>22</v>
      </c>
      <c r="J201" t="s">
        <v>28</v>
      </c>
    </row>
    <row r="202" spans="1:10" x14ac:dyDescent="0.3">
      <c r="A202" t="s">
        <v>57</v>
      </c>
      <c r="B202">
        <v>35</v>
      </c>
      <c r="C202" s="6" t="s">
        <v>68</v>
      </c>
      <c r="D202" t="s">
        <v>11</v>
      </c>
      <c r="E202" t="s">
        <v>19</v>
      </c>
      <c r="F202" t="s">
        <v>44</v>
      </c>
      <c r="G202" s="7">
        <v>43800</v>
      </c>
      <c r="H202" t="s">
        <v>27</v>
      </c>
      <c r="I202" t="s">
        <v>32</v>
      </c>
      <c r="J202" t="s">
        <v>69</v>
      </c>
    </row>
    <row r="203" spans="1:10" x14ac:dyDescent="0.3">
      <c r="A203" t="s">
        <v>59</v>
      </c>
      <c r="B203">
        <v>50</v>
      </c>
      <c r="C203" s="6">
        <v>50000</v>
      </c>
      <c r="D203" t="s">
        <v>11</v>
      </c>
      <c r="E203" t="s">
        <v>30</v>
      </c>
      <c r="F203" t="s">
        <v>39</v>
      </c>
      <c r="G203" s="7">
        <v>43800</v>
      </c>
      <c r="H203" t="s">
        <v>21</v>
      </c>
      <c r="I203" t="s">
        <v>69</v>
      </c>
      <c r="J203" t="s">
        <v>28</v>
      </c>
    </row>
    <row r="204" spans="1:10" x14ac:dyDescent="0.3">
      <c r="A204" t="s">
        <v>60</v>
      </c>
      <c r="B204">
        <v>36</v>
      </c>
      <c r="C204" s="6">
        <v>55000</v>
      </c>
      <c r="D204" t="s">
        <v>11</v>
      </c>
      <c r="E204" t="s">
        <v>30</v>
      </c>
      <c r="F204" t="s">
        <v>44</v>
      </c>
      <c r="G204" s="7">
        <v>43195</v>
      </c>
      <c r="H204" t="s">
        <v>41</v>
      </c>
      <c r="I204" t="s">
        <v>32</v>
      </c>
      <c r="J204" t="s">
        <v>23</v>
      </c>
    </row>
    <row r="205" spans="1:10" x14ac:dyDescent="0.3">
      <c r="A205" t="s">
        <v>57</v>
      </c>
      <c r="B205">
        <v>30</v>
      </c>
      <c r="C205" s="6">
        <v>60000</v>
      </c>
      <c r="D205" t="s">
        <v>11</v>
      </c>
      <c r="E205" t="s">
        <v>19</v>
      </c>
      <c r="F205" t="s">
        <v>20</v>
      </c>
      <c r="G205" s="7">
        <v>43881</v>
      </c>
      <c r="H205" t="s">
        <v>41</v>
      </c>
      <c r="I205" t="s">
        <v>69</v>
      </c>
      <c r="J205" t="s">
        <v>23</v>
      </c>
    </row>
    <row r="206" spans="1:10" x14ac:dyDescent="0.3">
      <c r="A206" t="s">
        <v>56</v>
      </c>
      <c r="B206">
        <v>30</v>
      </c>
      <c r="C206" s="6">
        <v>70000</v>
      </c>
      <c r="D206" t="s">
        <v>36</v>
      </c>
      <c r="E206" t="s">
        <v>30</v>
      </c>
      <c r="F206" t="s">
        <v>13</v>
      </c>
      <c r="G206" s="7">
        <v>43800</v>
      </c>
      <c r="H206" t="s">
        <v>31</v>
      </c>
      <c r="I206" t="s">
        <v>22</v>
      </c>
      <c r="J206" t="s">
        <v>69</v>
      </c>
    </row>
    <row r="207" spans="1:10" x14ac:dyDescent="0.3">
      <c r="A207" t="s">
        <v>52</v>
      </c>
      <c r="B207">
        <v>40</v>
      </c>
      <c r="C207" s="6">
        <v>55000</v>
      </c>
      <c r="D207" t="s">
        <v>11</v>
      </c>
      <c r="E207" t="s">
        <v>12</v>
      </c>
      <c r="F207" t="s">
        <v>43</v>
      </c>
      <c r="G207" s="7">
        <v>43881</v>
      </c>
      <c r="H207" t="s">
        <v>27</v>
      </c>
      <c r="I207" t="s">
        <v>22</v>
      </c>
      <c r="J207" t="s">
        <v>69</v>
      </c>
    </row>
    <row r="208" spans="1:10" x14ac:dyDescent="0.3">
      <c r="A208" t="s">
        <v>52</v>
      </c>
      <c r="B208">
        <v>40</v>
      </c>
      <c r="C208" s="6">
        <v>60000</v>
      </c>
      <c r="D208" t="s">
        <v>18</v>
      </c>
      <c r="E208" t="s">
        <v>12</v>
      </c>
      <c r="F208" t="s">
        <v>13</v>
      </c>
      <c r="G208" s="7">
        <v>43800</v>
      </c>
      <c r="H208" t="s">
        <v>14</v>
      </c>
      <c r="I208" t="s">
        <v>22</v>
      </c>
      <c r="J208" t="s">
        <v>23</v>
      </c>
    </row>
    <row r="209" spans="1:10" x14ac:dyDescent="0.3">
      <c r="A209" t="s">
        <v>56</v>
      </c>
      <c r="B209">
        <v>30</v>
      </c>
      <c r="C209" s="6">
        <v>55000</v>
      </c>
      <c r="D209" t="s">
        <v>11</v>
      </c>
      <c r="E209" t="s">
        <v>19</v>
      </c>
      <c r="F209" t="s">
        <v>43</v>
      </c>
      <c r="G209" s="7">
        <v>43845</v>
      </c>
      <c r="H209" t="s">
        <v>41</v>
      </c>
      <c r="I209" t="s">
        <v>32</v>
      </c>
      <c r="J209" t="s">
        <v>23</v>
      </c>
    </row>
    <row r="210" spans="1:10" x14ac:dyDescent="0.3">
      <c r="A210" t="s">
        <v>55</v>
      </c>
      <c r="B210">
        <v>40</v>
      </c>
      <c r="C210" s="6" t="s">
        <v>68</v>
      </c>
      <c r="D210" t="s">
        <v>11</v>
      </c>
      <c r="E210" t="s">
        <v>30</v>
      </c>
      <c r="F210" t="s">
        <v>20</v>
      </c>
      <c r="G210" s="7">
        <v>43549</v>
      </c>
      <c r="H210" t="s">
        <v>31</v>
      </c>
      <c r="I210" t="s">
        <v>15</v>
      </c>
      <c r="J210" t="s">
        <v>69</v>
      </c>
    </row>
    <row r="211" spans="1:10" x14ac:dyDescent="0.3">
      <c r="A211" t="s">
        <v>56</v>
      </c>
      <c r="B211">
        <v>35</v>
      </c>
      <c r="C211" s="6">
        <v>70000</v>
      </c>
      <c r="D211" t="s">
        <v>36</v>
      </c>
      <c r="E211" t="s">
        <v>12</v>
      </c>
      <c r="F211" t="s">
        <v>20</v>
      </c>
      <c r="G211" s="7">
        <v>43845</v>
      </c>
      <c r="H211" t="s">
        <v>27</v>
      </c>
      <c r="I211" t="s">
        <v>32</v>
      </c>
      <c r="J211" t="s">
        <v>45</v>
      </c>
    </row>
    <row r="212" spans="1:10" x14ac:dyDescent="0.3">
      <c r="A212" t="s">
        <v>56</v>
      </c>
      <c r="B212">
        <v>50</v>
      </c>
      <c r="C212" s="6">
        <v>50000</v>
      </c>
      <c r="D212" t="s">
        <v>36</v>
      </c>
      <c r="E212" t="s">
        <v>12</v>
      </c>
      <c r="F212" t="s">
        <v>13</v>
      </c>
      <c r="G212" s="7">
        <v>43800</v>
      </c>
      <c r="H212" t="s">
        <v>27</v>
      </c>
      <c r="I212" t="s">
        <v>32</v>
      </c>
      <c r="J212" t="s">
        <v>28</v>
      </c>
    </row>
    <row r="213" spans="1:10" x14ac:dyDescent="0.3">
      <c r="A213" t="s">
        <v>52</v>
      </c>
      <c r="B213">
        <v>30</v>
      </c>
      <c r="C213" s="6">
        <v>50000</v>
      </c>
      <c r="D213" t="s">
        <v>18</v>
      </c>
      <c r="E213" t="s">
        <v>37</v>
      </c>
      <c r="F213" t="s">
        <v>43</v>
      </c>
      <c r="G213" s="7">
        <v>43549</v>
      </c>
      <c r="H213" t="s">
        <v>31</v>
      </c>
      <c r="I213" t="s">
        <v>69</v>
      </c>
      <c r="J213" t="s">
        <v>23</v>
      </c>
    </row>
    <row r="214" spans="1:10" x14ac:dyDescent="0.3">
      <c r="A214" t="s">
        <v>51</v>
      </c>
      <c r="B214">
        <v>40</v>
      </c>
      <c r="C214" s="6">
        <v>60000</v>
      </c>
      <c r="D214" t="s">
        <v>18</v>
      </c>
      <c r="E214" t="s">
        <v>37</v>
      </c>
      <c r="F214" t="s">
        <v>20</v>
      </c>
      <c r="G214" s="7">
        <v>43549</v>
      </c>
      <c r="H214" t="s">
        <v>31</v>
      </c>
      <c r="I214" t="s">
        <v>69</v>
      </c>
      <c r="J214" t="s">
        <v>45</v>
      </c>
    </row>
    <row r="215" spans="1:10" x14ac:dyDescent="0.3">
      <c r="A215" t="s">
        <v>52</v>
      </c>
      <c r="B215">
        <v>30</v>
      </c>
      <c r="C215" s="6">
        <v>65000</v>
      </c>
      <c r="D215" t="s">
        <v>36</v>
      </c>
      <c r="E215" t="s">
        <v>12</v>
      </c>
      <c r="F215" t="s">
        <v>44</v>
      </c>
      <c r="G215" s="7">
        <v>43800</v>
      </c>
      <c r="H215" t="s">
        <v>14</v>
      </c>
      <c r="I215" t="s">
        <v>32</v>
      </c>
      <c r="J215" t="s">
        <v>69</v>
      </c>
    </row>
    <row r="216" spans="1:10" x14ac:dyDescent="0.3">
      <c r="A216" t="s">
        <v>60</v>
      </c>
      <c r="B216">
        <v>36</v>
      </c>
      <c r="C216" s="6" t="s">
        <v>68</v>
      </c>
      <c r="D216" t="s">
        <v>36</v>
      </c>
      <c r="E216" t="s">
        <v>19</v>
      </c>
      <c r="F216" t="s">
        <v>44</v>
      </c>
      <c r="G216" s="7">
        <v>43800</v>
      </c>
      <c r="H216" t="s">
        <v>31</v>
      </c>
      <c r="I216" t="s">
        <v>69</v>
      </c>
      <c r="J216" t="s">
        <v>45</v>
      </c>
    </row>
    <row r="217" spans="1:10" x14ac:dyDescent="0.3">
      <c r="A217" t="s">
        <v>59</v>
      </c>
      <c r="B217">
        <v>25</v>
      </c>
      <c r="C217" s="6">
        <v>60000</v>
      </c>
      <c r="D217" t="s">
        <v>11</v>
      </c>
      <c r="E217" t="s">
        <v>26</v>
      </c>
      <c r="F217" t="s">
        <v>43</v>
      </c>
      <c r="G217" s="7">
        <v>43881</v>
      </c>
      <c r="H217" t="s">
        <v>14</v>
      </c>
      <c r="I217" t="s">
        <v>69</v>
      </c>
      <c r="J217" t="s">
        <v>69</v>
      </c>
    </row>
    <row r="218" spans="1:10" x14ac:dyDescent="0.3">
      <c r="A218" t="s">
        <v>53</v>
      </c>
      <c r="B218">
        <v>50</v>
      </c>
      <c r="C218" s="6">
        <v>65000</v>
      </c>
      <c r="D218" t="s">
        <v>36</v>
      </c>
      <c r="E218" t="s">
        <v>26</v>
      </c>
      <c r="F218" t="s">
        <v>13</v>
      </c>
      <c r="G218" s="7">
        <v>43800</v>
      </c>
      <c r="H218" t="s">
        <v>14</v>
      </c>
      <c r="I218" t="s">
        <v>32</v>
      </c>
      <c r="J218" t="s">
        <v>69</v>
      </c>
    </row>
    <row r="219" spans="1:10" x14ac:dyDescent="0.3">
      <c r="A219" t="s">
        <v>51</v>
      </c>
      <c r="B219">
        <v>30</v>
      </c>
      <c r="C219" s="6">
        <v>55000</v>
      </c>
      <c r="D219" t="s">
        <v>18</v>
      </c>
      <c r="E219" t="s">
        <v>12</v>
      </c>
      <c r="F219" t="s">
        <v>20</v>
      </c>
      <c r="G219" s="7">
        <v>43195</v>
      </c>
      <c r="H219" t="s">
        <v>21</v>
      </c>
      <c r="I219" t="s">
        <v>15</v>
      </c>
      <c r="J219" t="s">
        <v>69</v>
      </c>
    </row>
    <row r="220" spans="1:10" x14ac:dyDescent="0.3">
      <c r="A220" t="s">
        <v>58</v>
      </c>
      <c r="B220">
        <v>25</v>
      </c>
      <c r="C220" s="6" t="s">
        <v>68</v>
      </c>
      <c r="D220" t="s">
        <v>11</v>
      </c>
      <c r="E220" t="s">
        <v>12</v>
      </c>
      <c r="F220" t="s">
        <v>13</v>
      </c>
      <c r="G220" s="7">
        <v>43800</v>
      </c>
      <c r="H220" t="s">
        <v>27</v>
      </c>
      <c r="I220" t="s">
        <v>69</v>
      </c>
      <c r="J220" t="s">
        <v>45</v>
      </c>
    </row>
    <row r="221" spans="1:10" x14ac:dyDescent="0.3">
      <c r="A221" t="s">
        <v>53</v>
      </c>
      <c r="B221">
        <v>40</v>
      </c>
      <c r="C221" s="6">
        <v>55000</v>
      </c>
      <c r="D221" t="s">
        <v>18</v>
      </c>
      <c r="E221" t="s">
        <v>12</v>
      </c>
      <c r="F221" t="s">
        <v>44</v>
      </c>
      <c r="G221" s="7">
        <v>43195</v>
      </c>
      <c r="H221" t="s">
        <v>27</v>
      </c>
      <c r="I221" t="s">
        <v>22</v>
      </c>
      <c r="J221" t="s">
        <v>69</v>
      </c>
    </row>
    <row r="222" spans="1:10" x14ac:dyDescent="0.3">
      <c r="A222" t="s">
        <v>59</v>
      </c>
      <c r="B222">
        <v>25</v>
      </c>
      <c r="C222" s="6">
        <v>70000</v>
      </c>
      <c r="D222" t="s">
        <v>11</v>
      </c>
      <c r="E222" t="s">
        <v>19</v>
      </c>
      <c r="F222" t="s">
        <v>20</v>
      </c>
      <c r="G222" s="7">
        <v>43800</v>
      </c>
      <c r="H222" t="s">
        <v>27</v>
      </c>
      <c r="I222" t="s">
        <v>32</v>
      </c>
      <c r="J222" t="s">
        <v>23</v>
      </c>
    </row>
    <row r="223" spans="1:10" x14ac:dyDescent="0.3">
      <c r="A223" t="s">
        <v>60</v>
      </c>
      <c r="B223">
        <v>50</v>
      </c>
      <c r="C223" s="6" t="s">
        <v>68</v>
      </c>
      <c r="D223" t="s">
        <v>36</v>
      </c>
      <c r="E223" t="s">
        <v>37</v>
      </c>
      <c r="F223" t="s">
        <v>13</v>
      </c>
      <c r="G223" s="7">
        <v>43881</v>
      </c>
      <c r="H223" t="s">
        <v>21</v>
      </c>
      <c r="I223" t="s">
        <v>32</v>
      </c>
      <c r="J223" t="s">
        <v>45</v>
      </c>
    </row>
    <row r="224" spans="1:10" x14ac:dyDescent="0.3">
      <c r="A224" t="s">
        <v>60</v>
      </c>
      <c r="B224">
        <v>30</v>
      </c>
      <c r="C224" s="6">
        <v>65000</v>
      </c>
      <c r="D224" t="s">
        <v>18</v>
      </c>
      <c r="E224" t="s">
        <v>12</v>
      </c>
      <c r="F224" t="s">
        <v>39</v>
      </c>
      <c r="G224" s="7">
        <v>43195</v>
      </c>
      <c r="H224" t="s">
        <v>14</v>
      </c>
      <c r="I224" t="s">
        <v>69</v>
      </c>
      <c r="J224" t="s">
        <v>23</v>
      </c>
    </row>
    <row r="225" spans="1:10" x14ac:dyDescent="0.3">
      <c r="A225" t="s">
        <v>58</v>
      </c>
      <c r="B225">
        <v>36</v>
      </c>
      <c r="C225" s="6">
        <v>70000</v>
      </c>
      <c r="D225" t="s">
        <v>11</v>
      </c>
      <c r="E225" t="s">
        <v>12</v>
      </c>
      <c r="F225" t="s">
        <v>43</v>
      </c>
      <c r="G225" s="7">
        <v>43845</v>
      </c>
      <c r="H225" t="s">
        <v>14</v>
      </c>
      <c r="I225" t="s">
        <v>69</v>
      </c>
      <c r="J225" t="s">
        <v>45</v>
      </c>
    </row>
    <row r="226" spans="1:10" x14ac:dyDescent="0.3">
      <c r="A226" t="s">
        <v>51</v>
      </c>
      <c r="B226">
        <v>40</v>
      </c>
      <c r="C226" s="6">
        <v>50000</v>
      </c>
      <c r="D226" t="s">
        <v>11</v>
      </c>
      <c r="E226" t="s">
        <v>30</v>
      </c>
      <c r="F226" t="s">
        <v>43</v>
      </c>
      <c r="G226" s="7">
        <v>43195</v>
      </c>
      <c r="H226" t="s">
        <v>31</v>
      </c>
      <c r="I226" t="s">
        <v>69</v>
      </c>
      <c r="J226" t="s">
        <v>23</v>
      </c>
    </row>
    <row r="227" spans="1:10" x14ac:dyDescent="0.3">
      <c r="A227" t="s">
        <v>55</v>
      </c>
      <c r="B227">
        <v>30</v>
      </c>
      <c r="C227" s="6">
        <v>65000</v>
      </c>
      <c r="D227" t="s">
        <v>36</v>
      </c>
      <c r="E227" t="s">
        <v>19</v>
      </c>
      <c r="F227" t="s">
        <v>39</v>
      </c>
      <c r="G227" s="7">
        <v>43881</v>
      </c>
      <c r="H227" t="s">
        <v>21</v>
      </c>
      <c r="I227" t="s">
        <v>69</v>
      </c>
      <c r="J227" t="s">
        <v>45</v>
      </c>
    </row>
    <row r="228" spans="1:10" x14ac:dyDescent="0.3">
      <c r="A228" t="s">
        <v>56</v>
      </c>
      <c r="B228">
        <v>50</v>
      </c>
      <c r="C228" s="6">
        <v>60000</v>
      </c>
      <c r="D228" t="s">
        <v>36</v>
      </c>
      <c r="E228" t="s">
        <v>12</v>
      </c>
      <c r="F228" t="s">
        <v>44</v>
      </c>
      <c r="G228" s="7">
        <v>43195</v>
      </c>
      <c r="H228" t="s">
        <v>31</v>
      </c>
      <c r="I228" t="s">
        <v>22</v>
      </c>
      <c r="J228" t="s">
        <v>69</v>
      </c>
    </row>
    <row r="229" spans="1:10" x14ac:dyDescent="0.3">
      <c r="A229" t="s">
        <v>51</v>
      </c>
      <c r="B229">
        <v>40</v>
      </c>
      <c r="C229" s="6">
        <v>50000</v>
      </c>
      <c r="D229" t="s">
        <v>36</v>
      </c>
      <c r="E229" t="s">
        <v>30</v>
      </c>
      <c r="F229" t="s">
        <v>20</v>
      </c>
      <c r="G229" s="7">
        <v>43800</v>
      </c>
      <c r="H229" t="s">
        <v>21</v>
      </c>
      <c r="I229" t="s">
        <v>69</v>
      </c>
      <c r="J229" t="s">
        <v>28</v>
      </c>
    </row>
    <row r="230" spans="1:10" x14ac:dyDescent="0.3">
      <c r="A230" t="s">
        <v>55</v>
      </c>
      <c r="B230">
        <v>35</v>
      </c>
      <c r="C230" s="6">
        <v>50000</v>
      </c>
      <c r="D230" t="s">
        <v>18</v>
      </c>
      <c r="E230" t="s">
        <v>26</v>
      </c>
      <c r="F230" t="s">
        <v>43</v>
      </c>
      <c r="G230" s="7">
        <v>43800</v>
      </c>
      <c r="H230" t="s">
        <v>31</v>
      </c>
      <c r="I230" t="s">
        <v>69</v>
      </c>
      <c r="J230" t="s">
        <v>69</v>
      </c>
    </row>
    <row r="231" spans="1:10" x14ac:dyDescent="0.3">
      <c r="A231" t="s">
        <v>60</v>
      </c>
      <c r="B231">
        <v>25</v>
      </c>
      <c r="C231" s="6">
        <v>60000</v>
      </c>
      <c r="D231" t="s">
        <v>11</v>
      </c>
      <c r="E231" t="s">
        <v>12</v>
      </c>
      <c r="F231" t="s">
        <v>39</v>
      </c>
      <c r="G231" s="7">
        <v>43881</v>
      </c>
      <c r="H231" t="s">
        <v>41</v>
      </c>
      <c r="I231" t="s">
        <v>69</v>
      </c>
      <c r="J231" t="s">
        <v>23</v>
      </c>
    </row>
    <row r="232" spans="1:10" x14ac:dyDescent="0.3">
      <c r="A232" t="s">
        <v>52</v>
      </c>
      <c r="B232">
        <v>50</v>
      </c>
      <c r="C232" s="6" t="s">
        <v>68</v>
      </c>
      <c r="D232" t="s">
        <v>36</v>
      </c>
      <c r="E232" t="s">
        <v>12</v>
      </c>
      <c r="F232" t="s">
        <v>39</v>
      </c>
      <c r="G232" s="7">
        <v>43549</v>
      </c>
      <c r="H232" t="s">
        <v>27</v>
      </c>
      <c r="I232" t="s">
        <v>69</v>
      </c>
      <c r="J232" t="s">
        <v>69</v>
      </c>
    </row>
    <row r="233" spans="1:10" x14ac:dyDescent="0.3">
      <c r="A233" t="s">
        <v>59</v>
      </c>
      <c r="B233">
        <v>35</v>
      </c>
      <c r="C233" s="6">
        <v>50000</v>
      </c>
      <c r="D233" t="s">
        <v>18</v>
      </c>
      <c r="E233" t="s">
        <v>30</v>
      </c>
      <c r="F233" t="s">
        <v>44</v>
      </c>
      <c r="G233" s="7">
        <v>43800</v>
      </c>
      <c r="H233" t="s">
        <v>27</v>
      </c>
      <c r="I233" t="s">
        <v>15</v>
      </c>
      <c r="J233" t="s">
        <v>69</v>
      </c>
    </row>
    <row r="234" spans="1:10" x14ac:dyDescent="0.3">
      <c r="A234" t="s">
        <v>58</v>
      </c>
      <c r="B234">
        <v>30</v>
      </c>
      <c r="C234" s="6">
        <v>65000</v>
      </c>
      <c r="D234" t="s">
        <v>18</v>
      </c>
      <c r="E234" t="s">
        <v>19</v>
      </c>
      <c r="F234" t="s">
        <v>44</v>
      </c>
      <c r="G234" s="7">
        <v>43845</v>
      </c>
      <c r="H234" t="s">
        <v>14</v>
      </c>
      <c r="I234" t="s">
        <v>15</v>
      </c>
      <c r="J234" t="s">
        <v>28</v>
      </c>
    </row>
    <row r="235" spans="1:10" x14ac:dyDescent="0.3">
      <c r="A235" t="s">
        <v>59</v>
      </c>
      <c r="B235">
        <v>36</v>
      </c>
      <c r="C235" s="6">
        <v>70000</v>
      </c>
      <c r="D235" t="s">
        <v>18</v>
      </c>
      <c r="E235" t="s">
        <v>12</v>
      </c>
      <c r="F235" t="s">
        <v>13</v>
      </c>
      <c r="G235" s="7">
        <v>43881</v>
      </c>
      <c r="H235" t="s">
        <v>41</v>
      </c>
      <c r="I235" t="s">
        <v>32</v>
      </c>
      <c r="J235" t="s">
        <v>23</v>
      </c>
    </row>
    <row r="236" spans="1:10" x14ac:dyDescent="0.3">
      <c r="A236" t="s">
        <v>54</v>
      </c>
      <c r="B236">
        <v>40</v>
      </c>
      <c r="C236" s="6">
        <v>50000</v>
      </c>
      <c r="D236" t="s">
        <v>36</v>
      </c>
      <c r="E236" t="s">
        <v>26</v>
      </c>
      <c r="F236" t="s">
        <v>43</v>
      </c>
      <c r="G236" s="7">
        <v>43195</v>
      </c>
      <c r="H236" t="s">
        <v>27</v>
      </c>
      <c r="I236" t="s">
        <v>32</v>
      </c>
      <c r="J236" t="s">
        <v>69</v>
      </c>
    </row>
    <row r="237" spans="1:10" x14ac:dyDescent="0.3">
      <c r="A237" t="s">
        <v>54</v>
      </c>
      <c r="B237">
        <v>25</v>
      </c>
      <c r="C237" s="6">
        <v>65000</v>
      </c>
      <c r="D237" t="s">
        <v>36</v>
      </c>
      <c r="E237" t="s">
        <v>12</v>
      </c>
      <c r="F237" t="s">
        <v>13</v>
      </c>
      <c r="G237" s="7">
        <v>43195</v>
      </c>
      <c r="H237" t="s">
        <v>14</v>
      </c>
      <c r="I237" t="s">
        <v>69</v>
      </c>
      <c r="J237" t="s">
        <v>45</v>
      </c>
    </row>
    <row r="238" spans="1:10" x14ac:dyDescent="0.3">
      <c r="A238" t="s">
        <v>51</v>
      </c>
      <c r="B238">
        <v>40</v>
      </c>
      <c r="C238" s="6">
        <v>55000</v>
      </c>
      <c r="D238" t="s">
        <v>11</v>
      </c>
      <c r="E238" t="s">
        <v>26</v>
      </c>
      <c r="F238" t="s">
        <v>39</v>
      </c>
      <c r="G238" s="7">
        <v>43845</v>
      </c>
      <c r="H238" t="s">
        <v>41</v>
      </c>
      <c r="I238" t="s">
        <v>69</v>
      </c>
      <c r="J238" t="s">
        <v>69</v>
      </c>
    </row>
    <row r="239" spans="1:10" x14ac:dyDescent="0.3">
      <c r="A239" t="s">
        <v>60</v>
      </c>
      <c r="B239">
        <v>30</v>
      </c>
      <c r="C239" s="6">
        <v>65000</v>
      </c>
      <c r="D239" t="s">
        <v>11</v>
      </c>
      <c r="E239" t="s">
        <v>37</v>
      </c>
      <c r="F239" t="s">
        <v>20</v>
      </c>
      <c r="G239" s="7">
        <v>43800</v>
      </c>
      <c r="H239" t="s">
        <v>27</v>
      </c>
      <c r="I239" t="s">
        <v>22</v>
      </c>
      <c r="J239" t="s">
        <v>23</v>
      </c>
    </row>
    <row r="240" spans="1:10" x14ac:dyDescent="0.3">
      <c r="A240" t="s">
        <v>60</v>
      </c>
      <c r="B240">
        <v>40</v>
      </c>
      <c r="C240" s="6">
        <v>70000</v>
      </c>
      <c r="D240" t="s">
        <v>36</v>
      </c>
      <c r="E240" t="s">
        <v>37</v>
      </c>
      <c r="F240" t="s">
        <v>20</v>
      </c>
      <c r="G240" s="7">
        <v>43881</v>
      </c>
      <c r="H240" t="s">
        <v>31</v>
      </c>
      <c r="I240" t="s">
        <v>22</v>
      </c>
      <c r="J240" t="s">
        <v>69</v>
      </c>
    </row>
    <row r="241" spans="1:10" x14ac:dyDescent="0.3">
      <c r="A241" t="s">
        <v>56</v>
      </c>
      <c r="B241">
        <v>25</v>
      </c>
      <c r="C241" s="6">
        <v>65000</v>
      </c>
      <c r="D241" t="s">
        <v>18</v>
      </c>
      <c r="E241" t="s">
        <v>26</v>
      </c>
      <c r="F241" t="s">
        <v>44</v>
      </c>
      <c r="G241" s="7">
        <v>43845</v>
      </c>
      <c r="H241" t="s">
        <v>21</v>
      </c>
      <c r="I241" t="s">
        <v>15</v>
      </c>
      <c r="J241" t="s">
        <v>23</v>
      </c>
    </row>
    <row r="242" spans="1:10" x14ac:dyDescent="0.3">
      <c r="A242" t="s">
        <v>56</v>
      </c>
      <c r="B242">
        <v>30</v>
      </c>
      <c r="C242" s="6">
        <v>60000</v>
      </c>
      <c r="D242" t="s">
        <v>18</v>
      </c>
      <c r="E242" t="s">
        <v>19</v>
      </c>
      <c r="F242" t="s">
        <v>20</v>
      </c>
      <c r="G242" s="7">
        <v>43800</v>
      </c>
      <c r="H242" t="s">
        <v>41</v>
      </c>
      <c r="I242" t="s">
        <v>32</v>
      </c>
      <c r="J242" t="s">
        <v>45</v>
      </c>
    </row>
    <row r="243" spans="1:10" x14ac:dyDescent="0.3">
      <c r="A243" t="s">
        <v>56</v>
      </c>
      <c r="B243">
        <v>40</v>
      </c>
      <c r="C243" s="6">
        <v>70000</v>
      </c>
      <c r="D243" t="s">
        <v>18</v>
      </c>
      <c r="E243" t="s">
        <v>12</v>
      </c>
      <c r="F243" t="s">
        <v>20</v>
      </c>
      <c r="G243" s="7">
        <v>43881</v>
      </c>
      <c r="H243" t="s">
        <v>14</v>
      </c>
      <c r="I243" t="s">
        <v>15</v>
      </c>
      <c r="J243" t="s">
        <v>28</v>
      </c>
    </row>
    <row r="244" spans="1:10" x14ac:dyDescent="0.3">
      <c r="A244" t="s">
        <v>52</v>
      </c>
      <c r="B244">
        <v>36</v>
      </c>
      <c r="C244" s="6" t="s">
        <v>68</v>
      </c>
      <c r="D244" t="s">
        <v>11</v>
      </c>
      <c r="E244" t="s">
        <v>12</v>
      </c>
      <c r="F244" t="s">
        <v>20</v>
      </c>
      <c r="G244" s="7">
        <v>43195</v>
      </c>
      <c r="H244" t="s">
        <v>41</v>
      </c>
      <c r="I244" t="s">
        <v>15</v>
      </c>
      <c r="J244" t="s">
        <v>69</v>
      </c>
    </row>
    <row r="245" spans="1:10" x14ac:dyDescent="0.3">
      <c r="A245" t="s">
        <v>53</v>
      </c>
      <c r="B245">
        <v>50</v>
      </c>
      <c r="C245" s="6">
        <v>55000</v>
      </c>
      <c r="D245" t="s">
        <v>18</v>
      </c>
      <c r="E245" t="s">
        <v>37</v>
      </c>
      <c r="F245" t="s">
        <v>39</v>
      </c>
      <c r="G245" s="7">
        <v>43881</v>
      </c>
      <c r="H245" t="s">
        <v>14</v>
      </c>
      <c r="I245" t="s">
        <v>32</v>
      </c>
      <c r="J245" t="s">
        <v>23</v>
      </c>
    </row>
    <row r="246" spans="1:10" x14ac:dyDescent="0.3">
      <c r="A246" t="s">
        <v>57</v>
      </c>
      <c r="B246">
        <v>30</v>
      </c>
      <c r="C246" s="6">
        <v>60000</v>
      </c>
      <c r="D246" t="s">
        <v>11</v>
      </c>
      <c r="E246" t="s">
        <v>26</v>
      </c>
      <c r="F246" t="s">
        <v>20</v>
      </c>
      <c r="G246" s="7">
        <v>43549</v>
      </c>
      <c r="H246" t="s">
        <v>41</v>
      </c>
      <c r="I246" t="s">
        <v>22</v>
      </c>
      <c r="J246" t="s">
        <v>23</v>
      </c>
    </row>
    <row r="247" spans="1:10" x14ac:dyDescent="0.3">
      <c r="A247" t="s">
        <v>53</v>
      </c>
      <c r="B247">
        <v>50</v>
      </c>
      <c r="C247" s="6" t="s">
        <v>68</v>
      </c>
      <c r="D247" t="s">
        <v>11</v>
      </c>
      <c r="E247" t="s">
        <v>12</v>
      </c>
      <c r="F247" t="s">
        <v>20</v>
      </c>
      <c r="G247" s="7">
        <v>43881</v>
      </c>
      <c r="H247" t="s">
        <v>14</v>
      </c>
      <c r="I247" t="s">
        <v>32</v>
      </c>
      <c r="J247" t="s">
        <v>23</v>
      </c>
    </row>
    <row r="248" spans="1:10" x14ac:dyDescent="0.3">
      <c r="A248" t="s">
        <v>59</v>
      </c>
      <c r="B248">
        <v>30</v>
      </c>
      <c r="C248" s="6">
        <v>65000</v>
      </c>
      <c r="D248" t="s">
        <v>18</v>
      </c>
      <c r="E248" t="s">
        <v>12</v>
      </c>
      <c r="F248" t="s">
        <v>20</v>
      </c>
      <c r="G248" s="7">
        <v>43549</v>
      </c>
      <c r="H248" t="s">
        <v>27</v>
      </c>
      <c r="I248" t="s">
        <v>69</v>
      </c>
      <c r="J248" t="s">
        <v>28</v>
      </c>
    </row>
    <row r="249" spans="1:10" x14ac:dyDescent="0.3">
      <c r="A249" t="s">
        <v>53</v>
      </c>
      <c r="B249">
        <v>36</v>
      </c>
      <c r="C249" s="6">
        <v>70000</v>
      </c>
      <c r="D249" t="s">
        <v>18</v>
      </c>
      <c r="E249" t="s">
        <v>19</v>
      </c>
      <c r="F249" t="s">
        <v>13</v>
      </c>
      <c r="G249" s="7">
        <v>43881</v>
      </c>
      <c r="H249" t="s">
        <v>31</v>
      </c>
      <c r="I249" t="s">
        <v>69</v>
      </c>
      <c r="J249" t="s">
        <v>23</v>
      </c>
    </row>
    <row r="250" spans="1:10" x14ac:dyDescent="0.3">
      <c r="A250" t="s">
        <v>52</v>
      </c>
      <c r="B250">
        <v>50</v>
      </c>
      <c r="C250" s="6">
        <v>55000</v>
      </c>
      <c r="D250" t="s">
        <v>36</v>
      </c>
      <c r="E250" t="s">
        <v>30</v>
      </c>
      <c r="F250" t="s">
        <v>39</v>
      </c>
      <c r="G250" s="7">
        <v>43549</v>
      </c>
      <c r="H250" t="s">
        <v>27</v>
      </c>
      <c r="I250" t="s">
        <v>69</v>
      </c>
      <c r="J250" t="s">
        <v>69</v>
      </c>
    </row>
    <row r="251" spans="1:10" x14ac:dyDescent="0.3">
      <c r="A251" t="s">
        <v>59</v>
      </c>
      <c r="B251">
        <v>35</v>
      </c>
      <c r="C251" s="6">
        <v>60000</v>
      </c>
      <c r="D251" t="s">
        <v>36</v>
      </c>
      <c r="E251" t="s">
        <v>37</v>
      </c>
      <c r="F251" t="s">
        <v>44</v>
      </c>
      <c r="G251" s="7">
        <v>43195</v>
      </c>
      <c r="H251" t="s">
        <v>31</v>
      </c>
      <c r="I251" t="s">
        <v>69</v>
      </c>
      <c r="J251" t="s">
        <v>69</v>
      </c>
    </row>
    <row r="252" spans="1:10" x14ac:dyDescent="0.3">
      <c r="A252" t="s">
        <v>53</v>
      </c>
      <c r="B252">
        <v>25</v>
      </c>
      <c r="C252" s="6" t="s">
        <v>68</v>
      </c>
      <c r="D252" t="s">
        <v>18</v>
      </c>
      <c r="E252" t="s">
        <v>37</v>
      </c>
      <c r="F252" t="s">
        <v>13</v>
      </c>
      <c r="G252" s="7">
        <v>43800</v>
      </c>
      <c r="H252" t="s">
        <v>27</v>
      </c>
      <c r="I252" t="s">
        <v>22</v>
      </c>
      <c r="J252" t="s">
        <v>23</v>
      </c>
    </row>
    <row r="253" spans="1:10" x14ac:dyDescent="0.3">
      <c r="A253" t="s">
        <v>52</v>
      </c>
      <c r="B253">
        <v>35</v>
      </c>
      <c r="C253" s="6" t="s">
        <v>68</v>
      </c>
      <c r="D253" t="s">
        <v>11</v>
      </c>
      <c r="E253" t="s">
        <v>30</v>
      </c>
      <c r="F253" t="s">
        <v>43</v>
      </c>
      <c r="G253" s="7">
        <v>43549</v>
      </c>
      <c r="H253" t="s">
        <v>27</v>
      </c>
      <c r="I253" t="s">
        <v>22</v>
      </c>
      <c r="J253" t="s">
        <v>69</v>
      </c>
    </row>
    <row r="254" spans="1:10" x14ac:dyDescent="0.3">
      <c r="A254" t="s">
        <v>57</v>
      </c>
      <c r="B254">
        <v>40</v>
      </c>
      <c r="C254" s="6">
        <v>55000</v>
      </c>
      <c r="D254" t="s">
        <v>11</v>
      </c>
      <c r="E254" t="s">
        <v>12</v>
      </c>
      <c r="F254" t="s">
        <v>39</v>
      </c>
      <c r="G254" s="7">
        <v>43549</v>
      </c>
      <c r="H254" t="s">
        <v>41</v>
      </c>
      <c r="I254" t="s">
        <v>69</v>
      </c>
      <c r="J254" t="s">
        <v>69</v>
      </c>
    </row>
    <row r="255" spans="1:10" x14ac:dyDescent="0.3">
      <c r="A255" t="s">
        <v>53</v>
      </c>
      <c r="B255">
        <v>36</v>
      </c>
      <c r="C255" s="6">
        <v>65000</v>
      </c>
      <c r="D255" t="s">
        <v>11</v>
      </c>
      <c r="E255" t="s">
        <v>19</v>
      </c>
      <c r="F255" t="s">
        <v>39</v>
      </c>
      <c r="G255" s="7">
        <v>43195</v>
      </c>
      <c r="H255" t="s">
        <v>21</v>
      </c>
      <c r="I255" t="s">
        <v>15</v>
      </c>
      <c r="J255" t="s">
        <v>69</v>
      </c>
    </row>
    <row r="256" spans="1:10" x14ac:dyDescent="0.3">
      <c r="A256" t="s">
        <v>52</v>
      </c>
      <c r="B256">
        <v>35</v>
      </c>
      <c r="C256" s="6">
        <v>55000</v>
      </c>
      <c r="D256" t="s">
        <v>11</v>
      </c>
      <c r="E256" t="s">
        <v>19</v>
      </c>
      <c r="F256" t="s">
        <v>43</v>
      </c>
      <c r="G256" s="7">
        <v>43549</v>
      </c>
      <c r="H256" t="s">
        <v>14</v>
      </c>
      <c r="I256" t="s">
        <v>69</v>
      </c>
      <c r="J256" t="s">
        <v>23</v>
      </c>
    </row>
    <row r="257" spans="1:10" x14ac:dyDescent="0.3">
      <c r="A257" t="s">
        <v>56</v>
      </c>
      <c r="B257">
        <v>30</v>
      </c>
      <c r="C257" s="6" t="s">
        <v>68</v>
      </c>
      <c r="D257" t="s">
        <v>11</v>
      </c>
      <c r="E257" t="s">
        <v>37</v>
      </c>
      <c r="F257" t="s">
        <v>43</v>
      </c>
      <c r="G257" s="7">
        <v>43845</v>
      </c>
      <c r="H257" t="s">
        <v>14</v>
      </c>
      <c r="I257" t="s">
        <v>69</v>
      </c>
      <c r="J257" t="s">
        <v>45</v>
      </c>
    </row>
    <row r="258" spans="1:10" x14ac:dyDescent="0.3">
      <c r="A258" t="s">
        <v>60</v>
      </c>
      <c r="B258">
        <v>40</v>
      </c>
      <c r="C258" s="6">
        <v>50000</v>
      </c>
      <c r="D258" t="s">
        <v>36</v>
      </c>
      <c r="E258" t="s">
        <v>19</v>
      </c>
      <c r="F258" t="s">
        <v>43</v>
      </c>
      <c r="G258" s="7">
        <v>43195</v>
      </c>
      <c r="H258" t="s">
        <v>14</v>
      </c>
      <c r="I258" t="s">
        <v>15</v>
      </c>
      <c r="J258" t="s">
        <v>69</v>
      </c>
    </row>
    <row r="259" spans="1:10" x14ac:dyDescent="0.3">
      <c r="A259" t="s">
        <v>56</v>
      </c>
      <c r="B259">
        <v>40</v>
      </c>
      <c r="C259" s="6">
        <v>60000</v>
      </c>
      <c r="D259" t="s">
        <v>18</v>
      </c>
      <c r="E259" t="s">
        <v>30</v>
      </c>
      <c r="F259" t="s">
        <v>44</v>
      </c>
      <c r="G259" s="7">
        <v>43845</v>
      </c>
      <c r="H259" t="s">
        <v>31</v>
      </c>
      <c r="I259" t="s">
        <v>32</v>
      </c>
      <c r="J259" t="s">
        <v>28</v>
      </c>
    </row>
    <row r="260" spans="1:10" x14ac:dyDescent="0.3">
      <c r="A260" t="s">
        <v>60</v>
      </c>
      <c r="B260">
        <v>35</v>
      </c>
      <c r="C260" s="6">
        <v>55000</v>
      </c>
      <c r="D260" t="s">
        <v>36</v>
      </c>
      <c r="E260" t="s">
        <v>12</v>
      </c>
      <c r="F260" t="s">
        <v>20</v>
      </c>
      <c r="G260" s="7">
        <v>43195</v>
      </c>
      <c r="H260" t="s">
        <v>14</v>
      </c>
      <c r="I260" t="s">
        <v>32</v>
      </c>
      <c r="J260" t="s">
        <v>23</v>
      </c>
    </row>
    <row r="261" spans="1:10" x14ac:dyDescent="0.3">
      <c r="A261" t="s">
        <v>58</v>
      </c>
      <c r="B261">
        <v>35</v>
      </c>
      <c r="C261" s="6" t="s">
        <v>68</v>
      </c>
      <c r="D261" t="s">
        <v>11</v>
      </c>
      <c r="E261" t="s">
        <v>30</v>
      </c>
      <c r="F261" t="s">
        <v>39</v>
      </c>
      <c r="G261" s="7">
        <v>43549</v>
      </c>
      <c r="H261" t="s">
        <v>14</v>
      </c>
      <c r="I261" t="s">
        <v>22</v>
      </c>
      <c r="J261" t="s">
        <v>28</v>
      </c>
    </row>
    <row r="262" spans="1:10" x14ac:dyDescent="0.3">
      <c r="A262" t="s">
        <v>58</v>
      </c>
      <c r="B262">
        <v>36</v>
      </c>
      <c r="C262" s="6">
        <v>65000</v>
      </c>
      <c r="D262" t="s">
        <v>11</v>
      </c>
      <c r="E262" t="s">
        <v>26</v>
      </c>
      <c r="F262" t="s">
        <v>20</v>
      </c>
      <c r="G262" s="7">
        <v>43845</v>
      </c>
      <c r="H262" t="s">
        <v>41</v>
      </c>
      <c r="I262" t="s">
        <v>69</v>
      </c>
      <c r="J262" t="s">
        <v>45</v>
      </c>
    </row>
    <row r="263" spans="1:10" x14ac:dyDescent="0.3">
      <c r="A263" t="s">
        <v>58</v>
      </c>
      <c r="B263">
        <v>25</v>
      </c>
      <c r="C263" s="6" t="s">
        <v>68</v>
      </c>
      <c r="D263" t="s">
        <v>11</v>
      </c>
      <c r="E263" t="s">
        <v>37</v>
      </c>
      <c r="F263" t="s">
        <v>20</v>
      </c>
      <c r="G263" s="7">
        <v>43549</v>
      </c>
      <c r="H263" t="s">
        <v>27</v>
      </c>
      <c r="I263" t="s">
        <v>22</v>
      </c>
      <c r="J263" t="s">
        <v>28</v>
      </c>
    </row>
    <row r="264" spans="1:10" x14ac:dyDescent="0.3">
      <c r="A264" t="s">
        <v>57</v>
      </c>
      <c r="B264">
        <v>35</v>
      </c>
      <c r="C264" s="6">
        <v>65000</v>
      </c>
      <c r="D264" t="s">
        <v>11</v>
      </c>
      <c r="E264" t="s">
        <v>19</v>
      </c>
      <c r="F264" t="s">
        <v>43</v>
      </c>
      <c r="G264" s="7">
        <v>43195</v>
      </c>
      <c r="H264" t="s">
        <v>14</v>
      </c>
      <c r="I264" t="s">
        <v>32</v>
      </c>
      <c r="J264" t="s">
        <v>23</v>
      </c>
    </row>
    <row r="265" spans="1:10" x14ac:dyDescent="0.3">
      <c r="A265" t="s">
        <v>56</v>
      </c>
      <c r="B265">
        <v>35</v>
      </c>
      <c r="C265" s="6">
        <v>55000</v>
      </c>
      <c r="D265" t="s">
        <v>18</v>
      </c>
      <c r="E265" t="s">
        <v>26</v>
      </c>
      <c r="F265" t="s">
        <v>44</v>
      </c>
      <c r="G265" s="7">
        <v>43549</v>
      </c>
      <c r="H265" t="s">
        <v>21</v>
      </c>
      <c r="I265" t="s">
        <v>15</v>
      </c>
      <c r="J265" t="s">
        <v>23</v>
      </c>
    </row>
    <row r="266" spans="1:10" x14ac:dyDescent="0.3">
      <c r="A266" t="s">
        <v>60</v>
      </c>
      <c r="B266">
        <v>50</v>
      </c>
      <c r="C266" s="6">
        <v>65000</v>
      </c>
      <c r="D266" t="s">
        <v>11</v>
      </c>
      <c r="E266" t="s">
        <v>19</v>
      </c>
      <c r="F266" t="s">
        <v>13</v>
      </c>
      <c r="G266" s="7">
        <v>43845</v>
      </c>
      <c r="H266" t="s">
        <v>14</v>
      </c>
      <c r="I266" t="s">
        <v>22</v>
      </c>
      <c r="J266" t="s">
        <v>45</v>
      </c>
    </row>
    <row r="267" spans="1:10" x14ac:dyDescent="0.3">
      <c r="A267" t="s">
        <v>52</v>
      </c>
      <c r="B267">
        <v>30</v>
      </c>
      <c r="C267" s="6">
        <v>70000</v>
      </c>
      <c r="D267" t="s">
        <v>18</v>
      </c>
      <c r="E267" t="s">
        <v>12</v>
      </c>
      <c r="F267" t="s">
        <v>44</v>
      </c>
      <c r="G267" s="7">
        <v>43845</v>
      </c>
      <c r="H267" t="s">
        <v>31</v>
      </c>
      <c r="I267" t="s">
        <v>69</v>
      </c>
      <c r="J267" t="s">
        <v>23</v>
      </c>
    </row>
    <row r="268" spans="1:10" x14ac:dyDescent="0.3">
      <c r="A268" t="s">
        <v>59</v>
      </c>
      <c r="B268">
        <v>50</v>
      </c>
      <c r="C268" s="6">
        <v>70000</v>
      </c>
      <c r="D268" t="s">
        <v>11</v>
      </c>
      <c r="E268" t="s">
        <v>12</v>
      </c>
      <c r="F268" t="s">
        <v>20</v>
      </c>
      <c r="G268" s="7">
        <v>43549</v>
      </c>
      <c r="H268" t="s">
        <v>31</v>
      </c>
      <c r="I268" t="s">
        <v>69</v>
      </c>
      <c r="J268" t="s">
        <v>45</v>
      </c>
    </row>
    <row r="269" spans="1:10" x14ac:dyDescent="0.3">
      <c r="A269" t="s">
        <v>52</v>
      </c>
      <c r="B269">
        <v>50</v>
      </c>
      <c r="C269" s="6">
        <v>70000</v>
      </c>
      <c r="D269" t="s">
        <v>18</v>
      </c>
      <c r="E269" t="s">
        <v>12</v>
      </c>
      <c r="F269" t="s">
        <v>44</v>
      </c>
      <c r="G269" s="7">
        <v>43881</v>
      </c>
      <c r="H269" t="s">
        <v>31</v>
      </c>
      <c r="I269" t="s">
        <v>15</v>
      </c>
      <c r="J269" t="s">
        <v>45</v>
      </c>
    </row>
    <row r="270" spans="1:10" x14ac:dyDescent="0.3">
      <c r="A270" t="s">
        <v>59</v>
      </c>
      <c r="B270">
        <v>40</v>
      </c>
      <c r="C270" s="6">
        <v>50000</v>
      </c>
      <c r="D270" t="s">
        <v>36</v>
      </c>
      <c r="E270" t="s">
        <v>19</v>
      </c>
      <c r="F270" t="s">
        <v>43</v>
      </c>
      <c r="G270" s="7">
        <v>43195</v>
      </c>
      <c r="H270" t="s">
        <v>14</v>
      </c>
      <c r="I270" t="s">
        <v>32</v>
      </c>
      <c r="J270" t="s">
        <v>23</v>
      </c>
    </row>
    <row r="271" spans="1:10" x14ac:dyDescent="0.3">
      <c r="A271" t="s">
        <v>54</v>
      </c>
      <c r="B271">
        <v>25</v>
      </c>
      <c r="C271" s="6">
        <v>55000</v>
      </c>
      <c r="D271" t="s">
        <v>11</v>
      </c>
      <c r="E271" t="s">
        <v>26</v>
      </c>
      <c r="F271" t="s">
        <v>13</v>
      </c>
      <c r="G271" s="7">
        <v>43195</v>
      </c>
      <c r="H271" t="s">
        <v>41</v>
      </c>
      <c r="I271" t="s">
        <v>69</v>
      </c>
      <c r="J271" t="s">
        <v>69</v>
      </c>
    </row>
    <row r="272" spans="1:10" x14ac:dyDescent="0.3">
      <c r="A272" t="s">
        <v>52</v>
      </c>
      <c r="B272">
        <v>30</v>
      </c>
      <c r="C272" s="6" t="s">
        <v>68</v>
      </c>
      <c r="D272" t="s">
        <v>18</v>
      </c>
      <c r="E272" t="s">
        <v>12</v>
      </c>
      <c r="F272" t="s">
        <v>43</v>
      </c>
      <c r="G272" s="7">
        <v>43549</v>
      </c>
      <c r="H272" t="s">
        <v>21</v>
      </c>
      <c r="I272" t="s">
        <v>69</v>
      </c>
      <c r="J272" t="s">
        <v>45</v>
      </c>
    </row>
    <row r="273" spans="1:10" x14ac:dyDescent="0.3">
      <c r="A273" t="s">
        <v>53</v>
      </c>
      <c r="B273">
        <v>36</v>
      </c>
      <c r="C273" s="6" t="s">
        <v>68</v>
      </c>
      <c r="D273" t="s">
        <v>36</v>
      </c>
      <c r="E273" t="s">
        <v>26</v>
      </c>
      <c r="F273" t="s">
        <v>13</v>
      </c>
      <c r="G273" s="7">
        <v>43881</v>
      </c>
      <c r="H273" t="s">
        <v>14</v>
      </c>
      <c r="I273" t="s">
        <v>69</v>
      </c>
      <c r="J273" t="s">
        <v>23</v>
      </c>
    </row>
    <row r="274" spans="1:10" x14ac:dyDescent="0.3">
      <c r="A274" t="s">
        <v>53</v>
      </c>
      <c r="B274">
        <v>36</v>
      </c>
      <c r="C274" s="6">
        <v>50000</v>
      </c>
      <c r="D274" t="s">
        <v>11</v>
      </c>
      <c r="E274" t="s">
        <v>19</v>
      </c>
      <c r="F274" t="s">
        <v>20</v>
      </c>
      <c r="G274" s="7">
        <v>43845</v>
      </c>
      <c r="H274" t="s">
        <v>41</v>
      </c>
      <c r="I274" t="s">
        <v>22</v>
      </c>
      <c r="J274" t="s">
        <v>69</v>
      </c>
    </row>
    <row r="275" spans="1:10" x14ac:dyDescent="0.3">
      <c r="A275" t="s">
        <v>51</v>
      </c>
      <c r="B275">
        <v>35</v>
      </c>
      <c r="C275" s="6">
        <v>65000</v>
      </c>
      <c r="D275" t="s">
        <v>11</v>
      </c>
      <c r="E275" t="s">
        <v>26</v>
      </c>
      <c r="F275" t="s">
        <v>13</v>
      </c>
      <c r="G275" s="7">
        <v>43800</v>
      </c>
      <c r="H275" t="s">
        <v>41</v>
      </c>
      <c r="I275" t="s">
        <v>32</v>
      </c>
      <c r="J275" t="s">
        <v>45</v>
      </c>
    </row>
    <row r="276" spans="1:10" x14ac:dyDescent="0.3">
      <c r="A276" t="s">
        <v>56</v>
      </c>
      <c r="B276">
        <v>35</v>
      </c>
      <c r="C276" s="6">
        <v>50000</v>
      </c>
      <c r="D276" t="s">
        <v>11</v>
      </c>
      <c r="E276" t="s">
        <v>19</v>
      </c>
      <c r="F276" t="s">
        <v>13</v>
      </c>
      <c r="G276" s="7">
        <v>43800</v>
      </c>
      <c r="H276" t="s">
        <v>14</v>
      </c>
      <c r="I276" t="s">
        <v>22</v>
      </c>
      <c r="J276" t="s">
        <v>69</v>
      </c>
    </row>
    <row r="277" spans="1:10" x14ac:dyDescent="0.3">
      <c r="A277" t="s">
        <v>59</v>
      </c>
      <c r="B277">
        <v>36</v>
      </c>
      <c r="C277" s="6">
        <v>65000</v>
      </c>
      <c r="D277" t="s">
        <v>18</v>
      </c>
      <c r="E277" t="s">
        <v>19</v>
      </c>
      <c r="F277" t="s">
        <v>13</v>
      </c>
      <c r="G277" s="7">
        <v>43549</v>
      </c>
      <c r="H277" t="s">
        <v>14</v>
      </c>
      <c r="I277" t="s">
        <v>32</v>
      </c>
      <c r="J277" t="s">
        <v>69</v>
      </c>
    </row>
    <row r="278" spans="1:10" x14ac:dyDescent="0.3">
      <c r="A278" t="s">
        <v>59</v>
      </c>
      <c r="B278">
        <v>35</v>
      </c>
      <c r="C278" s="6">
        <v>65000</v>
      </c>
      <c r="D278" t="s">
        <v>18</v>
      </c>
      <c r="E278" t="s">
        <v>37</v>
      </c>
      <c r="F278" t="s">
        <v>44</v>
      </c>
      <c r="G278" s="7">
        <v>43881</v>
      </c>
      <c r="H278" t="s">
        <v>41</v>
      </c>
      <c r="I278" t="s">
        <v>69</v>
      </c>
      <c r="J278" t="s">
        <v>69</v>
      </c>
    </row>
    <row r="279" spans="1:10" x14ac:dyDescent="0.3">
      <c r="A279" t="s">
        <v>56</v>
      </c>
      <c r="B279">
        <v>25</v>
      </c>
      <c r="C279" s="6">
        <v>60000</v>
      </c>
      <c r="D279" t="s">
        <v>36</v>
      </c>
      <c r="E279" t="s">
        <v>19</v>
      </c>
      <c r="F279" t="s">
        <v>44</v>
      </c>
      <c r="G279" s="7">
        <v>43881</v>
      </c>
      <c r="H279" t="s">
        <v>41</v>
      </c>
      <c r="I279" t="s">
        <v>69</v>
      </c>
      <c r="J279" t="s">
        <v>69</v>
      </c>
    </row>
    <row r="280" spans="1:10" x14ac:dyDescent="0.3">
      <c r="A280" t="s">
        <v>57</v>
      </c>
      <c r="B280">
        <v>50</v>
      </c>
      <c r="C280" s="6" t="s">
        <v>68</v>
      </c>
      <c r="D280" t="s">
        <v>18</v>
      </c>
      <c r="E280" t="s">
        <v>19</v>
      </c>
      <c r="F280" t="s">
        <v>20</v>
      </c>
      <c r="G280" s="7">
        <v>43195</v>
      </c>
      <c r="H280" t="s">
        <v>41</v>
      </c>
      <c r="I280" t="s">
        <v>22</v>
      </c>
      <c r="J280" t="s">
        <v>45</v>
      </c>
    </row>
    <row r="281" spans="1:10" x14ac:dyDescent="0.3">
      <c r="A281" t="s">
        <v>51</v>
      </c>
      <c r="B281">
        <v>35</v>
      </c>
      <c r="C281" s="6">
        <v>70000</v>
      </c>
      <c r="D281" t="s">
        <v>18</v>
      </c>
      <c r="E281" t="s">
        <v>30</v>
      </c>
      <c r="F281" t="s">
        <v>13</v>
      </c>
      <c r="G281" s="7">
        <v>43845</v>
      </c>
      <c r="H281" t="s">
        <v>14</v>
      </c>
      <c r="I281" t="s">
        <v>69</v>
      </c>
      <c r="J281" t="s">
        <v>23</v>
      </c>
    </row>
    <row r="282" spans="1:10" x14ac:dyDescent="0.3">
      <c r="A282" t="s">
        <v>57</v>
      </c>
      <c r="B282">
        <v>40</v>
      </c>
      <c r="C282" s="6">
        <v>65000</v>
      </c>
      <c r="D282" t="s">
        <v>11</v>
      </c>
      <c r="E282" t="s">
        <v>12</v>
      </c>
      <c r="F282" t="s">
        <v>39</v>
      </c>
      <c r="G282" s="7">
        <v>43881</v>
      </c>
      <c r="H282" t="s">
        <v>41</v>
      </c>
      <c r="I282" t="s">
        <v>32</v>
      </c>
      <c r="J282" t="s">
        <v>28</v>
      </c>
    </row>
    <row r="283" spans="1:10" x14ac:dyDescent="0.3">
      <c r="A283" t="s">
        <v>57</v>
      </c>
      <c r="B283">
        <v>35</v>
      </c>
      <c r="C283" s="6">
        <v>60000</v>
      </c>
      <c r="D283" t="s">
        <v>11</v>
      </c>
      <c r="E283" t="s">
        <v>37</v>
      </c>
      <c r="F283" t="s">
        <v>20</v>
      </c>
      <c r="G283" s="7">
        <v>43800</v>
      </c>
      <c r="H283" t="s">
        <v>31</v>
      </c>
      <c r="I283" t="s">
        <v>22</v>
      </c>
      <c r="J283" t="s">
        <v>23</v>
      </c>
    </row>
    <row r="284" spans="1:10" x14ac:dyDescent="0.3">
      <c r="A284" t="s">
        <v>57</v>
      </c>
      <c r="B284">
        <v>30</v>
      </c>
      <c r="C284" s="6" t="s">
        <v>68</v>
      </c>
      <c r="D284" t="s">
        <v>11</v>
      </c>
      <c r="E284" t="s">
        <v>37</v>
      </c>
      <c r="F284" t="s">
        <v>13</v>
      </c>
      <c r="G284" s="7">
        <v>43845</v>
      </c>
      <c r="H284" t="s">
        <v>14</v>
      </c>
      <c r="I284" t="s">
        <v>22</v>
      </c>
      <c r="J284" t="s">
        <v>28</v>
      </c>
    </row>
    <row r="285" spans="1:10" x14ac:dyDescent="0.3">
      <c r="A285" t="s">
        <v>56</v>
      </c>
      <c r="B285">
        <v>25</v>
      </c>
      <c r="C285" s="6">
        <v>70000</v>
      </c>
      <c r="D285" t="s">
        <v>11</v>
      </c>
      <c r="E285" t="s">
        <v>37</v>
      </c>
      <c r="F285" t="s">
        <v>13</v>
      </c>
      <c r="G285" s="7">
        <v>43845</v>
      </c>
      <c r="H285" t="s">
        <v>31</v>
      </c>
      <c r="I285" t="s">
        <v>69</v>
      </c>
      <c r="J285" t="s">
        <v>28</v>
      </c>
    </row>
    <row r="286" spans="1:10" x14ac:dyDescent="0.3">
      <c r="A286" t="s">
        <v>57</v>
      </c>
      <c r="B286">
        <v>30</v>
      </c>
      <c r="C286" s="6">
        <v>65000</v>
      </c>
      <c r="D286" t="s">
        <v>11</v>
      </c>
      <c r="E286" t="s">
        <v>30</v>
      </c>
      <c r="F286" t="s">
        <v>44</v>
      </c>
      <c r="G286" s="7">
        <v>43549</v>
      </c>
      <c r="H286" t="s">
        <v>27</v>
      </c>
      <c r="I286" t="s">
        <v>22</v>
      </c>
      <c r="J286" t="s">
        <v>45</v>
      </c>
    </row>
    <row r="287" spans="1:10" x14ac:dyDescent="0.3">
      <c r="A287" t="s">
        <v>53</v>
      </c>
      <c r="B287">
        <v>30</v>
      </c>
      <c r="C287" s="6">
        <v>65000</v>
      </c>
      <c r="D287" t="s">
        <v>11</v>
      </c>
      <c r="E287" t="s">
        <v>19</v>
      </c>
      <c r="F287" t="s">
        <v>20</v>
      </c>
      <c r="G287" s="7">
        <v>43881</v>
      </c>
      <c r="H287" t="s">
        <v>14</v>
      </c>
      <c r="I287" t="s">
        <v>69</v>
      </c>
      <c r="J287" t="s">
        <v>69</v>
      </c>
    </row>
    <row r="288" spans="1:10" x14ac:dyDescent="0.3">
      <c r="A288" t="s">
        <v>58</v>
      </c>
      <c r="B288">
        <v>40</v>
      </c>
      <c r="C288" s="6">
        <v>50000</v>
      </c>
      <c r="D288" t="s">
        <v>11</v>
      </c>
      <c r="E288" t="s">
        <v>12</v>
      </c>
      <c r="F288" t="s">
        <v>13</v>
      </c>
      <c r="G288" s="7">
        <v>43549</v>
      </c>
      <c r="H288" t="s">
        <v>27</v>
      </c>
      <c r="I288" t="s">
        <v>69</v>
      </c>
      <c r="J288" t="s">
        <v>23</v>
      </c>
    </row>
    <row r="289" spans="1:10" x14ac:dyDescent="0.3">
      <c r="A289" t="s">
        <v>54</v>
      </c>
      <c r="B289">
        <v>25</v>
      </c>
      <c r="C289" s="6">
        <v>50000</v>
      </c>
      <c r="D289" t="s">
        <v>36</v>
      </c>
      <c r="E289" t="s">
        <v>26</v>
      </c>
      <c r="F289" t="s">
        <v>13</v>
      </c>
      <c r="G289" s="7">
        <v>43881</v>
      </c>
      <c r="H289" t="s">
        <v>41</v>
      </c>
      <c r="I289" t="s">
        <v>69</v>
      </c>
      <c r="J289" t="s">
        <v>69</v>
      </c>
    </row>
    <row r="290" spans="1:10" x14ac:dyDescent="0.3">
      <c r="A290" t="s">
        <v>59</v>
      </c>
      <c r="B290">
        <v>25</v>
      </c>
      <c r="C290" s="6" t="s">
        <v>68</v>
      </c>
      <c r="D290" t="s">
        <v>36</v>
      </c>
      <c r="E290" t="s">
        <v>19</v>
      </c>
      <c r="F290" t="s">
        <v>20</v>
      </c>
      <c r="G290" s="7">
        <v>43195</v>
      </c>
      <c r="H290" t="s">
        <v>41</v>
      </c>
      <c r="I290" t="s">
        <v>32</v>
      </c>
      <c r="J290" t="s">
        <v>69</v>
      </c>
    </row>
    <row r="291" spans="1:10" x14ac:dyDescent="0.3">
      <c r="A291" t="s">
        <v>59</v>
      </c>
      <c r="B291">
        <v>25</v>
      </c>
      <c r="C291" s="6">
        <v>70000</v>
      </c>
      <c r="D291" t="s">
        <v>36</v>
      </c>
      <c r="E291" t="s">
        <v>30</v>
      </c>
      <c r="F291" t="s">
        <v>39</v>
      </c>
      <c r="G291" s="7">
        <v>43549</v>
      </c>
      <c r="H291" t="s">
        <v>21</v>
      </c>
      <c r="I291" t="s">
        <v>69</v>
      </c>
      <c r="J291" t="s">
        <v>45</v>
      </c>
    </row>
    <row r="292" spans="1:10" x14ac:dyDescent="0.3">
      <c r="A292" t="s">
        <v>54</v>
      </c>
      <c r="B292">
        <v>25</v>
      </c>
      <c r="C292" s="6">
        <v>65000</v>
      </c>
      <c r="D292" t="s">
        <v>36</v>
      </c>
      <c r="E292" t="s">
        <v>19</v>
      </c>
      <c r="F292" t="s">
        <v>20</v>
      </c>
      <c r="G292" s="7">
        <v>43549</v>
      </c>
      <c r="H292" t="s">
        <v>41</v>
      </c>
      <c r="I292" t="s">
        <v>69</v>
      </c>
      <c r="J292" t="s">
        <v>45</v>
      </c>
    </row>
    <row r="293" spans="1:10" x14ac:dyDescent="0.3">
      <c r="A293" t="s">
        <v>56</v>
      </c>
      <c r="B293">
        <v>25</v>
      </c>
      <c r="C293" s="6" t="s">
        <v>68</v>
      </c>
      <c r="D293" t="s">
        <v>11</v>
      </c>
      <c r="E293" t="s">
        <v>19</v>
      </c>
      <c r="F293" t="s">
        <v>20</v>
      </c>
      <c r="G293" s="7">
        <v>43800</v>
      </c>
      <c r="H293" t="s">
        <v>27</v>
      </c>
      <c r="I293" t="s">
        <v>15</v>
      </c>
      <c r="J293" t="s">
        <v>69</v>
      </c>
    </row>
    <row r="294" spans="1:10" x14ac:dyDescent="0.3">
      <c r="A294" t="s">
        <v>52</v>
      </c>
      <c r="B294">
        <v>40</v>
      </c>
      <c r="C294" s="6" t="s">
        <v>68</v>
      </c>
      <c r="D294" t="s">
        <v>36</v>
      </c>
      <c r="E294" t="s">
        <v>30</v>
      </c>
      <c r="F294" t="s">
        <v>39</v>
      </c>
      <c r="G294" s="7">
        <v>43549</v>
      </c>
      <c r="H294" t="s">
        <v>41</v>
      </c>
      <c r="I294" t="s">
        <v>15</v>
      </c>
      <c r="J294" t="s">
        <v>23</v>
      </c>
    </row>
    <row r="295" spans="1:10" x14ac:dyDescent="0.3">
      <c r="A295" t="s">
        <v>56</v>
      </c>
      <c r="B295">
        <v>35</v>
      </c>
      <c r="C295" s="6">
        <v>55000</v>
      </c>
      <c r="D295" t="s">
        <v>11</v>
      </c>
      <c r="E295" t="s">
        <v>37</v>
      </c>
      <c r="F295" t="s">
        <v>20</v>
      </c>
      <c r="G295" s="7">
        <v>43881</v>
      </c>
      <c r="H295" t="s">
        <v>14</v>
      </c>
      <c r="I295" t="s">
        <v>22</v>
      </c>
      <c r="J295" t="s">
        <v>69</v>
      </c>
    </row>
    <row r="296" spans="1:10" x14ac:dyDescent="0.3">
      <c r="A296" t="s">
        <v>59</v>
      </c>
      <c r="B296">
        <v>30</v>
      </c>
      <c r="C296" s="6">
        <v>50000</v>
      </c>
      <c r="D296" t="s">
        <v>36</v>
      </c>
      <c r="E296" t="s">
        <v>37</v>
      </c>
      <c r="F296" t="s">
        <v>13</v>
      </c>
      <c r="G296" s="7">
        <v>43800</v>
      </c>
      <c r="H296" t="s">
        <v>41</v>
      </c>
      <c r="I296" t="s">
        <v>22</v>
      </c>
      <c r="J296" t="s">
        <v>23</v>
      </c>
    </row>
    <row r="297" spans="1:10" x14ac:dyDescent="0.3">
      <c r="A297" t="s">
        <v>59</v>
      </c>
      <c r="B297">
        <v>25</v>
      </c>
      <c r="C297" s="6">
        <v>70000</v>
      </c>
      <c r="D297" t="s">
        <v>18</v>
      </c>
      <c r="E297" t="s">
        <v>12</v>
      </c>
      <c r="F297" t="s">
        <v>20</v>
      </c>
      <c r="G297" s="7">
        <v>43549</v>
      </c>
      <c r="H297" t="s">
        <v>21</v>
      </c>
      <c r="I297" t="s">
        <v>15</v>
      </c>
      <c r="J297" t="s">
        <v>28</v>
      </c>
    </row>
    <row r="298" spans="1:10" x14ac:dyDescent="0.3">
      <c r="A298" t="s">
        <v>54</v>
      </c>
      <c r="B298">
        <v>35</v>
      </c>
      <c r="C298" s="6">
        <v>65000</v>
      </c>
      <c r="D298" t="s">
        <v>36</v>
      </c>
      <c r="E298" t="s">
        <v>12</v>
      </c>
      <c r="F298" t="s">
        <v>39</v>
      </c>
      <c r="G298" s="7">
        <v>43549</v>
      </c>
      <c r="H298" t="s">
        <v>41</v>
      </c>
      <c r="I298" t="s">
        <v>69</v>
      </c>
      <c r="J298" t="s">
        <v>45</v>
      </c>
    </row>
    <row r="299" spans="1:10" x14ac:dyDescent="0.3">
      <c r="A299" t="s">
        <v>57</v>
      </c>
      <c r="B299">
        <v>35</v>
      </c>
      <c r="C299" s="6" t="s">
        <v>68</v>
      </c>
      <c r="D299" t="s">
        <v>36</v>
      </c>
      <c r="E299" t="s">
        <v>37</v>
      </c>
      <c r="F299" t="s">
        <v>43</v>
      </c>
      <c r="G299" s="7">
        <v>43195</v>
      </c>
      <c r="H299" t="s">
        <v>27</v>
      </c>
      <c r="I299" t="s">
        <v>22</v>
      </c>
      <c r="J299" t="s">
        <v>23</v>
      </c>
    </row>
    <row r="300" spans="1:10" x14ac:dyDescent="0.3">
      <c r="A300" t="s">
        <v>56</v>
      </c>
      <c r="B300">
        <v>30</v>
      </c>
      <c r="C300" s="6">
        <v>65000</v>
      </c>
      <c r="D300" t="s">
        <v>11</v>
      </c>
      <c r="E300" t="s">
        <v>26</v>
      </c>
      <c r="F300" t="s">
        <v>20</v>
      </c>
      <c r="G300" s="7">
        <v>43549</v>
      </c>
      <c r="H300" t="s">
        <v>27</v>
      </c>
      <c r="I300" t="s">
        <v>69</v>
      </c>
      <c r="J300" t="s">
        <v>69</v>
      </c>
    </row>
    <row r="301" spans="1:10" x14ac:dyDescent="0.3">
      <c r="A301" t="s">
        <v>60</v>
      </c>
      <c r="B301">
        <v>40</v>
      </c>
      <c r="C301" s="6">
        <v>55000</v>
      </c>
      <c r="D301" t="s">
        <v>36</v>
      </c>
      <c r="E301" t="s">
        <v>19</v>
      </c>
      <c r="F301" t="s">
        <v>44</v>
      </c>
      <c r="G301" s="7">
        <v>43845</v>
      </c>
      <c r="H301" t="s">
        <v>41</v>
      </c>
      <c r="I301" t="s">
        <v>69</v>
      </c>
      <c r="J301" t="s">
        <v>69</v>
      </c>
    </row>
    <row r="302" spans="1:10" x14ac:dyDescent="0.3">
      <c r="A302" t="s">
        <v>54</v>
      </c>
      <c r="B302">
        <v>36</v>
      </c>
      <c r="C302" s="6">
        <v>70000</v>
      </c>
      <c r="D302" t="s">
        <v>18</v>
      </c>
      <c r="E302" t="s">
        <v>26</v>
      </c>
      <c r="F302" t="s">
        <v>13</v>
      </c>
      <c r="G302" s="7">
        <v>43800</v>
      </c>
      <c r="H302" t="s">
        <v>27</v>
      </c>
      <c r="I302" t="s">
        <v>69</v>
      </c>
      <c r="J302" t="s">
        <v>45</v>
      </c>
    </row>
    <row r="303" spans="1:10" x14ac:dyDescent="0.3">
      <c r="A303" t="s">
        <v>53</v>
      </c>
      <c r="B303">
        <v>36</v>
      </c>
      <c r="C303" s="6" t="s">
        <v>68</v>
      </c>
      <c r="D303" t="s">
        <v>11</v>
      </c>
      <c r="E303" t="s">
        <v>19</v>
      </c>
      <c r="F303" t="s">
        <v>13</v>
      </c>
      <c r="G303" s="7">
        <v>43845</v>
      </c>
      <c r="H303" t="s">
        <v>27</v>
      </c>
      <c r="I303" t="s">
        <v>22</v>
      </c>
      <c r="J303" t="s">
        <v>69</v>
      </c>
    </row>
    <row r="304" spans="1:10" x14ac:dyDescent="0.3">
      <c r="A304" t="s">
        <v>59</v>
      </c>
      <c r="B304">
        <v>35</v>
      </c>
      <c r="C304" s="6">
        <v>65000</v>
      </c>
      <c r="D304" t="s">
        <v>11</v>
      </c>
      <c r="E304" t="s">
        <v>37</v>
      </c>
      <c r="F304" t="s">
        <v>44</v>
      </c>
      <c r="G304" s="7">
        <v>43800</v>
      </c>
      <c r="H304" t="s">
        <v>21</v>
      </c>
      <c r="I304" t="s">
        <v>69</v>
      </c>
      <c r="J304" t="s">
        <v>69</v>
      </c>
    </row>
    <row r="305" spans="1:10" x14ac:dyDescent="0.3">
      <c r="A305" t="s">
        <v>54</v>
      </c>
      <c r="B305">
        <v>50</v>
      </c>
      <c r="C305" s="6">
        <v>50000</v>
      </c>
      <c r="D305" t="s">
        <v>36</v>
      </c>
      <c r="E305" t="s">
        <v>12</v>
      </c>
      <c r="F305" t="s">
        <v>44</v>
      </c>
      <c r="G305" s="7">
        <v>43195</v>
      </c>
      <c r="H305" t="s">
        <v>14</v>
      </c>
      <c r="I305" t="s">
        <v>22</v>
      </c>
      <c r="J305" t="s">
        <v>23</v>
      </c>
    </row>
    <row r="306" spans="1:10" x14ac:dyDescent="0.3">
      <c r="A306" t="s">
        <v>56</v>
      </c>
      <c r="B306">
        <v>50</v>
      </c>
      <c r="C306" s="6">
        <v>55000</v>
      </c>
      <c r="D306" t="s">
        <v>11</v>
      </c>
      <c r="E306" t="s">
        <v>12</v>
      </c>
      <c r="F306" t="s">
        <v>20</v>
      </c>
      <c r="G306" s="7">
        <v>43549</v>
      </c>
      <c r="H306" t="s">
        <v>21</v>
      </c>
      <c r="I306" t="s">
        <v>22</v>
      </c>
      <c r="J306" t="s">
        <v>69</v>
      </c>
    </row>
    <row r="307" spans="1:10" x14ac:dyDescent="0.3">
      <c r="A307" t="s">
        <v>59</v>
      </c>
      <c r="B307">
        <v>30</v>
      </c>
      <c r="C307" s="6">
        <v>70000</v>
      </c>
      <c r="D307" t="s">
        <v>11</v>
      </c>
      <c r="E307" t="s">
        <v>26</v>
      </c>
      <c r="F307" t="s">
        <v>44</v>
      </c>
      <c r="G307" s="7">
        <v>43549</v>
      </c>
      <c r="H307" t="s">
        <v>31</v>
      </c>
      <c r="I307" t="s">
        <v>69</v>
      </c>
      <c r="J307" t="s">
        <v>45</v>
      </c>
    </row>
    <row r="308" spans="1:10" x14ac:dyDescent="0.3">
      <c r="A308" t="s">
        <v>52</v>
      </c>
      <c r="B308">
        <v>36</v>
      </c>
      <c r="C308" s="6">
        <v>55000</v>
      </c>
      <c r="D308" t="s">
        <v>11</v>
      </c>
      <c r="E308" t="s">
        <v>12</v>
      </c>
      <c r="F308" t="s">
        <v>43</v>
      </c>
      <c r="G308" s="7">
        <v>43549</v>
      </c>
      <c r="H308" t="s">
        <v>21</v>
      </c>
      <c r="I308" t="s">
        <v>15</v>
      </c>
      <c r="J308" t="s">
        <v>23</v>
      </c>
    </row>
    <row r="309" spans="1:10" x14ac:dyDescent="0.3">
      <c r="A309" t="s">
        <v>54</v>
      </c>
      <c r="B309">
        <v>35</v>
      </c>
      <c r="C309" s="6">
        <v>50000</v>
      </c>
      <c r="D309" t="s">
        <v>11</v>
      </c>
      <c r="E309" t="s">
        <v>37</v>
      </c>
      <c r="F309" t="s">
        <v>39</v>
      </c>
      <c r="G309" s="7">
        <v>43800</v>
      </c>
      <c r="H309" t="s">
        <v>41</v>
      </c>
      <c r="I309" t="s">
        <v>69</v>
      </c>
      <c r="J309" t="s">
        <v>28</v>
      </c>
    </row>
    <row r="310" spans="1:10" x14ac:dyDescent="0.3">
      <c r="A310" t="s">
        <v>51</v>
      </c>
      <c r="B310">
        <v>40</v>
      </c>
      <c r="C310" s="6">
        <v>70000</v>
      </c>
      <c r="D310" t="s">
        <v>11</v>
      </c>
      <c r="E310" t="s">
        <v>26</v>
      </c>
      <c r="F310" t="s">
        <v>44</v>
      </c>
      <c r="G310" s="7">
        <v>43549</v>
      </c>
      <c r="H310" t="s">
        <v>14</v>
      </c>
      <c r="I310" t="s">
        <v>69</v>
      </c>
      <c r="J310" t="s">
        <v>69</v>
      </c>
    </row>
    <row r="311" spans="1:10" x14ac:dyDescent="0.3">
      <c r="A311" t="s">
        <v>59</v>
      </c>
      <c r="B311">
        <v>36</v>
      </c>
      <c r="C311" s="6">
        <v>55000</v>
      </c>
      <c r="D311" t="s">
        <v>11</v>
      </c>
      <c r="E311" t="s">
        <v>19</v>
      </c>
      <c r="F311" t="s">
        <v>44</v>
      </c>
      <c r="G311" s="7">
        <v>43845</v>
      </c>
      <c r="H311" t="s">
        <v>41</v>
      </c>
      <c r="I311" t="s">
        <v>32</v>
      </c>
      <c r="J311" t="s">
        <v>69</v>
      </c>
    </row>
    <row r="312" spans="1:10" x14ac:dyDescent="0.3">
      <c r="A312" t="s">
        <v>56</v>
      </c>
      <c r="B312">
        <v>35</v>
      </c>
      <c r="C312" s="6">
        <v>60000</v>
      </c>
      <c r="D312" t="s">
        <v>18</v>
      </c>
      <c r="E312" t="s">
        <v>12</v>
      </c>
      <c r="F312" t="s">
        <v>43</v>
      </c>
      <c r="G312" s="7">
        <v>43549</v>
      </c>
      <c r="H312" t="s">
        <v>31</v>
      </c>
      <c r="I312" t="s">
        <v>69</v>
      </c>
      <c r="J312" t="s">
        <v>23</v>
      </c>
    </row>
    <row r="313" spans="1:10" x14ac:dyDescent="0.3">
      <c r="A313" t="s">
        <v>58</v>
      </c>
      <c r="B313">
        <v>35</v>
      </c>
      <c r="C313" s="6">
        <v>50000</v>
      </c>
      <c r="D313" t="s">
        <v>36</v>
      </c>
      <c r="E313" t="s">
        <v>30</v>
      </c>
      <c r="F313" t="s">
        <v>13</v>
      </c>
      <c r="G313" s="7">
        <v>43195</v>
      </c>
      <c r="H313" t="s">
        <v>14</v>
      </c>
      <c r="I313" t="s">
        <v>22</v>
      </c>
      <c r="J313" t="s">
        <v>69</v>
      </c>
    </row>
    <row r="314" spans="1:10" x14ac:dyDescent="0.3">
      <c r="A314" t="s">
        <v>60</v>
      </c>
      <c r="B314">
        <v>25</v>
      </c>
      <c r="C314" s="6">
        <v>50000</v>
      </c>
      <c r="D314" t="s">
        <v>18</v>
      </c>
      <c r="E314" t="s">
        <v>12</v>
      </c>
      <c r="F314" t="s">
        <v>13</v>
      </c>
      <c r="G314" s="7">
        <v>43845</v>
      </c>
      <c r="H314" t="s">
        <v>27</v>
      </c>
      <c r="I314" t="s">
        <v>22</v>
      </c>
      <c r="J314" t="s">
        <v>69</v>
      </c>
    </row>
    <row r="315" spans="1:10" x14ac:dyDescent="0.3">
      <c r="A315" t="s">
        <v>55</v>
      </c>
      <c r="B315">
        <v>40</v>
      </c>
      <c r="C315" s="6">
        <v>50000</v>
      </c>
      <c r="D315" t="s">
        <v>11</v>
      </c>
      <c r="E315" t="s">
        <v>19</v>
      </c>
      <c r="F315" t="s">
        <v>20</v>
      </c>
      <c r="G315" s="7">
        <v>43549</v>
      </c>
      <c r="H315" t="s">
        <v>21</v>
      </c>
      <c r="I315" t="s">
        <v>69</v>
      </c>
      <c r="J315" t="s">
        <v>45</v>
      </c>
    </row>
    <row r="316" spans="1:10" x14ac:dyDescent="0.3">
      <c r="A316" t="s">
        <v>57</v>
      </c>
      <c r="B316">
        <v>25</v>
      </c>
      <c r="C316" s="6">
        <v>60000</v>
      </c>
      <c r="D316" t="s">
        <v>11</v>
      </c>
      <c r="E316" t="s">
        <v>26</v>
      </c>
      <c r="F316" t="s">
        <v>43</v>
      </c>
      <c r="G316" s="7">
        <v>43549</v>
      </c>
      <c r="H316" t="s">
        <v>41</v>
      </c>
      <c r="I316" t="s">
        <v>32</v>
      </c>
      <c r="J316" t="s">
        <v>69</v>
      </c>
    </row>
    <row r="317" spans="1:10" x14ac:dyDescent="0.3">
      <c r="A317" t="s">
        <v>55</v>
      </c>
      <c r="B317">
        <v>30</v>
      </c>
      <c r="C317" s="6">
        <v>60000</v>
      </c>
      <c r="D317" t="s">
        <v>36</v>
      </c>
      <c r="E317" t="s">
        <v>19</v>
      </c>
      <c r="F317" t="s">
        <v>39</v>
      </c>
      <c r="G317" s="7">
        <v>43881</v>
      </c>
      <c r="H317" t="s">
        <v>31</v>
      </c>
      <c r="I317" t="s">
        <v>69</v>
      </c>
      <c r="J317" t="s">
        <v>28</v>
      </c>
    </row>
    <row r="318" spans="1:10" x14ac:dyDescent="0.3">
      <c r="A318" t="s">
        <v>56</v>
      </c>
      <c r="B318">
        <v>25</v>
      </c>
      <c r="C318" s="6">
        <v>65000</v>
      </c>
      <c r="D318" t="s">
        <v>18</v>
      </c>
      <c r="E318" t="s">
        <v>30</v>
      </c>
      <c r="F318" t="s">
        <v>39</v>
      </c>
      <c r="G318" s="7">
        <v>43800</v>
      </c>
      <c r="H318" t="s">
        <v>27</v>
      </c>
      <c r="I318" t="s">
        <v>32</v>
      </c>
      <c r="J318" t="s">
        <v>69</v>
      </c>
    </row>
    <row r="319" spans="1:10" x14ac:dyDescent="0.3">
      <c r="A319" t="s">
        <v>53</v>
      </c>
      <c r="B319">
        <v>25</v>
      </c>
      <c r="C319" s="6" t="s">
        <v>68</v>
      </c>
      <c r="D319" t="s">
        <v>36</v>
      </c>
      <c r="E319" t="s">
        <v>37</v>
      </c>
      <c r="F319" t="s">
        <v>43</v>
      </c>
      <c r="G319" s="7">
        <v>43845</v>
      </c>
      <c r="H319" t="s">
        <v>21</v>
      </c>
      <c r="I319" t="s">
        <v>32</v>
      </c>
      <c r="J319" t="s">
        <v>69</v>
      </c>
    </row>
    <row r="320" spans="1:10" x14ac:dyDescent="0.3">
      <c r="A320" t="s">
        <v>53</v>
      </c>
      <c r="B320">
        <v>36</v>
      </c>
      <c r="C320" s="6">
        <v>55000</v>
      </c>
      <c r="D320" t="s">
        <v>18</v>
      </c>
      <c r="E320" t="s">
        <v>12</v>
      </c>
      <c r="F320" t="s">
        <v>39</v>
      </c>
      <c r="G320" s="7">
        <v>43881</v>
      </c>
      <c r="H320" t="s">
        <v>27</v>
      </c>
      <c r="I320" t="s">
        <v>69</v>
      </c>
      <c r="J320" t="s">
        <v>69</v>
      </c>
    </row>
    <row r="321" spans="1:10" x14ac:dyDescent="0.3">
      <c r="A321" t="s">
        <v>58</v>
      </c>
      <c r="B321">
        <v>50</v>
      </c>
      <c r="C321" s="6">
        <v>65000</v>
      </c>
      <c r="D321" t="s">
        <v>11</v>
      </c>
      <c r="E321" t="s">
        <v>26</v>
      </c>
      <c r="F321" t="s">
        <v>13</v>
      </c>
      <c r="G321" s="7">
        <v>43195</v>
      </c>
      <c r="H321" t="s">
        <v>21</v>
      </c>
      <c r="I321" t="s">
        <v>22</v>
      </c>
      <c r="J321" t="s">
        <v>23</v>
      </c>
    </row>
    <row r="322" spans="1:10" x14ac:dyDescent="0.3">
      <c r="A322" t="s">
        <v>57</v>
      </c>
      <c r="B322">
        <v>35</v>
      </c>
      <c r="C322" s="6">
        <v>55000</v>
      </c>
      <c r="D322" t="s">
        <v>36</v>
      </c>
      <c r="E322" t="s">
        <v>37</v>
      </c>
      <c r="F322" t="s">
        <v>39</v>
      </c>
      <c r="G322" s="7">
        <v>43800</v>
      </c>
      <c r="H322" t="s">
        <v>14</v>
      </c>
      <c r="I322" t="s">
        <v>22</v>
      </c>
      <c r="J322" t="s">
        <v>69</v>
      </c>
    </row>
    <row r="323" spans="1:10" x14ac:dyDescent="0.3">
      <c r="A323" t="s">
        <v>51</v>
      </c>
      <c r="B323">
        <v>40</v>
      </c>
      <c r="C323" s="6" t="s">
        <v>68</v>
      </c>
      <c r="D323" t="s">
        <v>36</v>
      </c>
      <c r="E323" t="s">
        <v>19</v>
      </c>
      <c r="F323" t="s">
        <v>39</v>
      </c>
      <c r="G323" s="7">
        <v>43845</v>
      </c>
      <c r="H323" t="s">
        <v>27</v>
      </c>
      <c r="I323" t="s">
        <v>32</v>
      </c>
      <c r="J323" t="s">
        <v>69</v>
      </c>
    </row>
    <row r="324" spans="1:10" x14ac:dyDescent="0.3">
      <c r="A324" t="s">
        <v>58</v>
      </c>
      <c r="B324">
        <v>25</v>
      </c>
      <c r="C324" s="6">
        <v>60000</v>
      </c>
      <c r="D324" t="s">
        <v>11</v>
      </c>
      <c r="E324" t="s">
        <v>26</v>
      </c>
      <c r="F324" t="s">
        <v>43</v>
      </c>
      <c r="G324" s="7">
        <v>43549</v>
      </c>
      <c r="H324" t="s">
        <v>27</v>
      </c>
      <c r="I324" t="s">
        <v>22</v>
      </c>
      <c r="J324" t="s">
        <v>23</v>
      </c>
    </row>
    <row r="325" spans="1:10" x14ac:dyDescent="0.3">
      <c r="A325" t="s">
        <v>55</v>
      </c>
      <c r="B325">
        <v>40</v>
      </c>
      <c r="C325" s="6" t="s">
        <v>68</v>
      </c>
      <c r="D325" t="s">
        <v>36</v>
      </c>
      <c r="E325" t="s">
        <v>37</v>
      </c>
      <c r="F325" t="s">
        <v>43</v>
      </c>
      <c r="G325" s="7">
        <v>43845</v>
      </c>
      <c r="H325" t="s">
        <v>27</v>
      </c>
      <c r="I325" t="s">
        <v>15</v>
      </c>
      <c r="J325" t="s">
        <v>45</v>
      </c>
    </row>
    <row r="326" spans="1:10" x14ac:dyDescent="0.3">
      <c r="A326" t="s">
        <v>58</v>
      </c>
      <c r="B326">
        <v>50</v>
      </c>
      <c r="C326" s="6">
        <v>60000</v>
      </c>
      <c r="D326" t="s">
        <v>18</v>
      </c>
      <c r="E326" t="s">
        <v>26</v>
      </c>
      <c r="F326" t="s">
        <v>39</v>
      </c>
      <c r="G326" s="7">
        <v>43549</v>
      </c>
      <c r="H326" t="s">
        <v>14</v>
      </c>
      <c r="I326" t="s">
        <v>32</v>
      </c>
      <c r="J326" t="s">
        <v>23</v>
      </c>
    </row>
    <row r="327" spans="1:10" x14ac:dyDescent="0.3">
      <c r="A327" t="s">
        <v>55</v>
      </c>
      <c r="B327">
        <v>50</v>
      </c>
      <c r="C327" s="6" t="s">
        <v>68</v>
      </c>
      <c r="D327" t="s">
        <v>18</v>
      </c>
      <c r="E327" t="s">
        <v>30</v>
      </c>
      <c r="F327" t="s">
        <v>44</v>
      </c>
      <c r="G327" s="7">
        <v>43800</v>
      </c>
      <c r="H327" t="s">
        <v>31</v>
      </c>
      <c r="I327" t="s">
        <v>22</v>
      </c>
      <c r="J327" t="s">
        <v>28</v>
      </c>
    </row>
    <row r="328" spans="1:10" x14ac:dyDescent="0.3">
      <c r="A328" t="s">
        <v>59</v>
      </c>
      <c r="B328">
        <v>25</v>
      </c>
      <c r="C328" s="6">
        <v>65000</v>
      </c>
      <c r="D328" t="s">
        <v>18</v>
      </c>
      <c r="E328" t="s">
        <v>30</v>
      </c>
      <c r="F328" t="s">
        <v>43</v>
      </c>
      <c r="G328" s="7">
        <v>43549</v>
      </c>
      <c r="H328" t="s">
        <v>21</v>
      </c>
      <c r="I328" t="s">
        <v>15</v>
      </c>
      <c r="J328" t="s">
        <v>23</v>
      </c>
    </row>
    <row r="329" spans="1:10" x14ac:dyDescent="0.3">
      <c r="A329" t="s">
        <v>53</v>
      </c>
      <c r="B329">
        <v>30</v>
      </c>
      <c r="C329" s="6">
        <v>70000</v>
      </c>
      <c r="D329" t="s">
        <v>18</v>
      </c>
      <c r="E329" t="s">
        <v>12</v>
      </c>
      <c r="F329" t="s">
        <v>20</v>
      </c>
      <c r="G329" s="7">
        <v>43195</v>
      </c>
      <c r="H329" t="s">
        <v>27</v>
      </c>
      <c r="I329" t="s">
        <v>69</v>
      </c>
      <c r="J329" t="s">
        <v>45</v>
      </c>
    </row>
    <row r="330" spans="1:10" x14ac:dyDescent="0.3">
      <c r="A330" t="s">
        <v>59</v>
      </c>
      <c r="B330">
        <v>25</v>
      </c>
      <c r="C330" s="6">
        <v>65000</v>
      </c>
      <c r="D330" t="s">
        <v>11</v>
      </c>
      <c r="E330" t="s">
        <v>12</v>
      </c>
      <c r="F330" t="s">
        <v>20</v>
      </c>
      <c r="G330" s="7">
        <v>43549</v>
      </c>
      <c r="H330" t="s">
        <v>14</v>
      </c>
      <c r="I330" t="s">
        <v>22</v>
      </c>
      <c r="J330" t="s">
        <v>69</v>
      </c>
    </row>
    <row r="331" spans="1:10" x14ac:dyDescent="0.3">
      <c r="A331" t="s">
        <v>60</v>
      </c>
      <c r="B331">
        <v>36</v>
      </c>
      <c r="C331" s="6">
        <v>55000</v>
      </c>
      <c r="D331" t="s">
        <v>36</v>
      </c>
      <c r="E331" t="s">
        <v>30</v>
      </c>
      <c r="F331" t="s">
        <v>13</v>
      </c>
      <c r="G331" s="7">
        <v>43195</v>
      </c>
      <c r="H331" t="s">
        <v>31</v>
      </c>
      <c r="I331" t="s">
        <v>15</v>
      </c>
      <c r="J331" t="s">
        <v>23</v>
      </c>
    </row>
    <row r="332" spans="1:10" x14ac:dyDescent="0.3">
      <c r="A332" t="s">
        <v>57</v>
      </c>
      <c r="B332">
        <v>35</v>
      </c>
      <c r="C332" s="6">
        <v>65000</v>
      </c>
      <c r="D332" t="s">
        <v>18</v>
      </c>
      <c r="E332" t="s">
        <v>26</v>
      </c>
      <c r="F332" t="s">
        <v>39</v>
      </c>
      <c r="G332" s="7">
        <v>43800</v>
      </c>
      <c r="H332" t="s">
        <v>21</v>
      </c>
      <c r="I332" t="s">
        <v>69</v>
      </c>
      <c r="J332" t="s">
        <v>23</v>
      </c>
    </row>
    <row r="333" spans="1:10" x14ac:dyDescent="0.3">
      <c r="A333" t="s">
        <v>51</v>
      </c>
      <c r="B333">
        <v>30</v>
      </c>
      <c r="C333" s="6">
        <v>50000</v>
      </c>
      <c r="D333" t="s">
        <v>11</v>
      </c>
      <c r="E333" t="s">
        <v>30</v>
      </c>
      <c r="F333" t="s">
        <v>44</v>
      </c>
      <c r="G333" s="7">
        <v>43800</v>
      </c>
      <c r="H333" t="s">
        <v>14</v>
      </c>
      <c r="I333" t="s">
        <v>69</v>
      </c>
      <c r="J333" t="s">
        <v>23</v>
      </c>
    </row>
    <row r="334" spans="1:10" x14ac:dyDescent="0.3">
      <c r="A334" t="s">
        <v>55</v>
      </c>
      <c r="B334">
        <v>25</v>
      </c>
      <c r="C334" s="6">
        <v>55000</v>
      </c>
      <c r="D334" t="s">
        <v>36</v>
      </c>
      <c r="E334" t="s">
        <v>12</v>
      </c>
      <c r="F334" t="s">
        <v>13</v>
      </c>
      <c r="G334" s="7">
        <v>43845</v>
      </c>
      <c r="H334" t="s">
        <v>21</v>
      </c>
      <c r="I334" t="s">
        <v>15</v>
      </c>
      <c r="J334" t="s">
        <v>23</v>
      </c>
    </row>
    <row r="335" spans="1:10" x14ac:dyDescent="0.3">
      <c r="A335" t="s">
        <v>51</v>
      </c>
      <c r="B335">
        <v>40</v>
      </c>
      <c r="C335" s="6" t="s">
        <v>68</v>
      </c>
      <c r="D335" t="s">
        <v>36</v>
      </c>
      <c r="E335" t="s">
        <v>30</v>
      </c>
      <c r="F335" t="s">
        <v>39</v>
      </c>
      <c r="G335" s="7">
        <v>43195</v>
      </c>
      <c r="H335" t="s">
        <v>27</v>
      </c>
      <c r="I335" t="s">
        <v>32</v>
      </c>
      <c r="J335" t="s">
        <v>45</v>
      </c>
    </row>
    <row r="336" spans="1:10" x14ac:dyDescent="0.3">
      <c r="A336" t="s">
        <v>55</v>
      </c>
      <c r="B336">
        <v>30</v>
      </c>
      <c r="C336" s="6">
        <v>55000</v>
      </c>
      <c r="D336" t="s">
        <v>11</v>
      </c>
      <c r="E336" t="s">
        <v>30</v>
      </c>
      <c r="F336" t="s">
        <v>43</v>
      </c>
      <c r="G336" s="7">
        <v>43195</v>
      </c>
      <c r="H336" t="s">
        <v>31</v>
      </c>
      <c r="I336" t="s">
        <v>32</v>
      </c>
      <c r="J336" t="s">
        <v>69</v>
      </c>
    </row>
    <row r="337" spans="1:10" x14ac:dyDescent="0.3">
      <c r="A337" t="s">
        <v>56</v>
      </c>
      <c r="B337">
        <v>30</v>
      </c>
      <c r="C337" s="6">
        <v>70000</v>
      </c>
      <c r="D337" t="s">
        <v>11</v>
      </c>
      <c r="E337" t="s">
        <v>26</v>
      </c>
      <c r="F337" t="s">
        <v>20</v>
      </c>
      <c r="G337" s="7">
        <v>43881</v>
      </c>
      <c r="H337" t="s">
        <v>14</v>
      </c>
      <c r="I337" t="s">
        <v>22</v>
      </c>
      <c r="J337" t="s">
        <v>69</v>
      </c>
    </row>
    <row r="338" spans="1:10" x14ac:dyDescent="0.3">
      <c r="A338" t="s">
        <v>58</v>
      </c>
      <c r="B338">
        <v>25</v>
      </c>
      <c r="C338" s="6">
        <v>60000</v>
      </c>
      <c r="D338" t="s">
        <v>18</v>
      </c>
      <c r="E338" t="s">
        <v>37</v>
      </c>
      <c r="F338" t="s">
        <v>44</v>
      </c>
      <c r="G338" s="7">
        <v>43881</v>
      </c>
      <c r="H338" t="s">
        <v>31</v>
      </c>
      <c r="I338" t="s">
        <v>69</v>
      </c>
      <c r="J338" t="s">
        <v>23</v>
      </c>
    </row>
    <row r="339" spans="1:10" x14ac:dyDescent="0.3">
      <c r="A339" t="s">
        <v>60</v>
      </c>
      <c r="B339">
        <v>30</v>
      </c>
      <c r="C339" s="6" t="s">
        <v>68</v>
      </c>
      <c r="D339" t="s">
        <v>36</v>
      </c>
      <c r="E339" t="s">
        <v>12</v>
      </c>
      <c r="F339" t="s">
        <v>20</v>
      </c>
      <c r="G339" s="7">
        <v>43881</v>
      </c>
      <c r="H339" t="s">
        <v>27</v>
      </c>
      <c r="I339" t="s">
        <v>32</v>
      </c>
      <c r="J339" t="s">
        <v>45</v>
      </c>
    </row>
    <row r="340" spans="1:10" x14ac:dyDescent="0.3">
      <c r="A340" t="s">
        <v>53</v>
      </c>
      <c r="B340">
        <v>40</v>
      </c>
      <c r="C340" s="6">
        <v>55000</v>
      </c>
      <c r="D340" t="s">
        <v>36</v>
      </c>
      <c r="E340" t="s">
        <v>26</v>
      </c>
      <c r="F340" t="s">
        <v>43</v>
      </c>
      <c r="G340" s="7">
        <v>43549</v>
      </c>
      <c r="H340" t="s">
        <v>31</v>
      </c>
      <c r="I340" t="s">
        <v>32</v>
      </c>
      <c r="J340" t="s">
        <v>45</v>
      </c>
    </row>
    <row r="341" spans="1:10" x14ac:dyDescent="0.3">
      <c r="A341" t="s">
        <v>55</v>
      </c>
      <c r="B341">
        <v>50</v>
      </c>
      <c r="C341" s="6" t="s">
        <v>68</v>
      </c>
      <c r="D341" t="s">
        <v>11</v>
      </c>
      <c r="E341" t="s">
        <v>30</v>
      </c>
      <c r="F341" t="s">
        <v>39</v>
      </c>
      <c r="G341" s="7">
        <v>43881</v>
      </c>
      <c r="H341" t="s">
        <v>31</v>
      </c>
      <c r="I341" t="s">
        <v>69</v>
      </c>
      <c r="J341" t="s">
        <v>23</v>
      </c>
    </row>
    <row r="342" spans="1:10" x14ac:dyDescent="0.3">
      <c r="A342" t="s">
        <v>51</v>
      </c>
      <c r="B342">
        <v>30</v>
      </c>
      <c r="C342" s="6" t="s">
        <v>68</v>
      </c>
      <c r="D342" t="s">
        <v>36</v>
      </c>
      <c r="E342" t="s">
        <v>30</v>
      </c>
      <c r="F342" t="s">
        <v>43</v>
      </c>
      <c r="G342" s="7">
        <v>43195</v>
      </c>
      <c r="H342" t="s">
        <v>41</v>
      </c>
      <c r="I342" t="s">
        <v>69</v>
      </c>
      <c r="J342" t="s">
        <v>28</v>
      </c>
    </row>
    <row r="343" spans="1:10" x14ac:dyDescent="0.3">
      <c r="A343" t="s">
        <v>60</v>
      </c>
      <c r="B343">
        <v>50</v>
      </c>
      <c r="C343" s="6" t="s">
        <v>68</v>
      </c>
      <c r="D343" t="s">
        <v>18</v>
      </c>
      <c r="E343" t="s">
        <v>37</v>
      </c>
      <c r="F343" t="s">
        <v>43</v>
      </c>
      <c r="G343" s="7">
        <v>43549</v>
      </c>
      <c r="H343" t="s">
        <v>31</v>
      </c>
      <c r="I343" t="s">
        <v>32</v>
      </c>
      <c r="J343" t="s">
        <v>23</v>
      </c>
    </row>
    <row r="344" spans="1:10" x14ac:dyDescent="0.3">
      <c r="A344" t="s">
        <v>52</v>
      </c>
      <c r="B344">
        <v>40</v>
      </c>
      <c r="C344" s="6">
        <v>60000</v>
      </c>
      <c r="D344" t="s">
        <v>36</v>
      </c>
      <c r="E344" t="s">
        <v>12</v>
      </c>
      <c r="F344" t="s">
        <v>20</v>
      </c>
      <c r="G344" s="7">
        <v>43800</v>
      </c>
      <c r="H344" t="s">
        <v>21</v>
      </c>
      <c r="I344" t="s">
        <v>15</v>
      </c>
      <c r="J344" t="s">
        <v>28</v>
      </c>
    </row>
    <row r="345" spans="1:10" x14ac:dyDescent="0.3">
      <c r="A345" t="s">
        <v>52</v>
      </c>
      <c r="B345">
        <v>25</v>
      </c>
      <c r="C345" s="6">
        <v>65000</v>
      </c>
      <c r="D345" t="s">
        <v>11</v>
      </c>
      <c r="E345" t="s">
        <v>12</v>
      </c>
      <c r="F345" t="s">
        <v>44</v>
      </c>
      <c r="G345" s="7">
        <v>43845</v>
      </c>
      <c r="H345" t="s">
        <v>14</v>
      </c>
      <c r="I345" t="s">
        <v>22</v>
      </c>
      <c r="J345" t="s">
        <v>23</v>
      </c>
    </row>
    <row r="346" spans="1:10" x14ac:dyDescent="0.3">
      <c r="A346" t="s">
        <v>59</v>
      </c>
      <c r="B346">
        <v>35</v>
      </c>
      <c r="C346" s="6" t="s">
        <v>68</v>
      </c>
      <c r="D346" t="s">
        <v>11</v>
      </c>
      <c r="E346" t="s">
        <v>19</v>
      </c>
      <c r="F346" t="s">
        <v>43</v>
      </c>
      <c r="G346" s="7">
        <v>43881</v>
      </c>
      <c r="H346" t="s">
        <v>41</v>
      </c>
      <c r="I346" t="s">
        <v>32</v>
      </c>
      <c r="J346" t="s">
        <v>28</v>
      </c>
    </row>
    <row r="347" spans="1:10" x14ac:dyDescent="0.3">
      <c r="A347" t="s">
        <v>53</v>
      </c>
      <c r="B347">
        <v>30</v>
      </c>
      <c r="C347" s="6">
        <v>50000</v>
      </c>
      <c r="D347" t="s">
        <v>18</v>
      </c>
      <c r="E347" t="s">
        <v>12</v>
      </c>
      <c r="F347" t="s">
        <v>20</v>
      </c>
      <c r="G347" s="7">
        <v>43800</v>
      </c>
      <c r="H347" t="s">
        <v>14</v>
      </c>
      <c r="I347" t="s">
        <v>32</v>
      </c>
      <c r="J347" t="s">
        <v>28</v>
      </c>
    </row>
    <row r="348" spans="1:10" x14ac:dyDescent="0.3">
      <c r="A348" t="s">
        <v>56</v>
      </c>
      <c r="B348">
        <v>35</v>
      </c>
      <c r="C348" s="6">
        <v>70000</v>
      </c>
      <c r="D348" t="s">
        <v>18</v>
      </c>
      <c r="E348" t="s">
        <v>37</v>
      </c>
      <c r="F348" t="s">
        <v>44</v>
      </c>
      <c r="G348" s="7">
        <v>43195</v>
      </c>
      <c r="H348" t="s">
        <v>14</v>
      </c>
      <c r="I348" t="s">
        <v>69</v>
      </c>
      <c r="J348" t="s">
        <v>23</v>
      </c>
    </row>
    <row r="349" spans="1:10" x14ac:dyDescent="0.3">
      <c r="A349" t="s">
        <v>51</v>
      </c>
      <c r="B349">
        <v>40</v>
      </c>
      <c r="C349" s="6">
        <v>60000</v>
      </c>
      <c r="D349" t="s">
        <v>36</v>
      </c>
      <c r="E349" t="s">
        <v>19</v>
      </c>
      <c r="F349" t="s">
        <v>39</v>
      </c>
      <c r="G349" s="7">
        <v>43845</v>
      </c>
      <c r="H349" t="s">
        <v>27</v>
      </c>
      <c r="I349" t="s">
        <v>15</v>
      </c>
      <c r="J349" t="s">
        <v>28</v>
      </c>
    </row>
    <row r="350" spans="1:10" x14ac:dyDescent="0.3">
      <c r="A350" t="s">
        <v>58</v>
      </c>
      <c r="B350">
        <v>30</v>
      </c>
      <c r="C350" s="6">
        <v>55000</v>
      </c>
      <c r="D350" t="s">
        <v>36</v>
      </c>
      <c r="E350" t="s">
        <v>19</v>
      </c>
      <c r="F350" t="s">
        <v>39</v>
      </c>
      <c r="G350" s="7">
        <v>43800</v>
      </c>
      <c r="H350" t="s">
        <v>27</v>
      </c>
      <c r="I350" t="s">
        <v>22</v>
      </c>
      <c r="J350" t="s">
        <v>69</v>
      </c>
    </row>
    <row r="351" spans="1:10" x14ac:dyDescent="0.3">
      <c r="A351" t="s">
        <v>58</v>
      </c>
      <c r="B351">
        <v>50</v>
      </c>
      <c r="C351" s="6">
        <v>60000</v>
      </c>
      <c r="D351" t="s">
        <v>11</v>
      </c>
      <c r="E351" t="s">
        <v>30</v>
      </c>
      <c r="F351" t="s">
        <v>13</v>
      </c>
      <c r="G351" s="7">
        <v>43845</v>
      </c>
      <c r="H351" t="s">
        <v>41</v>
      </c>
      <c r="I351" t="s">
        <v>32</v>
      </c>
      <c r="J351" t="s">
        <v>69</v>
      </c>
    </row>
    <row r="352" spans="1:10" x14ac:dyDescent="0.3">
      <c r="A352" t="s">
        <v>51</v>
      </c>
      <c r="B352">
        <v>36</v>
      </c>
      <c r="C352" s="6">
        <v>55000</v>
      </c>
      <c r="D352" t="s">
        <v>18</v>
      </c>
      <c r="E352" t="s">
        <v>30</v>
      </c>
      <c r="F352" t="s">
        <v>20</v>
      </c>
      <c r="G352" s="7">
        <v>43881</v>
      </c>
      <c r="H352" t="s">
        <v>27</v>
      </c>
      <c r="I352" t="s">
        <v>22</v>
      </c>
      <c r="J352" t="s">
        <v>45</v>
      </c>
    </row>
    <row r="353" spans="1:10" x14ac:dyDescent="0.3">
      <c r="A353" t="s">
        <v>57</v>
      </c>
      <c r="B353">
        <v>35</v>
      </c>
      <c r="C353" s="6">
        <v>60000</v>
      </c>
      <c r="D353" t="s">
        <v>18</v>
      </c>
      <c r="E353" t="s">
        <v>12</v>
      </c>
      <c r="F353" t="s">
        <v>44</v>
      </c>
      <c r="G353" s="7">
        <v>43195</v>
      </c>
      <c r="H353" t="s">
        <v>27</v>
      </c>
      <c r="I353" t="s">
        <v>69</v>
      </c>
      <c r="J353" t="s">
        <v>28</v>
      </c>
    </row>
    <row r="354" spans="1:10" x14ac:dyDescent="0.3">
      <c r="A354" t="s">
        <v>56</v>
      </c>
      <c r="B354">
        <v>30</v>
      </c>
      <c r="C354" s="6">
        <v>55000</v>
      </c>
      <c r="D354" t="s">
        <v>18</v>
      </c>
      <c r="E354" t="s">
        <v>19</v>
      </c>
      <c r="F354" t="s">
        <v>43</v>
      </c>
      <c r="G354" s="7">
        <v>43845</v>
      </c>
      <c r="H354" t="s">
        <v>27</v>
      </c>
      <c r="I354" t="s">
        <v>32</v>
      </c>
      <c r="J354" t="s">
        <v>28</v>
      </c>
    </row>
    <row r="355" spans="1:10" x14ac:dyDescent="0.3">
      <c r="A355" t="s">
        <v>60</v>
      </c>
      <c r="B355">
        <v>35</v>
      </c>
      <c r="C355" s="6" t="s">
        <v>68</v>
      </c>
      <c r="D355" t="s">
        <v>36</v>
      </c>
      <c r="E355" t="s">
        <v>30</v>
      </c>
      <c r="F355" t="s">
        <v>39</v>
      </c>
      <c r="G355" s="7">
        <v>43800</v>
      </c>
      <c r="H355" t="s">
        <v>14</v>
      </c>
      <c r="I355" t="s">
        <v>32</v>
      </c>
      <c r="J355" t="s">
        <v>45</v>
      </c>
    </row>
    <row r="356" spans="1:10" x14ac:dyDescent="0.3">
      <c r="A356" t="s">
        <v>55</v>
      </c>
      <c r="B356">
        <v>30</v>
      </c>
      <c r="C356" s="6">
        <v>65000</v>
      </c>
      <c r="D356" t="s">
        <v>18</v>
      </c>
      <c r="E356" t="s">
        <v>37</v>
      </c>
      <c r="F356" t="s">
        <v>44</v>
      </c>
      <c r="G356" s="7">
        <v>43881</v>
      </c>
      <c r="H356" t="s">
        <v>41</v>
      </c>
      <c r="I356" t="s">
        <v>69</v>
      </c>
      <c r="J356" t="s">
        <v>28</v>
      </c>
    </row>
    <row r="357" spans="1:10" x14ac:dyDescent="0.3">
      <c r="A357" t="s">
        <v>57</v>
      </c>
      <c r="B357">
        <v>25</v>
      </c>
      <c r="C357" s="6">
        <v>55000</v>
      </c>
      <c r="D357" t="s">
        <v>11</v>
      </c>
      <c r="E357" t="s">
        <v>30</v>
      </c>
      <c r="F357" t="s">
        <v>20</v>
      </c>
      <c r="G357" s="7">
        <v>43881</v>
      </c>
      <c r="H357" t="s">
        <v>14</v>
      </c>
      <c r="I357" t="s">
        <v>69</v>
      </c>
      <c r="J357" t="s">
        <v>45</v>
      </c>
    </row>
    <row r="358" spans="1:10" x14ac:dyDescent="0.3">
      <c r="A358" t="s">
        <v>55</v>
      </c>
      <c r="B358">
        <v>50</v>
      </c>
      <c r="C358" s="6">
        <v>55000</v>
      </c>
      <c r="D358" t="s">
        <v>11</v>
      </c>
      <c r="E358" t="s">
        <v>30</v>
      </c>
      <c r="F358" t="s">
        <v>13</v>
      </c>
      <c r="G358" s="7">
        <v>43800</v>
      </c>
      <c r="H358" t="s">
        <v>21</v>
      </c>
      <c r="I358" t="s">
        <v>32</v>
      </c>
      <c r="J358" t="s">
        <v>23</v>
      </c>
    </row>
    <row r="359" spans="1:10" x14ac:dyDescent="0.3">
      <c r="A359" t="s">
        <v>55</v>
      </c>
      <c r="B359">
        <v>35</v>
      </c>
      <c r="C359" s="6">
        <v>50000</v>
      </c>
      <c r="D359" t="s">
        <v>36</v>
      </c>
      <c r="E359" t="s">
        <v>19</v>
      </c>
      <c r="F359" t="s">
        <v>39</v>
      </c>
      <c r="G359" s="7">
        <v>43800</v>
      </c>
      <c r="H359" t="s">
        <v>14</v>
      </c>
      <c r="I359" t="s">
        <v>22</v>
      </c>
      <c r="J359" t="s">
        <v>69</v>
      </c>
    </row>
    <row r="360" spans="1:10" x14ac:dyDescent="0.3">
      <c r="A360" t="s">
        <v>57</v>
      </c>
      <c r="B360">
        <v>36</v>
      </c>
      <c r="C360" s="6">
        <v>55000</v>
      </c>
      <c r="D360" t="s">
        <v>36</v>
      </c>
      <c r="E360" t="s">
        <v>19</v>
      </c>
      <c r="F360" t="s">
        <v>44</v>
      </c>
      <c r="G360" s="7">
        <v>43845</v>
      </c>
      <c r="H360" t="s">
        <v>21</v>
      </c>
      <c r="I360" t="s">
        <v>15</v>
      </c>
      <c r="J360" t="s">
        <v>69</v>
      </c>
    </row>
    <row r="361" spans="1:10" x14ac:dyDescent="0.3">
      <c r="A361" t="s">
        <v>59</v>
      </c>
      <c r="B361">
        <v>36</v>
      </c>
      <c r="C361" s="6">
        <v>50000</v>
      </c>
      <c r="D361" t="s">
        <v>18</v>
      </c>
      <c r="E361" t="s">
        <v>26</v>
      </c>
      <c r="F361" t="s">
        <v>44</v>
      </c>
      <c r="G361" s="7">
        <v>43549</v>
      </c>
      <c r="H361" t="s">
        <v>31</v>
      </c>
      <c r="I361" t="s">
        <v>22</v>
      </c>
      <c r="J361" t="s">
        <v>69</v>
      </c>
    </row>
    <row r="362" spans="1:10" x14ac:dyDescent="0.3">
      <c r="A362" t="s">
        <v>52</v>
      </c>
      <c r="B362">
        <v>40</v>
      </c>
      <c r="C362" s="6">
        <v>70000</v>
      </c>
      <c r="D362" t="s">
        <v>36</v>
      </c>
      <c r="E362" t="s">
        <v>37</v>
      </c>
      <c r="F362" t="s">
        <v>44</v>
      </c>
      <c r="G362" s="7">
        <v>43881</v>
      </c>
      <c r="H362" t="s">
        <v>31</v>
      </c>
      <c r="I362" t="s">
        <v>69</v>
      </c>
      <c r="J362" t="s">
        <v>28</v>
      </c>
    </row>
    <row r="363" spans="1:10" x14ac:dyDescent="0.3">
      <c r="A363" t="s">
        <v>55</v>
      </c>
      <c r="B363">
        <v>30</v>
      </c>
      <c r="C363" s="6" t="s">
        <v>68</v>
      </c>
      <c r="D363" t="s">
        <v>11</v>
      </c>
      <c r="E363" t="s">
        <v>19</v>
      </c>
      <c r="F363" t="s">
        <v>20</v>
      </c>
      <c r="G363" s="7">
        <v>43845</v>
      </c>
      <c r="H363" t="s">
        <v>21</v>
      </c>
      <c r="I363" t="s">
        <v>15</v>
      </c>
      <c r="J363" t="s">
        <v>69</v>
      </c>
    </row>
    <row r="364" spans="1:10" x14ac:dyDescent="0.3">
      <c r="A364" t="s">
        <v>57</v>
      </c>
      <c r="B364">
        <v>35</v>
      </c>
      <c r="C364" s="6">
        <v>50000</v>
      </c>
      <c r="D364" t="s">
        <v>18</v>
      </c>
      <c r="E364" t="s">
        <v>12</v>
      </c>
      <c r="F364" t="s">
        <v>20</v>
      </c>
      <c r="G364" s="7">
        <v>43800</v>
      </c>
      <c r="H364" t="s">
        <v>21</v>
      </c>
      <c r="I364" t="s">
        <v>22</v>
      </c>
      <c r="J364" t="s">
        <v>23</v>
      </c>
    </row>
    <row r="365" spans="1:10" x14ac:dyDescent="0.3">
      <c r="A365" t="s">
        <v>57</v>
      </c>
      <c r="B365">
        <v>40</v>
      </c>
      <c r="C365" s="6">
        <v>65000</v>
      </c>
      <c r="D365" t="s">
        <v>11</v>
      </c>
      <c r="E365" t="s">
        <v>37</v>
      </c>
      <c r="F365" t="s">
        <v>20</v>
      </c>
      <c r="G365" s="7">
        <v>43845</v>
      </c>
      <c r="H365" t="s">
        <v>14</v>
      </c>
      <c r="I365" t="s">
        <v>22</v>
      </c>
      <c r="J365" t="s">
        <v>69</v>
      </c>
    </row>
    <row r="366" spans="1:10" x14ac:dyDescent="0.3">
      <c r="A366" t="s">
        <v>54</v>
      </c>
      <c r="B366">
        <v>35</v>
      </c>
      <c r="C366" s="6" t="s">
        <v>68</v>
      </c>
      <c r="D366" t="s">
        <v>18</v>
      </c>
      <c r="E366" t="s">
        <v>37</v>
      </c>
      <c r="F366" t="s">
        <v>43</v>
      </c>
      <c r="G366" s="7">
        <v>43800</v>
      </c>
      <c r="H366" t="s">
        <v>21</v>
      </c>
      <c r="I366" t="s">
        <v>69</v>
      </c>
      <c r="J366" t="s">
        <v>23</v>
      </c>
    </row>
    <row r="367" spans="1:10" x14ac:dyDescent="0.3">
      <c r="A367" t="s">
        <v>59</v>
      </c>
      <c r="B367">
        <v>30</v>
      </c>
      <c r="C367" s="6">
        <v>50000</v>
      </c>
      <c r="D367" t="s">
        <v>36</v>
      </c>
      <c r="E367" t="s">
        <v>19</v>
      </c>
      <c r="F367" t="s">
        <v>44</v>
      </c>
      <c r="G367" s="7">
        <v>43195</v>
      </c>
      <c r="H367" t="s">
        <v>41</v>
      </c>
      <c r="I367" t="s">
        <v>69</v>
      </c>
      <c r="J367" t="s">
        <v>23</v>
      </c>
    </row>
    <row r="368" spans="1:10" x14ac:dyDescent="0.3">
      <c r="A368" t="s">
        <v>53</v>
      </c>
      <c r="B368">
        <v>36</v>
      </c>
      <c r="C368" s="6" t="s">
        <v>68</v>
      </c>
      <c r="D368" t="s">
        <v>18</v>
      </c>
      <c r="E368" t="s">
        <v>37</v>
      </c>
      <c r="F368" t="s">
        <v>39</v>
      </c>
      <c r="G368" s="7">
        <v>43800</v>
      </c>
      <c r="H368" t="s">
        <v>31</v>
      </c>
      <c r="I368" t="s">
        <v>69</v>
      </c>
      <c r="J368" t="s">
        <v>28</v>
      </c>
    </row>
    <row r="369" spans="1:10" x14ac:dyDescent="0.3">
      <c r="A369" t="s">
        <v>54</v>
      </c>
      <c r="B369">
        <v>25</v>
      </c>
      <c r="C369" s="6" t="s">
        <v>68</v>
      </c>
      <c r="D369" t="s">
        <v>18</v>
      </c>
      <c r="E369" t="s">
        <v>19</v>
      </c>
      <c r="F369" t="s">
        <v>20</v>
      </c>
      <c r="G369" s="7">
        <v>43800</v>
      </c>
      <c r="H369" t="s">
        <v>31</v>
      </c>
      <c r="I369" t="s">
        <v>15</v>
      </c>
      <c r="J369" t="s">
        <v>23</v>
      </c>
    </row>
    <row r="370" spans="1:10" x14ac:dyDescent="0.3">
      <c r="A370" t="s">
        <v>54</v>
      </c>
      <c r="B370">
        <v>36</v>
      </c>
      <c r="C370" s="6" t="s">
        <v>68</v>
      </c>
      <c r="D370" t="s">
        <v>11</v>
      </c>
      <c r="E370" t="s">
        <v>30</v>
      </c>
      <c r="F370" t="s">
        <v>20</v>
      </c>
      <c r="G370" s="7">
        <v>43800</v>
      </c>
      <c r="H370" t="s">
        <v>21</v>
      </c>
      <c r="I370" t="s">
        <v>69</v>
      </c>
      <c r="J370" t="s">
        <v>69</v>
      </c>
    </row>
    <row r="371" spans="1:10" x14ac:dyDescent="0.3">
      <c r="A371" t="s">
        <v>51</v>
      </c>
      <c r="B371">
        <v>40</v>
      </c>
      <c r="C371" s="6">
        <v>70000</v>
      </c>
      <c r="D371" t="s">
        <v>11</v>
      </c>
      <c r="E371" t="s">
        <v>26</v>
      </c>
      <c r="F371" t="s">
        <v>44</v>
      </c>
      <c r="G371" s="7">
        <v>43549</v>
      </c>
      <c r="H371" t="s">
        <v>27</v>
      </c>
      <c r="I371" t="s">
        <v>69</v>
      </c>
      <c r="J371" t="s">
        <v>69</v>
      </c>
    </row>
    <row r="372" spans="1:10" x14ac:dyDescent="0.3">
      <c r="A372" t="s">
        <v>52</v>
      </c>
      <c r="B372">
        <v>50</v>
      </c>
      <c r="C372" s="6">
        <v>65000</v>
      </c>
      <c r="D372" t="s">
        <v>18</v>
      </c>
      <c r="E372" t="s">
        <v>30</v>
      </c>
      <c r="F372" t="s">
        <v>20</v>
      </c>
      <c r="G372" s="7">
        <v>43800</v>
      </c>
      <c r="H372" t="s">
        <v>27</v>
      </c>
      <c r="I372" t="s">
        <v>32</v>
      </c>
      <c r="J372" t="s">
        <v>69</v>
      </c>
    </row>
    <row r="373" spans="1:10" x14ac:dyDescent="0.3">
      <c r="A373" t="s">
        <v>57</v>
      </c>
      <c r="B373">
        <v>25</v>
      </c>
      <c r="C373" s="6">
        <v>60000</v>
      </c>
      <c r="D373" t="s">
        <v>36</v>
      </c>
      <c r="E373" t="s">
        <v>19</v>
      </c>
      <c r="F373" t="s">
        <v>43</v>
      </c>
      <c r="G373" s="7">
        <v>43881</v>
      </c>
      <c r="H373" t="s">
        <v>21</v>
      </c>
      <c r="I373" t="s">
        <v>32</v>
      </c>
      <c r="J373" t="s">
        <v>28</v>
      </c>
    </row>
    <row r="374" spans="1:10" x14ac:dyDescent="0.3">
      <c r="A374" t="s">
        <v>52</v>
      </c>
      <c r="B374">
        <v>40</v>
      </c>
      <c r="C374" s="6">
        <v>60000</v>
      </c>
      <c r="D374" t="s">
        <v>36</v>
      </c>
      <c r="E374" t="s">
        <v>19</v>
      </c>
      <c r="F374" t="s">
        <v>43</v>
      </c>
      <c r="G374" s="7">
        <v>43881</v>
      </c>
      <c r="H374" t="s">
        <v>41</v>
      </c>
      <c r="I374" t="s">
        <v>15</v>
      </c>
      <c r="J374" t="s">
        <v>69</v>
      </c>
    </row>
    <row r="375" spans="1:10" x14ac:dyDescent="0.3">
      <c r="A375" t="s">
        <v>56</v>
      </c>
      <c r="B375">
        <v>30</v>
      </c>
      <c r="C375" s="6">
        <v>50000</v>
      </c>
      <c r="D375" t="s">
        <v>11</v>
      </c>
      <c r="E375" t="s">
        <v>30</v>
      </c>
      <c r="F375" t="s">
        <v>20</v>
      </c>
      <c r="G375" s="7">
        <v>43845</v>
      </c>
      <c r="H375" t="s">
        <v>27</v>
      </c>
      <c r="I375" t="s">
        <v>32</v>
      </c>
      <c r="J375" t="s">
        <v>45</v>
      </c>
    </row>
    <row r="376" spans="1:10" x14ac:dyDescent="0.3">
      <c r="A376" t="s">
        <v>51</v>
      </c>
      <c r="B376">
        <v>25</v>
      </c>
      <c r="C376" s="6" t="s">
        <v>68</v>
      </c>
      <c r="D376" t="s">
        <v>36</v>
      </c>
      <c r="E376" t="s">
        <v>12</v>
      </c>
      <c r="F376" t="s">
        <v>44</v>
      </c>
      <c r="G376" s="7">
        <v>43549</v>
      </c>
      <c r="H376" t="s">
        <v>21</v>
      </c>
      <c r="I376" t="s">
        <v>69</v>
      </c>
      <c r="J376" t="s">
        <v>69</v>
      </c>
    </row>
    <row r="377" spans="1:10" x14ac:dyDescent="0.3">
      <c r="A377" t="s">
        <v>53</v>
      </c>
      <c r="B377">
        <v>40</v>
      </c>
      <c r="C377" s="6">
        <v>50000</v>
      </c>
      <c r="D377" t="s">
        <v>11</v>
      </c>
      <c r="E377" t="s">
        <v>12</v>
      </c>
      <c r="F377" t="s">
        <v>44</v>
      </c>
      <c r="G377" s="7">
        <v>43845</v>
      </c>
      <c r="H377" t="s">
        <v>41</v>
      </c>
      <c r="I377" t="s">
        <v>15</v>
      </c>
      <c r="J377" t="s">
        <v>45</v>
      </c>
    </row>
    <row r="378" spans="1:10" x14ac:dyDescent="0.3">
      <c r="A378" t="s">
        <v>52</v>
      </c>
      <c r="B378">
        <v>30</v>
      </c>
      <c r="C378" s="6">
        <v>70000</v>
      </c>
      <c r="D378" t="s">
        <v>36</v>
      </c>
      <c r="E378" t="s">
        <v>12</v>
      </c>
      <c r="F378" t="s">
        <v>44</v>
      </c>
      <c r="G378" s="7">
        <v>43881</v>
      </c>
      <c r="H378" t="s">
        <v>41</v>
      </c>
      <c r="I378" t="s">
        <v>69</v>
      </c>
      <c r="J378" t="s">
        <v>45</v>
      </c>
    </row>
    <row r="379" spans="1:10" x14ac:dyDescent="0.3">
      <c r="A379" t="s">
        <v>58</v>
      </c>
      <c r="B379">
        <v>36</v>
      </c>
      <c r="C379" s="6">
        <v>70000</v>
      </c>
      <c r="D379" t="s">
        <v>18</v>
      </c>
      <c r="E379" t="s">
        <v>19</v>
      </c>
      <c r="F379" t="s">
        <v>13</v>
      </c>
      <c r="G379" s="7">
        <v>43881</v>
      </c>
      <c r="H379" t="s">
        <v>14</v>
      </c>
      <c r="I379" t="s">
        <v>15</v>
      </c>
      <c r="J379" t="s">
        <v>28</v>
      </c>
    </row>
    <row r="380" spans="1:10" x14ac:dyDescent="0.3">
      <c r="A380" t="s">
        <v>55</v>
      </c>
      <c r="B380">
        <v>50</v>
      </c>
      <c r="C380" s="6">
        <v>55000</v>
      </c>
      <c r="D380" t="s">
        <v>11</v>
      </c>
      <c r="E380" t="s">
        <v>37</v>
      </c>
      <c r="F380" t="s">
        <v>20</v>
      </c>
      <c r="G380" s="7">
        <v>43195</v>
      </c>
      <c r="H380" t="s">
        <v>41</v>
      </c>
      <c r="I380" t="s">
        <v>15</v>
      </c>
      <c r="J380" t="s">
        <v>23</v>
      </c>
    </row>
    <row r="381" spans="1:10" x14ac:dyDescent="0.3">
      <c r="A381" t="s">
        <v>56</v>
      </c>
      <c r="B381">
        <v>30</v>
      </c>
      <c r="C381" s="6">
        <v>70000</v>
      </c>
      <c r="D381" t="s">
        <v>11</v>
      </c>
      <c r="E381" t="s">
        <v>19</v>
      </c>
      <c r="F381" t="s">
        <v>44</v>
      </c>
      <c r="G381" s="7">
        <v>43800</v>
      </c>
      <c r="H381" t="s">
        <v>27</v>
      </c>
      <c r="I381" t="s">
        <v>22</v>
      </c>
      <c r="J381" t="s">
        <v>45</v>
      </c>
    </row>
    <row r="382" spans="1:10" x14ac:dyDescent="0.3">
      <c r="A382" t="s">
        <v>59</v>
      </c>
      <c r="B382">
        <v>35</v>
      </c>
      <c r="C382" s="6">
        <v>55000</v>
      </c>
      <c r="D382" t="s">
        <v>18</v>
      </c>
      <c r="E382" t="s">
        <v>37</v>
      </c>
      <c r="F382" t="s">
        <v>43</v>
      </c>
      <c r="G382" s="7">
        <v>43881</v>
      </c>
      <c r="H382" t="s">
        <v>27</v>
      </c>
      <c r="I382" t="s">
        <v>22</v>
      </c>
      <c r="J382" t="s">
        <v>69</v>
      </c>
    </row>
    <row r="383" spans="1:10" x14ac:dyDescent="0.3">
      <c r="A383" t="s">
        <v>53</v>
      </c>
      <c r="B383">
        <v>30</v>
      </c>
      <c r="C383" s="6">
        <v>65000</v>
      </c>
      <c r="D383" t="s">
        <v>11</v>
      </c>
      <c r="E383" t="s">
        <v>30</v>
      </c>
      <c r="F383" t="s">
        <v>39</v>
      </c>
      <c r="G383" s="7">
        <v>43845</v>
      </c>
      <c r="H383" t="s">
        <v>21</v>
      </c>
      <c r="I383" t="s">
        <v>15</v>
      </c>
      <c r="J383" t="s">
        <v>23</v>
      </c>
    </row>
    <row r="384" spans="1:10" x14ac:dyDescent="0.3">
      <c r="A384" t="s">
        <v>56</v>
      </c>
      <c r="B384">
        <v>30</v>
      </c>
      <c r="C384" s="6">
        <v>50000</v>
      </c>
      <c r="D384" t="s">
        <v>36</v>
      </c>
      <c r="E384" t="s">
        <v>26</v>
      </c>
      <c r="F384" t="s">
        <v>39</v>
      </c>
      <c r="G384" s="7">
        <v>43845</v>
      </c>
      <c r="H384" t="s">
        <v>21</v>
      </c>
      <c r="I384" t="s">
        <v>32</v>
      </c>
      <c r="J384" t="s">
        <v>69</v>
      </c>
    </row>
    <row r="385" spans="1:10" x14ac:dyDescent="0.3">
      <c r="A385" t="s">
        <v>55</v>
      </c>
      <c r="B385">
        <v>50</v>
      </c>
      <c r="C385" s="6">
        <v>65000</v>
      </c>
      <c r="D385" t="s">
        <v>36</v>
      </c>
      <c r="E385" t="s">
        <v>37</v>
      </c>
      <c r="F385" t="s">
        <v>44</v>
      </c>
      <c r="G385" s="7">
        <v>43800</v>
      </c>
      <c r="H385" t="s">
        <v>41</v>
      </c>
      <c r="I385" t="s">
        <v>22</v>
      </c>
      <c r="J385" t="s">
        <v>69</v>
      </c>
    </row>
    <row r="386" spans="1:10" x14ac:dyDescent="0.3">
      <c r="A386" t="s">
        <v>51</v>
      </c>
      <c r="B386">
        <v>35</v>
      </c>
      <c r="C386" s="6">
        <v>70000</v>
      </c>
      <c r="D386" t="s">
        <v>11</v>
      </c>
      <c r="E386" t="s">
        <v>12</v>
      </c>
      <c r="F386" t="s">
        <v>39</v>
      </c>
      <c r="G386" s="7">
        <v>43800</v>
      </c>
      <c r="H386" t="s">
        <v>31</v>
      </c>
      <c r="I386" t="s">
        <v>69</v>
      </c>
      <c r="J386" t="s">
        <v>23</v>
      </c>
    </row>
    <row r="387" spans="1:10" x14ac:dyDescent="0.3">
      <c r="A387" t="s">
        <v>55</v>
      </c>
      <c r="B387">
        <v>40</v>
      </c>
      <c r="C387" s="6">
        <v>65000</v>
      </c>
      <c r="D387" t="s">
        <v>36</v>
      </c>
      <c r="E387" t="s">
        <v>19</v>
      </c>
      <c r="F387" t="s">
        <v>39</v>
      </c>
      <c r="G387" s="7">
        <v>43195</v>
      </c>
      <c r="H387" t="s">
        <v>14</v>
      </c>
      <c r="I387" t="s">
        <v>69</v>
      </c>
      <c r="J387" t="s">
        <v>23</v>
      </c>
    </row>
    <row r="388" spans="1:10" x14ac:dyDescent="0.3">
      <c r="A388" t="s">
        <v>54</v>
      </c>
      <c r="B388">
        <v>40</v>
      </c>
      <c r="C388" s="6">
        <v>65000</v>
      </c>
      <c r="D388" t="s">
        <v>11</v>
      </c>
      <c r="E388" t="s">
        <v>30</v>
      </c>
      <c r="F388" t="s">
        <v>13</v>
      </c>
      <c r="G388" s="7">
        <v>43549</v>
      </c>
      <c r="H388" t="s">
        <v>31</v>
      </c>
      <c r="I388" t="s">
        <v>22</v>
      </c>
      <c r="J388" t="s">
        <v>69</v>
      </c>
    </row>
    <row r="389" spans="1:10" x14ac:dyDescent="0.3">
      <c r="A389" t="s">
        <v>55</v>
      </c>
      <c r="B389">
        <v>30</v>
      </c>
      <c r="C389" s="6">
        <v>65000</v>
      </c>
      <c r="D389" t="s">
        <v>18</v>
      </c>
      <c r="E389" t="s">
        <v>12</v>
      </c>
      <c r="F389" t="s">
        <v>43</v>
      </c>
      <c r="G389" s="7">
        <v>43845</v>
      </c>
      <c r="H389" t="s">
        <v>41</v>
      </c>
      <c r="I389" t="s">
        <v>15</v>
      </c>
      <c r="J389" t="s">
        <v>28</v>
      </c>
    </row>
    <row r="390" spans="1:10" x14ac:dyDescent="0.3">
      <c r="A390" t="s">
        <v>54</v>
      </c>
      <c r="B390">
        <v>35</v>
      </c>
      <c r="C390" s="6">
        <v>70000</v>
      </c>
      <c r="D390" t="s">
        <v>11</v>
      </c>
      <c r="E390" t="s">
        <v>30</v>
      </c>
      <c r="F390" t="s">
        <v>43</v>
      </c>
      <c r="G390" s="7">
        <v>43800</v>
      </c>
      <c r="H390" t="s">
        <v>41</v>
      </c>
      <c r="I390" t="s">
        <v>32</v>
      </c>
      <c r="J390" t="s">
        <v>69</v>
      </c>
    </row>
    <row r="391" spans="1:10" x14ac:dyDescent="0.3">
      <c r="A391" t="s">
        <v>51</v>
      </c>
      <c r="B391">
        <v>35</v>
      </c>
      <c r="C391" s="6" t="s">
        <v>68</v>
      </c>
      <c r="D391" t="s">
        <v>18</v>
      </c>
      <c r="E391" t="s">
        <v>26</v>
      </c>
      <c r="F391" t="s">
        <v>13</v>
      </c>
      <c r="G391" s="7">
        <v>43845</v>
      </c>
      <c r="H391" t="s">
        <v>31</v>
      </c>
      <c r="I391" t="s">
        <v>69</v>
      </c>
      <c r="J391" t="s">
        <v>69</v>
      </c>
    </row>
    <row r="392" spans="1:10" x14ac:dyDescent="0.3">
      <c r="A392" t="s">
        <v>60</v>
      </c>
      <c r="B392">
        <v>50</v>
      </c>
      <c r="C392" s="6">
        <v>65000</v>
      </c>
      <c r="D392" t="s">
        <v>36</v>
      </c>
      <c r="E392" t="s">
        <v>19</v>
      </c>
      <c r="F392" t="s">
        <v>13</v>
      </c>
      <c r="G392" s="7">
        <v>43800</v>
      </c>
      <c r="H392" t="s">
        <v>14</v>
      </c>
      <c r="I392" t="s">
        <v>22</v>
      </c>
      <c r="J392" t="s">
        <v>28</v>
      </c>
    </row>
    <row r="393" spans="1:10" x14ac:dyDescent="0.3">
      <c r="A393" t="s">
        <v>54</v>
      </c>
      <c r="B393">
        <v>36</v>
      </c>
      <c r="C393" s="6">
        <v>55000</v>
      </c>
      <c r="D393" t="s">
        <v>18</v>
      </c>
      <c r="E393" t="s">
        <v>19</v>
      </c>
      <c r="F393" t="s">
        <v>39</v>
      </c>
      <c r="G393" s="7">
        <v>43881</v>
      </c>
      <c r="H393" t="s">
        <v>31</v>
      </c>
      <c r="I393" t="s">
        <v>32</v>
      </c>
      <c r="J393" t="s">
        <v>23</v>
      </c>
    </row>
    <row r="394" spans="1:10" x14ac:dyDescent="0.3">
      <c r="A394" t="s">
        <v>59</v>
      </c>
      <c r="B394">
        <v>40</v>
      </c>
      <c r="C394" s="6">
        <v>70000</v>
      </c>
      <c r="D394" t="s">
        <v>36</v>
      </c>
      <c r="E394" t="s">
        <v>26</v>
      </c>
      <c r="F394" t="s">
        <v>20</v>
      </c>
      <c r="G394" s="7">
        <v>43845</v>
      </c>
      <c r="H394" t="s">
        <v>21</v>
      </c>
      <c r="I394" t="s">
        <v>32</v>
      </c>
      <c r="J394" t="s">
        <v>69</v>
      </c>
    </row>
    <row r="395" spans="1:10" x14ac:dyDescent="0.3">
      <c r="A395" t="s">
        <v>55</v>
      </c>
      <c r="B395">
        <v>50</v>
      </c>
      <c r="C395" s="6">
        <v>65000</v>
      </c>
      <c r="D395" t="s">
        <v>11</v>
      </c>
      <c r="E395" t="s">
        <v>19</v>
      </c>
      <c r="F395" t="s">
        <v>39</v>
      </c>
      <c r="G395" s="7">
        <v>43881</v>
      </c>
      <c r="H395" t="s">
        <v>27</v>
      </c>
      <c r="I395" t="s">
        <v>32</v>
      </c>
      <c r="J395" t="s">
        <v>69</v>
      </c>
    </row>
    <row r="396" spans="1:10" x14ac:dyDescent="0.3">
      <c r="A396" t="s">
        <v>55</v>
      </c>
      <c r="B396">
        <v>25</v>
      </c>
      <c r="C396" s="6" t="s">
        <v>68</v>
      </c>
      <c r="D396" t="s">
        <v>36</v>
      </c>
      <c r="E396" t="s">
        <v>37</v>
      </c>
      <c r="F396" t="s">
        <v>13</v>
      </c>
      <c r="G396" s="7">
        <v>43845</v>
      </c>
      <c r="H396" t="s">
        <v>21</v>
      </c>
      <c r="I396" t="s">
        <v>15</v>
      </c>
      <c r="J396" t="s">
        <v>69</v>
      </c>
    </row>
    <row r="397" spans="1:10" x14ac:dyDescent="0.3">
      <c r="A397" t="s">
        <v>59</v>
      </c>
      <c r="B397">
        <v>40</v>
      </c>
      <c r="C397" s="6">
        <v>70000</v>
      </c>
      <c r="D397" t="s">
        <v>11</v>
      </c>
      <c r="E397" t="s">
        <v>30</v>
      </c>
      <c r="F397" t="s">
        <v>43</v>
      </c>
      <c r="G397" s="7">
        <v>43549</v>
      </c>
      <c r="H397" t="s">
        <v>27</v>
      </c>
      <c r="I397" t="s">
        <v>69</v>
      </c>
      <c r="J397" t="s">
        <v>28</v>
      </c>
    </row>
    <row r="398" spans="1:10" x14ac:dyDescent="0.3">
      <c r="A398" t="s">
        <v>58</v>
      </c>
      <c r="B398">
        <v>50</v>
      </c>
      <c r="C398" s="6">
        <v>60000</v>
      </c>
      <c r="D398" t="s">
        <v>11</v>
      </c>
      <c r="E398" t="s">
        <v>12</v>
      </c>
      <c r="F398" t="s">
        <v>39</v>
      </c>
      <c r="G398" s="7">
        <v>43195</v>
      </c>
      <c r="H398" t="s">
        <v>41</v>
      </c>
      <c r="I398" t="s">
        <v>32</v>
      </c>
      <c r="J398" t="s">
        <v>69</v>
      </c>
    </row>
    <row r="399" spans="1:10" x14ac:dyDescent="0.3">
      <c r="A399" t="s">
        <v>57</v>
      </c>
      <c r="B399">
        <v>40</v>
      </c>
      <c r="C399" s="6" t="s">
        <v>68</v>
      </c>
      <c r="D399" t="s">
        <v>18</v>
      </c>
      <c r="E399" t="s">
        <v>26</v>
      </c>
      <c r="F399" t="s">
        <v>20</v>
      </c>
      <c r="G399" s="7">
        <v>43881</v>
      </c>
      <c r="H399" t="s">
        <v>14</v>
      </c>
      <c r="I399" t="s">
        <v>69</v>
      </c>
      <c r="J399" t="s">
        <v>28</v>
      </c>
    </row>
    <row r="400" spans="1:10" x14ac:dyDescent="0.3">
      <c r="A400" t="s">
        <v>60</v>
      </c>
      <c r="B400">
        <v>36</v>
      </c>
      <c r="C400" s="6">
        <v>55000</v>
      </c>
      <c r="D400" t="s">
        <v>18</v>
      </c>
      <c r="E400" t="s">
        <v>37</v>
      </c>
      <c r="F400" t="s">
        <v>39</v>
      </c>
      <c r="G400" s="7">
        <v>43800</v>
      </c>
      <c r="H400" t="s">
        <v>31</v>
      </c>
      <c r="I400" t="s">
        <v>22</v>
      </c>
      <c r="J400" t="s">
        <v>23</v>
      </c>
    </row>
    <row r="401" spans="1:10" x14ac:dyDescent="0.3">
      <c r="A401" t="s">
        <v>53</v>
      </c>
      <c r="B401">
        <v>25</v>
      </c>
      <c r="C401" s="6">
        <v>65000</v>
      </c>
      <c r="D401" t="s">
        <v>18</v>
      </c>
      <c r="E401" t="s">
        <v>12</v>
      </c>
      <c r="F401" t="s">
        <v>44</v>
      </c>
      <c r="G401" s="7">
        <v>43549</v>
      </c>
      <c r="H401" t="s">
        <v>14</v>
      </c>
      <c r="I401" t="s">
        <v>69</v>
      </c>
      <c r="J401" t="s">
        <v>28</v>
      </c>
    </row>
    <row r="402" spans="1:10" x14ac:dyDescent="0.3">
      <c r="A402" t="s">
        <v>54</v>
      </c>
      <c r="B402">
        <v>36</v>
      </c>
      <c r="C402" s="6">
        <v>60000</v>
      </c>
      <c r="D402" t="s">
        <v>18</v>
      </c>
      <c r="E402" t="s">
        <v>12</v>
      </c>
      <c r="F402" t="s">
        <v>39</v>
      </c>
      <c r="G402" s="7">
        <v>43845</v>
      </c>
      <c r="H402" t="s">
        <v>31</v>
      </c>
      <c r="I402" t="s">
        <v>15</v>
      </c>
      <c r="J402" t="s">
        <v>28</v>
      </c>
    </row>
    <row r="403" spans="1:10" x14ac:dyDescent="0.3">
      <c r="A403" t="s">
        <v>59</v>
      </c>
      <c r="B403">
        <v>25</v>
      </c>
      <c r="C403" s="6">
        <v>60000</v>
      </c>
      <c r="D403" t="s">
        <v>36</v>
      </c>
      <c r="E403" t="s">
        <v>26</v>
      </c>
      <c r="F403" t="s">
        <v>13</v>
      </c>
      <c r="G403" s="7">
        <v>43881</v>
      </c>
      <c r="H403" t="s">
        <v>21</v>
      </c>
      <c r="I403" t="s">
        <v>15</v>
      </c>
      <c r="J403" t="s">
        <v>69</v>
      </c>
    </row>
    <row r="404" spans="1:10" x14ac:dyDescent="0.3">
      <c r="A404" t="s">
        <v>51</v>
      </c>
      <c r="B404">
        <v>30</v>
      </c>
      <c r="C404" s="6">
        <v>70000</v>
      </c>
      <c r="D404" t="s">
        <v>36</v>
      </c>
      <c r="E404" t="s">
        <v>37</v>
      </c>
      <c r="F404" t="s">
        <v>43</v>
      </c>
      <c r="G404" s="7">
        <v>43845</v>
      </c>
      <c r="H404" t="s">
        <v>21</v>
      </c>
      <c r="I404" t="s">
        <v>69</v>
      </c>
      <c r="J404" t="s">
        <v>69</v>
      </c>
    </row>
    <row r="405" spans="1:10" x14ac:dyDescent="0.3">
      <c r="A405" t="s">
        <v>54</v>
      </c>
      <c r="B405">
        <v>50</v>
      </c>
      <c r="C405" s="6">
        <v>60000</v>
      </c>
      <c r="D405" t="s">
        <v>36</v>
      </c>
      <c r="E405" t="s">
        <v>12</v>
      </c>
      <c r="F405" t="s">
        <v>43</v>
      </c>
      <c r="G405" s="7">
        <v>43845</v>
      </c>
      <c r="H405" t="s">
        <v>31</v>
      </c>
      <c r="I405" t="s">
        <v>69</v>
      </c>
      <c r="J405" t="s">
        <v>69</v>
      </c>
    </row>
    <row r="406" spans="1:10" x14ac:dyDescent="0.3">
      <c r="A406" t="s">
        <v>57</v>
      </c>
      <c r="B406">
        <v>25</v>
      </c>
      <c r="C406" s="6">
        <v>55000</v>
      </c>
      <c r="D406" t="s">
        <v>11</v>
      </c>
      <c r="E406" t="s">
        <v>12</v>
      </c>
      <c r="F406" t="s">
        <v>13</v>
      </c>
      <c r="G406" s="7">
        <v>43845</v>
      </c>
      <c r="H406" t="s">
        <v>14</v>
      </c>
      <c r="I406" t="s">
        <v>15</v>
      </c>
      <c r="J406" t="s">
        <v>45</v>
      </c>
    </row>
    <row r="407" spans="1:10" x14ac:dyDescent="0.3">
      <c r="A407" t="s">
        <v>51</v>
      </c>
      <c r="B407">
        <v>36</v>
      </c>
      <c r="C407" s="6">
        <v>55000</v>
      </c>
      <c r="D407" t="s">
        <v>36</v>
      </c>
      <c r="E407" t="s">
        <v>37</v>
      </c>
      <c r="F407" t="s">
        <v>44</v>
      </c>
      <c r="G407" s="7">
        <v>43195</v>
      </c>
      <c r="H407" t="s">
        <v>31</v>
      </c>
      <c r="I407" t="s">
        <v>15</v>
      </c>
      <c r="J407" t="s">
        <v>28</v>
      </c>
    </row>
    <row r="408" spans="1:10" x14ac:dyDescent="0.3">
      <c r="A408" t="s">
        <v>56</v>
      </c>
      <c r="B408">
        <v>40</v>
      </c>
      <c r="C408" s="6">
        <v>50000</v>
      </c>
      <c r="D408" t="s">
        <v>36</v>
      </c>
      <c r="E408" t="s">
        <v>19</v>
      </c>
      <c r="F408" t="s">
        <v>13</v>
      </c>
      <c r="G408" s="7">
        <v>43195</v>
      </c>
      <c r="H408" t="s">
        <v>41</v>
      </c>
      <c r="I408" t="s">
        <v>69</v>
      </c>
      <c r="J408" t="s">
        <v>45</v>
      </c>
    </row>
    <row r="409" spans="1:10" x14ac:dyDescent="0.3">
      <c r="A409" t="s">
        <v>55</v>
      </c>
      <c r="B409">
        <v>25</v>
      </c>
      <c r="C409" s="6">
        <v>55000</v>
      </c>
      <c r="D409" t="s">
        <v>36</v>
      </c>
      <c r="E409" t="s">
        <v>12</v>
      </c>
      <c r="F409" t="s">
        <v>39</v>
      </c>
      <c r="G409" s="7">
        <v>43800</v>
      </c>
      <c r="H409" t="s">
        <v>21</v>
      </c>
      <c r="I409" t="s">
        <v>15</v>
      </c>
      <c r="J409" t="s">
        <v>69</v>
      </c>
    </row>
    <row r="410" spans="1:10" x14ac:dyDescent="0.3">
      <c r="A410" t="s">
        <v>56</v>
      </c>
      <c r="B410">
        <v>50</v>
      </c>
      <c r="C410" s="6" t="s">
        <v>68</v>
      </c>
      <c r="D410" t="s">
        <v>18</v>
      </c>
      <c r="E410" t="s">
        <v>30</v>
      </c>
      <c r="F410" t="s">
        <v>13</v>
      </c>
      <c r="G410" s="7">
        <v>43881</v>
      </c>
      <c r="H410" t="s">
        <v>41</v>
      </c>
      <c r="I410" t="s">
        <v>69</v>
      </c>
      <c r="J410" t="s">
        <v>69</v>
      </c>
    </row>
    <row r="411" spans="1:10" x14ac:dyDescent="0.3">
      <c r="A411" t="s">
        <v>54</v>
      </c>
      <c r="B411">
        <v>25</v>
      </c>
      <c r="C411" s="6">
        <v>60000</v>
      </c>
      <c r="D411" t="s">
        <v>36</v>
      </c>
      <c r="E411" t="s">
        <v>37</v>
      </c>
      <c r="F411" t="s">
        <v>13</v>
      </c>
      <c r="G411" s="7">
        <v>43549</v>
      </c>
      <c r="H411" t="s">
        <v>21</v>
      </c>
      <c r="I411" t="s">
        <v>69</v>
      </c>
      <c r="J411" t="s">
        <v>69</v>
      </c>
    </row>
    <row r="412" spans="1:10" x14ac:dyDescent="0.3">
      <c r="A412" t="s">
        <v>57</v>
      </c>
      <c r="B412">
        <v>35</v>
      </c>
      <c r="C412" s="6">
        <v>55000</v>
      </c>
      <c r="D412" t="s">
        <v>11</v>
      </c>
      <c r="E412" t="s">
        <v>12</v>
      </c>
      <c r="F412" t="s">
        <v>44</v>
      </c>
      <c r="G412" s="7">
        <v>43549</v>
      </c>
      <c r="H412" t="s">
        <v>21</v>
      </c>
      <c r="I412" t="s">
        <v>69</v>
      </c>
      <c r="J412" t="s">
        <v>69</v>
      </c>
    </row>
    <row r="413" spans="1:10" x14ac:dyDescent="0.3">
      <c r="A413" t="s">
        <v>60</v>
      </c>
      <c r="B413">
        <v>40</v>
      </c>
      <c r="C413" s="6">
        <v>70000</v>
      </c>
      <c r="D413" t="s">
        <v>18</v>
      </c>
      <c r="E413" t="s">
        <v>26</v>
      </c>
      <c r="F413" t="s">
        <v>39</v>
      </c>
      <c r="G413" s="7">
        <v>43549</v>
      </c>
      <c r="H413" t="s">
        <v>27</v>
      </c>
      <c r="I413" t="s">
        <v>22</v>
      </c>
      <c r="J413" t="s">
        <v>69</v>
      </c>
    </row>
    <row r="414" spans="1:10" x14ac:dyDescent="0.3">
      <c r="A414" t="s">
        <v>54</v>
      </c>
      <c r="B414">
        <v>50</v>
      </c>
      <c r="C414" s="6">
        <v>50000</v>
      </c>
      <c r="D414" t="s">
        <v>11</v>
      </c>
      <c r="E414" t="s">
        <v>30</v>
      </c>
      <c r="F414" t="s">
        <v>20</v>
      </c>
      <c r="G414" s="7">
        <v>43845</v>
      </c>
      <c r="H414" t="s">
        <v>41</v>
      </c>
      <c r="I414" t="s">
        <v>69</v>
      </c>
      <c r="J414" t="s">
        <v>23</v>
      </c>
    </row>
    <row r="415" spans="1:10" x14ac:dyDescent="0.3">
      <c r="A415" t="s">
        <v>59</v>
      </c>
      <c r="B415">
        <v>50</v>
      </c>
      <c r="C415" s="6">
        <v>60000</v>
      </c>
      <c r="D415" t="s">
        <v>36</v>
      </c>
      <c r="E415" t="s">
        <v>12</v>
      </c>
      <c r="F415" t="s">
        <v>20</v>
      </c>
      <c r="G415" s="7">
        <v>43195</v>
      </c>
      <c r="H415" t="s">
        <v>41</v>
      </c>
      <c r="I415" t="s">
        <v>69</v>
      </c>
      <c r="J415" t="s">
        <v>28</v>
      </c>
    </row>
    <row r="416" spans="1:10" x14ac:dyDescent="0.3">
      <c r="A416" t="s">
        <v>52</v>
      </c>
      <c r="B416">
        <v>30</v>
      </c>
      <c r="C416" s="6">
        <v>50000</v>
      </c>
      <c r="D416" t="s">
        <v>18</v>
      </c>
      <c r="E416" t="s">
        <v>30</v>
      </c>
      <c r="F416" t="s">
        <v>43</v>
      </c>
      <c r="G416" s="7">
        <v>43881</v>
      </c>
      <c r="H416" t="s">
        <v>27</v>
      </c>
      <c r="I416" t="s">
        <v>22</v>
      </c>
      <c r="J416" t="s">
        <v>69</v>
      </c>
    </row>
    <row r="417" spans="1:10" x14ac:dyDescent="0.3">
      <c r="A417" t="s">
        <v>54</v>
      </c>
      <c r="B417">
        <v>36</v>
      </c>
      <c r="C417" s="6">
        <v>60000</v>
      </c>
      <c r="D417" t="s">
        <v>11</v>
      </c>
      <c r="E417" t="s">
        <v>30</v>
      </c>
      <c r="F417" t="s">
        <v>13</v>
      </c>
      <c r="G417" s="7">
        <v>43845</v>
      </c>
      <c r="H417" t="s">
        <v>14</v>
      </c>
      <c r="I417" t="s">
        <v>32</v>
      </c>
      <c r="J417" t="s">
        <v>69</v>
      </c>
    </row>
    <row r="418" spans="1:10" x14ac:dyDescent="0.3">
      <c r="A418" t="s">
        <v>55</v>
      </c>
      <c r="B418">
        <v>30</v>
      </c>
      <c r="C418" s="6">
        <v>70000</v>
      </c>
      <c r="D418" t="s">
        <v>36</v>
      </c>
      <c r="E418" t="s">
        <v>19</v>
      </c>
      <c r="F418" t="s">
        <v>43</v>
      </c>
      <c r="G418" s="7">
        <v>43195</v>
      </c>
      <c r="H418" t="s">
        <v>41</v>
      </c>
      <c r="I418" t="s">
        <v>15</v>
      </c>
      <c r="J418" t="s">
        <v>69</v>
      </c>
    </row>
    <row r="419" spans="1:10" x14ac:dyDescent="0.3">
      <c r="A419" t="s">
        <v>55</v>
      </c>
      <c r="B419">
        <v>50</v>
      </c>
      <c r="C419" s="6">
        <v>50000</v>
      </c>
      <c r="D419" t="s">
        <v>11</v>
      </c>
      <c r="E419" t="s">
        <v>30</v>
      </c>
      <c r="F419" t="s">
        <v>44</v>
      </c>
      <c r="G419" s="7">
        <v>43195</v>
      </c>
      <c r="H419" t="s">
        <v>31</v>
      </c>
      <c r="I419" t="s">
        <v>69</v>
      </c>
      <c r="J419" t="s">
        <v>69</v>
      </c>
    </row>
    <row r="420" spans="1:10" x14ac:dyDescent="0.3">
      <c r="A420" t="s">
        <v>54</v>
      </c>
      <c r="B420">
        <v>40</v>
      </c>
      <c r="C420" s="6">
        <v>65000</v>
      </c>
      <c r="D420" t="s">
        <v>11</v>
      </c>
      <c r="E420" t="s">
        <v>19</v>
      </c>
      <c r="F420" t="s">
        <v>20</v>
      </c>
      <c r="G420" s="7">
        <v>43881</v>
      </c>
      <c r="H420" t="s">
        <v>27</v>
      </c>
      <c r="I420" t="s">
        <v>15</v>
      </c>
      <c r="J420" t="s">
        <v>69</v>
      </c>
    </row>
    <row r="421" spans="1:10" x14ac:dyDescent="0.3">
      <c r="A421" t="s">
        <v>51</v>
      </c>
      <c r="B421">
        <v>25</v>
      </c>
      <c r="C421" s="6" t="s">
        <v>68</v>
      </c>
      <c r="D421" t="s">
        <v>11</v>
      </c>
      <c r="E421" t="s">
        <v>37</v>
      </c>
      <c r="F421" t="s">
        <v>13</v>
      </c>
      <c r="G421" s="7">
        <v>43881</v>
      </c>
      <c r="H421" t="s">
        <v>41</v>
      </c>
      <c r="I421" t="s">
        <v>69</v>
      </c>
      <c r="J421" t="s">
        <v>45</v>
      </c>
    </row>
    <row r="422" spans="1:10" x14ac:dyDescent="0.3">
      <c r="A422" t="s">
        <v>52</v>
      </c>
      <c r="B422">
        <v>25</v>
      </c>
      <c r="C422" s="6" t="s">
        <v>68</v>
      </c>
      <c r="D422" t="s">
        <v>36</v>
      </c>
      <c r="E422" t="s">
        <v>19</v>
      </c>
      <c r="F422" t="s">
        <v>44</v>
      </c>
      <c r="G422" s="7">
        <v>43881</v>
      </c>
      <c r="H422" t="s">
        <v>14</v>
      </c>
      <c r="I422" t="s">
        <v>15</v>
      </c>
      <c r="J422" t="s">
        <v>28</v>
      </c>
    </row>
    <row r="423" spans="1:10" x14ac:dyDescent="0.3">
      <c r="A423" t="s">
        <v>59</v>
      </c>
      <c r="B423">
        <v>40</v>
      </c>
      <c r="C423" s="6">
        <v>60000</v>
      </c>
      <c r="D423" t="s">
        <v>36</v>
      </c>
      <c r="E423" t="s">
        <v>26</v>
      </c>
      <c r="F423" t="s">
        <v>44</v>
      </c>
      <c r="G423" s="7">
        <v>43845</v>
      </c>
      <c r="H423" t="s">
        <v>41</v>
      </c>
      <c r="I423" t="s">
        <v>22</v>
      </c>
      <c r="J423" t="s">
        <v>28</v>
      </c>
    </row>
    <row r="424" spans="1:10" x14ac:dyDescent="0.3">
      <c r="A424" t="s">
        <v>54</v>
      </c>
      <c r="B424">
        <v>50</v>
      </c>
      <c r="C424" s="6">
        <v>65000</v>
      </c>
      <c r="D424" t="s">
        <v>11</v>
      </c>
      <c r="E424" t="s">
        <v>12</v>
      </c>
      <c r="F424" t="s">
        <v>13</v>
      </c>
      <c r="G424" s="7">
        <v>43800</v>
      </c>
      <c r="H424" t="s">
        <v>21</v>
      </c>
      <c r="I424" t="s">
        <v>15</v>
      </c>
      <c r="J424" t="s">
        <v>23</v>
      </c>
    </row>
    <row r="425" spans="1:10" x14ac:dyDescent="0.3">
      <c r="A425" t="s">
        <v>51</v>
      </c>
      <c r="B425">
        <v>25</v>
      </c>
      <c r="C425" s="6">
        <v>50000</v>
      </c>
      <c r="D425" t="s">
        <v>18</v>
      </c>
      <c r="E425" t="s">
        <v>37</v>
      </c>
      <c r="F425" t="s">
        <v>44</v>
      </c>
      <c r="G425" s="7">
        <v>43881</v>
      </c>
      <c r="H425" t="s">
        <v>31</v>
      </c>
      <c r="I425" t="s">
        <v>15</v>
      </c>
      <c r="J425" t="s">
        <v>23</v>
      </c>
    </row>
    <row r="426" spans="1:10" x14ac:dyDescent="0.3">
      <c r="A426" t="s">
        <v>55</v>
      </c>
      <c r="B426">
        <v>25</v>
      </c>
      <c r="C426" s="6">
        <v>65000</v>
      </c>
      <c r="D426" t="s">
        <v>18</v>
      </c>
      <c r="E426" t="s">
        <v>37</v>
      </c>
      <c r="F426" t="s">
        <v>13</v>
      </c>
      <c r="G426" s="7">
        <v>43800</v>
      </c>
      <c r="H426" t="s">
        <v>27</v>
      </c>
      <c r="I426" t="s">
        <v>15</v>
      </c>
      <c r="J426" t="s">
        <v>23</v>
      </c>
    </row>
    <row r="427" spans="1:10" x14ac:dyDescent="0.3">
      <c r="A427" t="s">
        <v>55</v>
      </c>
      <c r="B427">
        <v>25</v>
      </c>
      <c r="C427" s="6">
        <v>65000</v>
      </c>
      <c r="D427" t="s">
        <v>36</v>
      </c>
      <c r="E427" t="s">
        <v>26</v>
      </c>
      <c r="F427" t="s">
        <v>13</v>
      </c>
      <c r="G427" s="7">
        <v>43845</v>
      </c>
      <c r="H427" t="s">
        <v>21</v>
      </c>
      <c r="I427" t="s">
        <v>32</v>
      </c>
      <c r="J427" t="s">
        <v>28</v>
      </c>
    </row>
    <row r="428" spans="1:10" x14ac:dyDescent="0.3">
      <c r="A428" t="s">
        <v>57</v>
      </c>
      <c r="B428">
        <v>36</v>
      </c>
      <c r="C428" s="6">
        <v>50000</v>
      </c>
      <c r="D428" t="s">
        <v>36</v>
      </c>
      <c r="E428" t="s">
        <v>19</v>
      </c>
      <c r="F428" t="s">
        <v>39</v>
      </c>
      <c r="G428" s="7">
        <v>43800</v>
      </c>
      <c r="H428" t="s">
        <v>14</v>
      </c>
      <c r="I428" t="s">
        <v>32</v>
      </c>
      <c r="J428" t="s">
        <v>45</v>
      </c>
    </row>
    <row r="429" spans="1:10" x14ac:dyDescent="0.3">
      <c r="A429" t="s">
        <v>54</v>
      </c>
      <c r="B429">
        <v>36</v>
      </c>
      <c r="C429" s="6">
        <v>70000</v>
      </c>
      <c r="D429" t="s">
        <v>36</v>
      </c>
      <c r="E429" t="s">
        <v>12</v>
      </c>
      <c r="F429" t="s">
        <v>43</v>
      </c>
      <c r="G429" s="7">
        <v>43549</v>
      </c>
      <c r="H429" t="s">
        <v>21</v>
      </c>
      <c r="I429" t="s">
        <v>69</v>
      </c>
      <c r="J429" t="s">
        <v>28</v>
      </c>
    </row>
    <row r="430" spans="1:10" x14ac:dyDescent="0.3">
      <c r="A430" t="s">
        <v>52</v>
      </c>
      <c r="B430">
        <v>35</v>
      </c>
      <c r="C430" s="6">
        <v>65000</v>
      </c>
      <c r="D430" t="s">
        <v>36</v>
      </c>
      <c r="E430" t="s">
        <v>19</v>
      </c>
      <c r="F430" t="s">
        <v>44</v>
      </c>
      <c r="G430" s="7">
        <v>43800</v>
      </c>
      <c r="H430" t="s">
        <v>21</v>
      </c>
      <c r="I430" t="s">
        <v>22</v>
      </c>
      <c r="J430" t="s">
        <v>28</v>
      </c>
    </row>
    <row r="431" spans="1:10" x14ac:dyDescent="0.3">
      <c r="A431" t="s">
        <v>58</v>
      </c>
      <c r="B431">
        <v>30</v>
      </c>
      <c r="C431" s="6">
        <v>65000</v>
      </c>
      <c r="D431" t="s">
        <v>36</v>
      </c>
      <c r="E431" t="s">
        <v>30</v>
      </c>
      <c r="F431" t="s">
        <v>44</v>
      </c>
      <c r="G431" s="7">
        <v>43881</v>
      </c>
      <c r="H431" t="s">
        <v>14</v>
      </c>
      <c r="I431" t="s">
        <v>15</v>
      </c>
      <c r="J431" t="s">
        <v>28</v>
      </c>
    </row>
    <row r="432" spans="1:10" x14ac:dyDescent="0.3">
      <c r="A432" t="s">
        <v>52</v>
      </c>
      <c r="B432">
        <v>40</v>
      </c>
      <c r="C432" s="6">
        <v>70000</v>
      </c>
      <c r="D432" t="s">
        <v>18</v>
      </c>
      <c r="E432" t="s">
        <v>19</v>
      </c>
      <c r="F432" t="s">
        <v>39</v>
      </c>
      <c r="G432" s="7">
        <v>43845</v>
      </c>
      <c r="H432" t="s">
        <v>21</v>
      </c>
      <c r="I432" t="s">
        <v>15</v>
      </c>
      <c r="J432" t="s">
        <v>28</v>
      </c>
    </row>
    <row r="433" spans="1:10" x14ac:dyDescent="0.3">
      <c r="A433" t="s">
        <v>55</v>
      </c>
      <c r="B433">
        <v>40</v>
      </c>
      <c r="C433" s="6">
        <v>65000</v>
      </c>
      <c r="D433" t="s">
        <v>36</v>
      </c>
      <c r="E433" t="s">
        <v>37</v>
      </c>
      <c r="F433" t="s">
        <v>39</v>
      </c>
      <c r="G433" s="7">
        <v>43881</v>
      </c>
      <c r="H433" t="s">
        <v>27</v>
      </c>
      <c r="I433" t="s">
        <v>15</v>
      </c>
      <c r="J433" t="s">
        <v>45</v>
      </c>
    </row>
    <row r="434" spans="1:10" x14ac:dyDescent="0.3">
      <c r="A434" t="s">
        <v>55</v>
      </c>
      <c r="B434">
        <v>40</v>
      </c>
      <c r="C434" s="6">
        <v>65000</v>
      </c>
      <c r="D434" t="s">
        <v>11</v>
      </c>
      <c r="E434" t="s">
        <v>12</v>
      </c>
      <c r="F434" t="s">
        <v>39</v>
      </c>
      <c r="G434" s="7">
        <v>43549</v>
      </c>
      <c r="H434" t="s">
        <v>41</v>
      </c>
      <c r="I434" t="s">
        <v>15</v>
      </c>
      <c r="J434" t="s">
        <v>23</v>
      </c>
    </row>
    <row r="435" spans="1:10" x14ac:dyDescent="0.3">
      <c r="A435" t="s">
        <v>56</v>
      </c>
      <c r="B435">
        <v>35</v>
      </c>
      <c r="C435" s="6">
        <v>65000</v>
      </c>
      <c r="D435" t="s">
        <v>11</v>
      </c>
      <c r="E435" t="s">
        <v>19</v>
      </c>
      <c r="F435" t="s">
        <v>20</v>
      </c>
      <c r="G435" s="7">
        <v>43881</v>
      </c>
      <c r="H435" t="s">
        <v>21</v>
      </c>
      <c r="I435" t="s">
        <v>32</v>
      </c>
      <c r="J435" t="s">
        <v>69</v>
      </c>
    </row>
    <row r="436" spans="1:10" x14ac:dyDescent="0.3">
      <c r="A436" t="s">
        <v>55</v>
      </c>
      <c r="B436">
        <v>36</v>
      </c>
      <c r="C436" s="6" t="s">
        <v>68</v>
      </c>
      <c r="D436" t="s">
        <v>18</v>
      </c>
      <c r="E436" t="s">
        <v>12</v>
      </c>
      <c r="F436" t="s">
        <v>20</v>
      </c>
      <c r="G436" s="7">
        <v>43881</v>
      </c>
      <c r="H436" t="s">
        <v>27</v>
      </c>
      <c r="I436" t="s">
        <v>69</v>
      </c>
      <c r="J436" t="s">
        <v>23</v>
      </c>
    </row>
    <row r="437" spans="1:10" x14ac:dyDescent="0.3">
      <c r="A437" t="s">
        <v>59</v>
      </c>
      <c r="B437">
        <v>50</v>
      </c>
      <c r="C437" s="6">
        <v>55000</v>
      </c>
      <c r="D437" t="s">
        <v>11</v>
      </c>
      <c r="E437" t="s">
        <v>12</v>
      </c>
      <c r="F437" t="s">
        <v>20</v>
      </c>
      <c r="G437" s="7">
        <v>43881</v>
      </c>
      <c r="H437" t="s">
        <v>41</v>
      </c>
      <c r="I437" t="s">
        <v>69</v>
      </c>
      <c r="J437" t="s">
        <v>23</v>
      </c>
    </row>
    <row r="438" spans="1:10" x14ac:dyDescent="0.3">
      <c r="A438" t="s">
        <v>53</v>
      </c>
      <c r="B438">
        <v>50</v>
      </c>
      <c r="C438" s="6">
        <v>70000</v>
      </c>
      <c r="D438" t="s">
        <v>18</v>
      </c>
      <c r="E438" t="s">
        <v>30</v>
      </c>
      <c r="F438" t="s">
        <v>13</v>
      </c>
      <c r="G438" s="7">
        <v>43195</v>
      </c>
      <c r="H438" t="s">
        <v>41</v>
      </c>
      <c r="I438" t="s">
        <v>22</v>
      </c>
      <c r="J438" t="s">
        <v>69</v>
      </c>
    </row>
    <row r="439" spans="1:10" x14ac:dyDescent="0.3">
      <c r="A439" t="s">
        <v>54</v>
      </c>
      <c r="B439">
        <v>35</v>
      </c>
      <c r="C439" s="6">
        <v>65000</v>
      </c>
      <c r="D439" t="s">
        <v>18</v>
      </c>
      <c r="E439" t="s">
        <v>30</v>
      </c>
      <c r="F439" t="s">
        <v>44</v>
      </c>
      <c r="G439" s="7">
        <v>43549</v>
      </c>
      <c r="H439" t="s">
        <v>21</v>
      </c>
      <c r="I439" t="s">
        <v>15</v>
      </c>
      <c r="J439" t="s">
        <v>28</v>
      </c>
    </row>
    <row r="440" spans="1:10" x14ac:dyDescent="0.3">
      <c r="A440" t="s">
        <v>52</v>
      </c>
      <c r="B440">
        <v>50</v>
      </c>
      <c r="C440" s="6" t="s">
        <v>68</v>
      </c>
      <c r="D440" t="s">
        <v>11</v>
      </c>
      <c r="E440" t="s">
        <v>37</v>
      </c>
      <c r="F440" t="s">
        <v>43</v>
      </c>
      <c r="G440" s="7">
        <v>43881</v>
      </c>
      <c r="H440" t="s">
        <v>27</v>
      </c>
      <c r="I440" t="s">
        <v>69</v>
      </c>
      <c r="J440" t="s">
        <v>45</v>
      </c>
    </row>
    <row r="441" spans="1:10" x14ac:dyDescent="0.3">
      <c r="A441" t="s">
        <v>53</v>
      </c>
      <c r="B441">
        <v>40</v>
      </c>
      <c r="C441" s="6">
        <v>70000</v>
      </c>
      <c r="D441" t="s">
        <v>36</v>
      </c>
      <c r="E441" t="s">
        <v>26</v>
      </c>
      <c r="F441" t="s">
        <v>13</v>
      </c>
      <c r="G441" s="7">
        <v>43881</v>
      </c>
      <c r="H441" t="s">
        <v>21</v>
      </c>
      <c r="I441" t="s">
        <v>69</v>
      </c>
      <c r="J441" t="s">
        <v>45</v>
      </c>
    </row>
    <row r="442" spans="1:10" x14ac:dyDescent="0.3">
      <c r="A442" t="s">
        <v>51</v>
      </c>
      <c r="B442">
        <v>30</v>
      </c>
      <c r="C442" s="6">
        <v>60000</v>
      </c>
      <c r="D442" t="s">
        <v>11</v>
      </c>
      <c r="E442" t="s">
        <v>12</v>
      </c>
      <c r="F442" t="s">
        <v>44</v>
      </c>
      <c r="G442" s="7">
        <v>43881</v>
      </c>
      <c r="H442" t="s">
        <v>14</v>
      </c>
      <c r="I442" t="s">
        <v>69</v>
      </c>
      <c r="J442" t="s">
        <v>23</v>
      </c>
    </row>
    <row r="443" spans="1:10" x14ac:dyDescent="0.3">
      <c r="A443" t="s">
        <v>58</v>
      </c>
      <c r="B443">
        <v>25</v>
      </c>
      <c r="C443" s="6">
        <v>60000</v>
      </c>
      <c r="D443" t="s">
        <v>11</v>
      </c>
      <c r="E443" t="s">
        <v>26</v>
      </c>
      <c r="F443" t="s">
        <v>44</v>
      </c>
      <c r="G443" s="7">
        <v>43845</v>
      </c>
      <c r="H443" t="s">
        <v>41</v>
      </c>
      <c r="I443" t="s">
        <v>32</v>
      </c>
      <c r="J443" t="s">
        <v>69</v>
      </c>
    </row>
    <row r="444" spans="1:10" x14ac:dyDescent="0.3">
      <c r="A444" t="s">
        <v>59</v>
      </c>
      <c r="B444">
        <v>36</v>
      </c>
      <c r="C444" s="6">
        <v>65000</v>
      </c>
      <c r="D444" t="s">
        <v>18</v>
      </c>
      <c r="E444" t="s">
        <v>37</v>
      </c>
      <c r="F444" t="s">
        <v>39</v>
      </c>
      <c r="G444" s="7">
        <v>43195</v>
      </c>
      <c r="H444" t="s">
        <v>21</v>
      </c>
      <c r="I444" t="s">
        <v>69</v>
      </c>
      <c r="J444" t="s">
        <v>69</v>
      </c>
    </row>
    <row r="445" spans="1:10" x14ac:dyDescent="0.3">
      <c r="A445" t="s">
        <v>52</v>
      </c>
      <c r="B445">
        <v>36</v>
      </c>
      <c r="C445" s="6" t="s">
        <v>68</v>
      </c>
      <c r="D445" t="s">
        <v>11</v>
      </c>
      <c r="E445" t="s">
        <v>12</v>
      </c>
      <c r="F445" t="s">
        <v>39</v>
      </c>
      <c r="G445" s="7">
        <v>43845</v>
      </c>
      <c r="H445" t="s">
        <v>41</v>
      </c>
      <c r="I445" t="s">
        <v>69</v>
      </c>
      <c r="J445" t="s">
        <v>28</v>
      </c>
    </row>
    <row r="446" spans="1:10" x14ac:dyDescent="0.3">
      <c r="A446" t="s">
        <v>53</v>
      </c>
      <c r="B446">
        <v>35</v>
      </c>
      <c r="C446" s="6" t="s">
        <v>68</v>
      </c>
      <c r="D446" t="s">
        <v>18</v>
      </c>
      <c r="E446" t="s">
        <v>12</v>
      </c>
      <c r="F446" t="s">
        <v>13</v>
      </c>
      <c r="G446" s="7">
        <v>43195</v>
      </c>
      <c r="H446" t="s">
        <v>27</v>
      </c>
      <c r="I446" t="s">
        <v>32</v>
      </c>
      <c r="J446" t="s">
        <v>23</v>
      </c>
    </row>
    <row r="447" spans="1:10" x14ac:dyDescent="0.3">
      <c r="A447" t="s">
        <v>58</v>
      </c>
      <c r="B447">
        <v>36</v>
      </c>
      <c r="C447" s="6">
        <v>70000</v>
      </c>
      <c r="D447" t="s">
        <v>36</v>
      </c>
      <c r="E447" t="s">
        <v>26</v>
      </c>
      <c r="F447" t="s">
        <v>39</v>
      </c>
      <c r="G447" s="7">
        <v>43881</v>
      </c>
      <c r="H447" t="s">
        <v>31</v>
      </c>
      <c r="I447" t="s">
        <v>69</v>
      </c>
      <c r="J447" t="s">
        <v>45</v>
      </c>
    </row>
    <row r="448" spans="1:10" x14ac:dyDescent="0.3">
      <c r="A448" t="s">
        <v>56</v>
      </c>
      <c r="B448">
        <v>40</v>
      </c>
      <c r="C448" s="6">
        <v>70000</v>
      </c>
      <c r="D448" t="s">
        <v>36</v>
      </c>
      <c r="E448" t="s">
        <v>19</v>
      </c>
      <c r="F448" t="s">
        <v>44</v>
      </c>
      <c r="G448" s="7">
        <v>43549</v>
      </c>
      <c r="H448" t="s">
        <v>21</v>
      </c>
      <c r="I448" t="s">
        <v>69</v>
      </c>
      <c r="J448" t="s">
        <v>69</v>
      </c>
    </row>
    <row r="449" spans="1:10" x14ac:dyDescent="0.3">
      <c r="A449" t="s">
        <v>59</v>
      </c>
      <c r="B449">
        <v>50</v>
      </c>
      <c r="C449" s="6" t="s">
        <v>68</v>
      </c>
      <c r="D449" t="s">
        <v>36</v>
      </c>
      <c r="E449" t="s">
        <v>30</v>
      </c>
      <c r="F449" t="s">
        <v>39</v>
      </c>
      <c r="G449" s="7">
        <v>43800</v>
      </c>
      <c r="H449" t="s">
        <v>21</v>
      </c>
      <c r="I449" t="s">
        <v>69</v>
      </c>
      <c r="J449" t="s">
        <v>69</v>
      </c>
    </row>
    <row r="450" spans="1:10" x14ac:dyDescent="0.3">
      <c r="A450" t="s">
        <v>59</v>
      </c>
      <c r="B450">
        <v>40</v>
      </c>
      <c r="C450" s="6">
        <v>70000</v>
      </c>
      <c r="D450" t="s">
        <v>11</v>
      </c>
      <c r="E450" t="s">
        <v>19</v>
      </c>
      <c r="F450" t="s">
        <v>20</v>
      </c>
      <c r="G450" s="7">
        <v>43800</v>
      </c>
      <c r="H450" t="s">
        <v>41</v>
      </c>
      <c r="I450" t="s">
        <v>32</v>
      </c>
      <c r="J450" t="s">
        <v>23</v>
      </c>
    </row>
    <row r="451" spans="1:10" x14ac:dyDescent="0.3">
      <c r="A451" t="s">
        <v>56</v>
      </c>
      <c r="B451">
        <v>35</v>
      </c>
      <c r="C451" s="6" t="s">
        <v>68</v>
      </c>
      <c r="D451" t="s">
        <v>18</v>
      </c>
      <c r="E451" t="s">
        <v>26</v>
      </c>
      <c r="F451" t="s">
        <v>39</v>
      </c>
      <c r="G451" s="7">
        <v>43881</v>
      </c>
      <c r="H451" t="s">
        <v>27</v>
      </c>
      <c r="I451" t="s">
        <v>15</v>
      </c>
      <c r="J451" t="s">
        <v>69</v>
      </c>
    </row>
    <row r="452" spans="1:10" x14ac:dyDescent="0.3">
      <c r="A452" t="s">
        <v>54</v>
      </c>
      <c r="B452">
        <v>40</v>
      </c>
      <c r="C452" s="6">
        <v>55000</v>
      </c>
      <c r="D452" t="s">
        <v>36</v>
      </c>
      <c r="E452" t="s">
        <v>30</v>
      </c>
      <c r="F452" t="s">
        <v>44</v>
      </c>
      <c r="G452" s="7">
        <v>43845</v>
      </c>
      <c r="H452" t="s">
        <v>14</v>
      </c>
      <c r="I452" t="s">
        <v>22</v>
      </c>
      <c r="J452" t="s">
        <v>45</v>
      </c>
    </row>
    <row r="453" spans="1:10" x14ac:dyDescent="0.3">
      <c r="A453" t="s">
        <v>56</v>
      </c>
      <c r="B453">
        <v>50</v>
      </c>
      <c r="C453" s="6" t="s">
        <v>68</v>
      </c>
      <c r="D453" t="s">
        <v>18</v>
      </c>
      <c r="E453" t="s">
        <v>19</v>
      </c>
      <c r="F453" t="s">
        <v>13</v>
      </c>
      <c r="G453" s="7">
        <v>43549</v>
      </c>
      <c r="H453" t="s">
        <v>27</v>
      </c>
      <c r="I453" t="s">
        <v>69</v>
      </c>
      <c r="J453" t="s">
        <v>23</v>
      </c>
    </row>
    <row r="454" spans="1:10" x14ac:dyDescent="0.3">
      <c r="A454" t="s">
        <v>59</v>
      </c>
      <c r="B454">
        <v>30</v>
      </c>
      <c r="C454" s="6">
        <v>60000</v>
      </c>
      <c r="D454" t="s">
        <v>18</v>
      </c>
      <c r="E454" t="s">
        <v>30</v>
      </c>
      <c r="F454" t="s">
        <v>43</v>
      </c>
      <c r="G454" s="7">
        <v>43195</v>
      </c>
      <c r="H454" t="s">
        <v>21</v>
      </c>
      <c r="I454" t="s">
        <v>32</v>
      </c>
      <c r="J454" t="s">
        <v>69</v>
      </c>
    </row>
    <row r="455" spans="1:10" x14ac:dyDescent="0.3">
      <c r="A455" t="s">
        <v>59</v>
      </c>
      <c r="B455">
        <v>35</v>
      </c>
      <c r="C455" s="6">
        <v>70000</v>
      </c>
      <c r="D455" t="s">
        <v>36</v>
      </c>
      <c r="E455" t="s">
        <v>12</v>
      </c>
      <c r="F455" t="s">
        <v>39</v>
      </c>
      <c r="G455" s="7">
        <v>43881</v>
      </c>
      <c r="H455" t="s">
        <v>14</v>
      </c>
      <c r="I455" t="s">
        <v>69</v>
      </c>
      <c r="J455" t="s">
        <v>69</v>
      </c>
    </row>
    <row r="456" spans="1:10" x14ac:dyDescent="0.3">
      <c r="A456" t="s">
        <v>53</v>
      </c>
      <c r="B456">
        <v>30</v>
      </c>
      <c r="C456" s="6" t="s">
        <v>68</v>
      </c>
      <c r="D456" t="s">
        <v>36</v>
      </c>
      <c r="E456" t="s">
        <v>19</v>
      </c>
      <c r="F456" t="s">
        <v>44</v>
      </c>
      <c r="G456" s="7">
        <v>43549</v>
      </c>
      <c r="H456" t="s">
        <v>27</v>
      </c>
      <c r="I456" t="s">
        <v>32</v>
      </c>
      <c r="J456" t="s">
        <v>28</v>
      </c>
    </row>
    <row r="457" spans="1:10" x14ac:dyDescent="0.3">
      <c r="A457" t="s">
        <v>55</v>
      </c>
      <c r="B457">
        <v>25</v>
      </c>
      <c r="C457" s="6" t="s">
        <v>68</v>
      </c>
      <c r="D457" t="s">
        <v>18</v>
      </c>
      <c r="E457" t="s">
        <v>30</v>
      </c>
      <c r="F457" t="s">
        <v>43</v>
      </c>
      <c r="G457" s="7">
        <v>43549</v>
      </c>
      <c r="H457" t="s">
        <v>31</v>
      </c>
      <c r="I457" t="s">
        <v>22</v>
      </c>
      <c r="J457" t="s">
        <v>45</v>
      </c>
    </row>
    <row r="458" spans="1:10" x14ac:dyDescent="0.3">
      <c r="A458" t="s">
        <v>58</v>
      </c>
      <c r="B458">
        <v>30</v>
      </c>
      <c r="C458" s="6">
        <v>70000</v>
      </c>
      <c r="D458" t="s">
        <v>36</v>
      </c>
      <c r="E458" t="s">
        <v>30</v>
      </c>
      <c r="F458" t="s">
        <v>43</v>
      </c>
      <c r="G458" s="7">
        <v>43195</v>
      </c>
      <c r="H458" t="s">
        <v>41</v>
      </c>
      <c r="I458" t="s">
        <v>22</v>
      </c>
      <c r="J458" t="s">
        <v>45</v>
      </c>
    </row>
    <row r="459" spans="1:10" x14ac:dyDescent="0.3">
      <c r="A459" t="s">
        <v>56</v>
      </c>
      <c r="B459">
        <v>25</v>
      </c>
      <c r="C459" s="6">
        <v>55000</v>
      </c>
      <c r="D459" t="s">
        <v>18</v>
      </c>
      <c r="E459" t="s">
        <v>30</v>
      </c>
      <c r="F459" t="s">
        <v>20</v>
      </c>
      <c r="G459" s="7">
        <v>43549</v>
      </c>
      <c r="H459" t="s">
        <v>27</v>
      </c>
      <c r="I459" t="s">
        <v>15</v>
      </c>
      <c r="J459" t="s">
        <v>69</v>
      </c>
    </row>
    <row r="460" spans="1:10" x14ac:dyDescent="0.3">
      <c r="A460" t="s">
        <v>58</v>
      </c>
      <c r="B460">
        <v>25</v>
      </c>
      <c r="C460" s="6">
        <v>55000</v>
      </c>
      <c r="D460" t="s">
        <v>18</v>
      </c>
      <c r="E460" t="s">
        <v>19</v>
      </c>
      <c r="F460" t="s">
        <v>43</v>
      </c>
      <c r="G460" s="7">
        <v>43845</v>
      </c>
      <c r="H460" t="s">
        <v>27</v>
      </c>
      <c r="I460" t="s">
        <v>15</v>
      </c>
      <c r="J460" t="s">
        <v>23</v>
      </c>
    </row>
    <row r="461" spans="1:10" x14ac:dyDescent="0.3">
      <c r="A461" t="s">
        <v>56</v>
      </c>
      <c r="B461">
        <v>30</v>
      </c>
      <c r="C461" s="6">
        <v>70000</v>
      </c>
      <c r="D461" t="s">
        <v>36</v>
      </c>
      <c r="E461" t="s">
        <v>37</v>
      </c>
      <c r="F461" t="s">
        <v>44</v>
      </c>
      <c r="G461" s="7">
        <v>43845</v>
      </c>
      <c r="H461" t="s">
        <v>31</v>
      </c>
      <c r="I461" t="s">
        <v>22</v>
      </c>
      <c r="J461" t="s">
        <v>69</v>
      </c>
    </row>
    <row r="462" spans="1:10" x14ac:dyDescent="0.3">
      <c r="A462" t="s">
        <v>51</v>
      </c>
      <c r="B462">
        <v>35</v>
      </c>
      <c r="C462" s="6">
        <v>50000</v>
      </c>
      <c r="D462" t="s">
        <v>11</v>
      </c>
      <c r="E462" t="s">
        <v>19</v>
      </c>
      <c r="F462" t="s">
        <v>44</v>
      </c>
      <c r="G462" s="7">
        <v>43845</v>
      </c>
      <c r="H462" t="s">
        <v>21</v>
      </c>
      <c r="I462" t="s">
        <v>69</v>
      </c>
      <c r="J462" t="s">
        <v>69</v>
      </c>
    </row>
    <row r="463" spans="1:10" x14ac:dyDescent="0.3">
      <c r="A463" t="s">
        <v>59</v>
      </c>
      <c r="B463">
        <v>50</v>
      </c>
      <c r="C463" s="6">
        <v>70000</v>
      </c>
      <c r="D463" t="s">
        <v>36</v>
      </c>
      <c r="E463" t="s">
        <v>26</v>
      </c>
      <c r="F463" t="s">
        <v>39</v>
      </c>
      <c r="G463" s="7">
        <v>43549</v>
      </c>
      <c r="H463" t="s">
        <v>41</v>
      </c>
      <c r="I463" t="s">
        <v>69</v>
      </c>
      <c r="J463" t="s">
        <v>28</v>
      </c>
    </row>
    <row r="464" spans="1:10" x14ac:dyDescent="0.3">
      <c r="A464" t="s">
        <v>55</v>
      </c>
      <c r="B464">
        <v>40</v>
      </c>
      <c r="C464" s="6">
        <v>70000</v>
      </c>
      <c r="D464" t="s">
        <v>11</v>
      </c>
      <c r="E464" t="s">
        <v>19</v>
      </c>
      <c r="F464" t="s">
        <v>39</v>
      </c>
      <c r="G464" s="7">
        <v>43845</v>
      </c>
      <c r="H464" t="s">
        <v>27</v>
      </c>
      <c r="I464" t="s">
        <v>69</v>
      </c>
      <c r="J464" t="s">
        <v>28</v>
      </c>
    </row>
    <row r="465" spans="1:10" x14ac:dyDescent="0.3">
      <c r="A465" t="s">
        <v>53</v>
      </c>
      <c r="B465">
        <v>40</v>
      </c>
      <c r="C465" s="6">
        <v>55000</v>
      </c>
      <c r="D465" t="s">
        <v>18</v>
      </c>
      <c r="E465" t="s">
        <v>30</v>
      </c>
      <c r="F465" t="s">
        <v>39</v>
      </c>
      <c r="G465" s="7">
        <v>43195</v>
      </c>
      <c r="H465" t="s">
        <v>14</v>
      </c>
      <c r="I465" t="s">
        <v>15</v>
      </c>
      <c r="J465" t="s">
        <v>28</v>
      </c>
    </row>
    <row r="466" spans="1:10" x14ac:dyDescent="0.3">
      <c r="A466" t="s">
        <v>55</v>
      </c>
      <c r="B466">
        <v>50</v>
      </c>
      <c r="C466" s="6">
        <v>55000</v>
      </c>
      <c r="D466" t="s">
        <v>18</v>
      </c>
      <c r="E466" t="s">
        <v>12</v>
      </c>
      <c r="F466" t="s">
        <v>43</v>
      </c>
      <c r="G466" s="7">
        <v>43549</v>
      </c>
      <c r="H466" t="s">
        <v>27</v>
      </c>
      <c r="I466" t="s">
        <v>69</v>
      </c>
      <c r="J466" t="s">
        <v>69</v>
      </c>
    </row>
    <row r="467" spans="1:10" x14ac:dyDescent="0.3">
      <c r="A467" t="s">
        <v>55</v>
      </c>
      <c r="B467">
        <v>25</v>
      </c>
      <c r="C467" s="6">
        <v>70000</v>
      </c>
      <c r="D467" t="s">
        <v>11</v>
      </c>
      <c r="E467" t="s">
        <v>19</v>
      </c>
      <c r="F467" t="s">
        <v>43</v>
      </c>
      <c r="G467" s="7">
        <v>43800</v>
      </c>
      <c r="H467" t="s">
        <v>41</v>
      </c>
      <c r="I467" t="s">
        <v>15</v>
      </c>
      <c r="J467" t="s">
        <v>69</v>
      </c>
    </row>
    <row r="468" spans="1:10" x14ac:dyDescent="0.3">
      <c r="A468" t="s">
        <v>55</v>
      </c>
      <c r="B468">
        <v>25</v>
      </c>
      <c r="C468" s="6">
        <v>70000</v>
      </c>
      <c r="D468" t="s">
        <v>18</v>
      </c>
      <c r="E468" t="s">
        <v>19</v>
      </c>
      <c r="F468" t="s">
        <v>20</v>
      </c>
      <c r="G468" s="7">
        <v>43549</v>
      </c>
      <c r="H468" t="s">
        <v>27</v>
      </c>
      <c r="I468" t="s">
        <v>22</v>
      </c>
      <c r="J468" t="s">
        <v>45</v>
      </c>
    </row>
    <row r="469" spans="1:10" x14ac:dyDescent="0.3">
      <c r="A469" t="s">
        <v>58</v>
      </c>
      <c r="B469">
        <v>35</v>
      </c>
      <c r="C469" s="6">
        <v>70000</v>
      </c>
      <c r="D469" t="s">
        <v>11</v>
      </c>
      <c r="E469" t="s">
        <v>30</v>
      </c>
      <c r="F469" t="s">
        <v>39</v>
      </c>
      <c r="G469" s="7">
        <v>43195</v>
      </c>
      <c r="H469" t="s">
        <v>31</v>
      </c>
      <c r="I469" t="s">
        <v>69</v>
      </c>
      <c r="J469" t="s">
        <v>23</v>
      </c>
    </row>
    <row r="470" spans="1:10" x14ac:dyDescent="0.3">
      <c r="A470" t="s">
        <v>56</v>
      </c>
      <c r="B470">
        <v>36</v>
      </c>
      <c r="C470" s="6">
        <v>55000</v>
      </c>
      <c r="D470" t="s">
        <v>11</v>
      </c>
      <c r="E470" t="s">
        <v>12</v>
      </c>
      <c r="F470" t="s">
        <v>13</v>
      </c>
      <c r="G470" s="7">
        <v>43800</v>
      </c>
      <c r="H470" t="s">
        <v>27</v>
      </c>
      <c r="I470" t="s">
        <v>69</v>
      </c>
      <c r="J470" t="s">
        <v>45</v>
      </c>
    </row>
    <row r="471" spans="1:10" x14ac:dyDescent="0.3">
      <c r="A471" t="s">
        <v>60</v>
      </c>
      <c r="B471">
        <v>30</v>
      </c>
      <c r="C471" s="6">
        <v>70000</v>
      </c>
      <c r="D471" t="s">
        <v>18</v>
      </c>
      <c r="E471" t="s">
        <v>12</v>
      </c>
      <c r="F471" t="s">
        <v>20</v>
      </c>
      <c r="G471" s="7">
        <v>43549</v>
      </c>
      <c r="H471" t="s">
        <v>27</v>
      </c>
      <c r="I471" t="s">
        <v>22</v>
      </c>
      <c r="J471" t="s">
        <v>69</v>
      </c>
    </row>
    <row r="472" spans="1:10" x14ac:dyDescent="0.3">
      <c r="A472" t="s">
        <v>51</v>
      </c>
      <c r="B472">
        <v>25</v>
      </c>
      <c r="C472" s="6">
        <v>70000</v>
      </c>
      <c r="D472" t="s">
        <v>11</v>
      </c>
      <c r="E472" t="s">
        <v>26</v>
      </c>
      <c r="F472" t="s">
        <v>13</v>
      </c>
      <c r="G472" s="7">
        <v>43845</v>
      </c>
      <c r="H472" t="s">
        <v>14</v>
      </c>
      <c r="I472" t="s">
        <v>69</v>
      </c>
      <c r="J472" t="s">
        <v>45</v>
      </c>
    </row>
    <row r="473" spans="1:10" x14ac:dyDescent="0.3">
      <c r="A473" t="s">
        <v>52</v>
      </c>
      <c r="B473">
        <v>40</v>
      </c>
      <c r="C473" s="6">
        <v>65000</v>
      </c>
      <c r="D473" t="s">
        <v>36</v>
      </c>
      <c r="E473" t="s">
        <v>19</v>
      </c>
      <c r="F473" t="s">
        <v>43</v>
      </c>
      <c r="G473" s="7">
        <v>43881</v>
      </c>
      <c r="H473" t="s">
        <v>31</v>
      </c>
      <c r="I473" t="s">
        <v>69</v>
      </c>
      <c r="J473" t="s">
        <v>69</v>
      </c>
    </row>
    <row r="474" spans="1:10" x14ac:dyDescent="0.3">
      <c r="A474" t="s">
        <v>55</v>
      </c>
      <c r="B474">
        <v>35</v>
      </c>
      <c r="C474" s="6">
        <v>50000</v>
      </c>
      <c r="D474" t="s">
        <v>36</v>
      </c>
      <c r="E474" t="s">
        <v>12</v>
      </c>
      <c r="F474" t="s">
        <v>20</v>
      </c>
      <c r="G474" s="7">
        <v>43881</v>
      </c>
      <c r="H474" t="s">
        <v>31</v>
      </c>
      <c r="I474" t="s">
        <v>32</v>
      </c>
      <c r="J474" t="s">
        <v>28</v>
      </c>
    </row>
    <row r="475" spans="1:10" x14ac:dyDescent="0.3">
      <c r="A475" t="s">
        <v>54</v>
      </c>
      <c r="B475">
        <v>30</v>
      </c>
      <c r="C475" s="6">
        <v>60000</v>
      </c>
      <c r="D475" t="s">
        <v>18</v>
      </c>
      <c r="E475" t="s">
        <v>12</v>
      </c>
      <c r="F475" t="s">
        <v>20</v>
      </c>
      <c r="G475" s="7">
        <v>43845</v>
      </c>
      <c r="H475" t="s">
        <v>27</v>
      </c>
      <c r="I475" t="s">
        <v>15</v>
      </c>
      <c r="J475" t="s">
        <v>69</v>
      </c>
    </row>
    <row r="476" spans="1:10" x14ac:dyDescent="0.3">
      <c r="A476" t="s">
        <v>58</v>
      </c>
      <c r="B476">
        <v>35</v>
      </c>
      <c r="C476" s="6">
        <v>50000</v>
      </c>
      <c r="D476" t="s">
        <v>18</v>
      </c>
      <c r="E476" t="s">
        <v>37</v>
      </c>
      <c r="F476" t="s">
        <v>44</v>
      </c>
      <c r="G476" s="7">
        <v>43881</v>
      </c>
      <c r="H476" t="s">
        <v>14</v>
      </c>
      <c r="I476" t="s">
        <v>69</v>
      </c>
      <c r="J476" t="s">
        <v>69</v>
      </c>
    </row>
    <row r="477" spans="1:10" x14ac:dyDescent="0.3">
      <c r="A477" t="s">
        <v>53</v>
      </c>
      <c r="B477">
        <v>30</v>
      </c>
      <c r="C477" s="6">
        <v>65000</v>
      </c>
      <c r="D477" t="s">
        <v>11</v>
      </c>
      <c r="E477" t="s">
        <v>37</v>
      </c>
      <c r="F477" t="s">
        <v>43</v>
      </c>
      <c r="G477" s="7">
        <v>43881</v>
      </c>
      <c r="H477" t="s">
        <v>27</v>
      </c>
      <c r="I477" t="s">
        <v>22</v>
      </c>
      <c r="J477" t="s">
        <v>45</v>
      </c>
    </row>
    <row r="478" spans="1:10" x14ac:dyDescent="0.3">
      <c r="A478" t="s">
        <v>52</v>
      </c>
      <c r="B478">
        <v>30</v>
      </c>
      <c r="C478" s="6">
        <v>60000</v>
      </c>
      <c r="D478" t="s">
        <v>11</v>
      </c>
      <c r="E478" t="s">
        <v>12</v>
      </c>
      <c r="F478" t="s">
        <v>43</v>
      </c>
      <c r="G478" s="7">
        <v>43845</v>
      </c>
      <c r="H478" t="s">
        <v>27</v>
      </c>
      <c r="I478" t="s">
        <v>69</v>
      </c>
      <c r="J478" t="s">
        <v>69</v>
      </c>
    </row>
    <row r="479" spans="1:10" x14ac:dyDescent="0.3">
      <c r="A479" t="s">
        <v>60</v>
      </c>
      <c r="B479">
        <v>50</v>
      </c>
      <c r="C479" s="6">
        <v>70000</v>
      </c>
      <c r="D479" t="s">
        <v>11</v>
      </c>
      <c r="E479" t="s">
        <v>26</v>
      </c>
      <c r="F479" t="s">
        <v>20</v>
      </c>
      <c r="G479" s="7">
        <v>43845</v>
      </c>
      <c r="H479" t="s">
        <v>41</v>
      </c>
      <c r="I479" t="s">
        <v>69</v>
      </c>
      <c r="J479" t="s">
        <v>45</v>
      </c>
    </row>
    <row r="480" spans="1:10" x14ac:dyDescent="0.3">
      <c r="A480" t="s">
        <v>54</v>
      </c>
      <c r="B480">
        <v>25</v>
      </c>
      <c r="C480" s="6">
        <v>65000</v>
      </c>
      <c r="D480" t="s">
        <v>11</v>
      </c>
      <c r="E480" t="s">
        <v>12</v>
      </c>
      <c r="F480" t="s">
        <v>43</v>
      </c>
      <c r="G480" s="7">
        <v>43549</v>
      </c>
      <c r="H480" t="s">
        <v>41</v>
      </c>
      <c r="I480" t="s">
        <v>15</v>
      </c>
      <c r="J480" t="s">
        <v>45</v>
      </c>
    </row>
    <row r="481" spans="1:10" x14ac:dyDescent="0.3">
      <c r="A481" t="s">
        <v>60</v>
      </c>
      <c r="B481">
        <v>35</v>
      </c>
      <c r="C481" s="6">
        <v>70000</v>
      </c>
      <c r="D481" t="s">
        <v>36</v>
      </c>
      <c r="E481" t="s">
        <v>30</v>
      </c>
      <c r="F481" t="s">
        <v>20</v>
      </c>
      <c r="G481" s="7">
        <v>43549</v>
      </c>
      <c r="H481" t="s">
        <v>14</v>
      </c>
      <c r="I481" t="s">
        <v>32</v>
      </c>
      <c r="J481" t="s">
        <v>69</v>
      </c>
    </row>
    <row r="482" spans="1:10" x14ac:dyDescent="0.3">
      <c r="A482" t="s">
        <v>52</v>
      </c>
      <c r="B482">
        <v>35</v>
      </c>
      <c r="C482" s="6">
        <v>55000</v>
      </c>
      <c r="D482" t="s">
        <v>36</v>
      </c>
      <c r="E482" t="s">
        <v>19</v>
      </c>
      <c r="F482" t="s">
        <v>44</v>
      </c>
      <c r="G482" s="7">
        <v>43845</v>
      </c>
      <c r="H482" t="s">
        <v>21</v>
      </c>
      <c r="I482" t="s">
        <v>15</v>
      </c>
      <c r="J482" t="s">
        <v>45</v>
      </c>
    </row>
    <row r="483" spans="1:10" x14ac:dyDescent="0.3">
      <c r="A483" t="s">
        <v>55</v>
      </c>
      <c r="B483">
        <v>50</v>
      </c>
      <c r="C483" s="6" t="s">
        <v>68</v>
      </c>
      <c r="D483" t="s">
        <v>18</v>
      </c>
      <c r="E483" t="s">
        <v>26</v>
      </c>
      <c r="F483" t="s">
        <v>20</v>
      </c>
      <c r="G483" s="7">
        <v>43195</v>
      </c>
      <c r="H483" t="s">
        <v>41</v>
      </c>
      <c r="I483" t="s">
        <v>69</v>
      </c>
      <c r="J483" t="s">
        <v>28</v>
      </c>
    </row>
    <row r="484" spans="1:10" x14ac:dyDescent="0.3">
      <c r="A484" t="s">
        <v>54</v>
      </c>
      <c r="B484">
        <v>40</v>
      </c>
      <c r="C484" s="6">
        <v>65000</v>
      </c>
      <c r="D484" t="s">
        <v>11</v>
      </c>
      <c r="E484" t="s">
        <v>30</v>
      </c>
      <c r="F484" t="s">
        <v>43</v>
      </c>
      <c r="G484" s="7">
        <v>43881</v>
      </c>
      <c r="H484" t="s">
        <v>21</v>
      </c>
      <c r="I484" t="s">
        <v>69</v>
      </c>
      <c r="J484" t="s">
        <v>45</v>
      </c>
    </row>
    <row r="485" spans="1:10" x14ac:dyDescent="0.3">
      <c r="A485" t="s">
        <v>60</v>
      </c>
      <c r="B485">
        <v>40</v>
      </c>
      <c r="C485" s="6">
        <v>55000</v>
      </c>
      <c r="D485" t="s">
        <v>11</v>
      </c>
      <c r="E485" t="s">
        <v>26</v>
      </c>
      <c r="F485" t="s">
        <v>43</v>
      </c>
      <c r="G485" s="7">
        <v>43549</v>
      </c>
      <c r="H485" t="s">
        <v>31</v>
      </c>
      <c r="I485" t="s">
        <v>69</v>
      </c>
      <c r="J485" t="s">
        <v>28</v>
      </c>
    </row>
    <row r="486" spans="1:10" x14ac:dyDescent="0.3">
      <c r="A486" t="s">
        <v>53</v>
      </c>
      <c r="B486">
        <v>25</v>
      </c>
      <c r="C486" s="6">
        <v>65000</v>
      </c>
      <c r="D486" t="s">
        <v>18</v>
      </c>
      <c r="E486" t="s">
        <v>30</v>
      </c>
      <c r="F486" t="s">
        <v>20</v>
      </c>
      <c r="G486" s="7">
        <v>43881</v>
      </c>
      <c r="H486" t="s">
        <v>41</v>
      </c>
      <c r="I486" t="s">
        <v>69</v>
      </c>
      <c r="J486" t="s">
        <v>69</v>
      </c>
    </row>
    <row r="487" spans="1:10" x14ac:dyDescent="0.3">
      <c r="A487" t="s">
        <v>56</v>
      </c>
      <c r="B487">
        <v>25</v>
      </c>
      <c r="C487" s="6">
        <v>65000</v>
      </c>
      <c r="D487" t="s">
        <v>11</v>
      </c>
      <c r="E487" t="s">
        <v>19</v>
      </c>
      <c r="F487" t="s">
        <v>20</v>
      </c>
      <c r="G487" s="7">
        <v>43800</v>
      </c>
      <c r="H487" t="s">
        <v>41</v>
      </c>
      <c r="I487" t="s">
        <v>22</v>
      </c>
      <c r="J487" t="s">
        <v>69</v>
      </c>
    </row>
    <row r="488" spans="1:10" x14ac:dyDescent="0.3">
      <c r="A488" t="s">
        <v>59</v>
      </c>
      <c r="B488">
        <v>36</v>
      </c>
      <c r="C488" s="6">
        <v>55000</v>
      </c>
      <c r="D488" t="s">
        <v>11</v>
      </c>
      <c r="E488" t="s">
        <v>19</v>
      </c>
      <c r="F488" t="s">
        <v>20</v>
      </c>
      <c r="G488" s="7">
        <v>43845</v>
      </c>
      <c r="H488" t="s">
        <v>14</v>
      </c>
      <c r="I488" t="s">
        <v>32</v>
      </c>
      <c r="J488" t="s">
        <v>28</v>
      </c>
    </row>
    <row r="489" spans="1:10" x14ac:dyDescent="0.3">
      <c r="A489" t="s">
        <v>56</v>
      </c>
      <c r="B489">
        <v>50</v>
      </c>
      <c r="C489" s="6">
        <v>60000</v>
      </c>
      <c r="D489" t="s">
        <v>11</v>
      </c>
      <c r="E489" t="s">
        <v>37</v>
      </c>
      <c r="F489" t="s">
        <v>39</v>
      </c>
      <c r="G489" s="7">
        <v>43195</v>
      </c>
      <c r="H489" t="s">
        <v>21</v>
      </c>
      <c r="I489" t="s">
        <v>69</v>
      </c>
      <c r="J489" t="s">
        <v>69</v>
      </c>
    </row>
    <row r="490" spans="1:10" x14ac:dyDescent="0.3">
      <c r="A490" t="s">
        <v>52</v>
      </c>
      <c r="B490">
        <v>40</v>
      </c>
      <c r="C490" s="6">
        <v>50000</v>
      </c>
      <c r="D490" t="s">
        <v>11</v>
      </c>
      <c r="E490" t="s">
        <v>30</v>
      </c>
      <c r="F490" t="s">
        <v>43</v>
      </c>
      <c r="G490" s="7">
        <v>43800</v>
      </c>
      <c r="H490" t="s">
        <v>41</v>
      </c>
      <c r="I490" t="s">
        <v>69</v>
      </c>
      <c r="J490" t="s">
        <v>69</v>
      </c>
    </row>
    <row r="491" spans="1:10" x14ac:dyDescent="0.3">
      <c r="A491" t="s">
        <v>58</v>
      </c>
      <c r="B491">
        <v>30</v>
      </c>
      <c r="C491" s="6">
        <v>70000</v>
      </c>
      <c r="D491" t="s">
        <v>11</v>
      </c>
      <c r="E491" t="s">
        <v>37</v>
      </c>
      <c r="F491" t="s">
        <v>43</v>
      </c>
      <c r="G491" s="7">
        <v>43800</v>
      </c>
      <c r="H491" t="s">
        <v>41</v>
      </c>
      <c r="I491" t="s">
        <v>69</v>
      </c>
      <c r="J491" t="s">
        <v>28</v>
      </c>
    </row>
    <row r="492" spans="1:10" x14ac:dyDescent="0.3">
      <c r="A492" t="s">
        <v>59</v>
      </c>
      <c r="B492">
        <v>35</v>
      </c>
      <c r="C492" s="6">
        <v>65000</v>
      </c>
      <c r="D492" t="s">
        <v>18</v>
      </c>
      <c r="E492" t="s">
        <v>30</v>
      </c>
      <c r="F492" t="s">
        <v>39</v>
      </c>
      <c r="G492" s="7">
        <v>43800</v>
      </c>
      <c r="H492" t="s">
        <v>14</v>
      </c>
      <c r="I492" t="s">
        <v>32</v>
      </c>
      <c r="J492" t="s">
        <v>69</v>
      </c>
    </row>
    <row r="493" spans="1:10" x14ac:dyDescent="0.3">
      <c r="A493" t="s">
        <v>51</v>
      </c>
      <c r="B493">
        <v>25</v>
      </c>
      <c r="C493" s="6">
        <v>70000</v>
      </c>
      <c r="D493" t="s">
        <v>11</v>
      </c>
      <c r="E493" t="s">
        <v>37</v>
      </c>
      <c r="F493" t="s">
        <v>20</v>
      </c>
      <c r="G493" s="7">
        <v>43845</v>
      </c>
      <c r="H493" t="s">
        <v>14</v>
      </c>
      <c r="I493" t="s">
        <v>15</v>
      </c>
      <c r="J493" t="s">
        <v>23</v>
      </c>
    </row>
    <row r="494" spans="1:10" x14ac:dyDescent="0.3">
      <c r="A494" t="s">
        <v>53</v>
      </c>
      <c r="B494">
        <v>35</v>
      </c>
      <c r="C494" s="6" t="s">
        <v>68</v>
      </c>
      <c r="D494" t="s">
        <v>18</v>
      </c>
      <c r="E494" t="s">
        <v>19</v>
      </c>
      <c r="F494" t="s">
        <v>44</v>
      </c>
      <c r="G494" s="7">
        <v>43549</v>
      </c>
      <c r="H494" t="s">
        <v>21</v>
      </c>
      <c r="I494" t="s">
        <v>32</v>
      </c>
      <c r="J494" t="s">
        <v>69</v>
      </c>
    </row>
    <row r="495" spans="1:10" x14ac:dyDescent="0.3">
      <c r="A495" t="s">
        <v>51</v>
      </c>
      <c r="B495">
        <v>35</v>
      </c>
      <c r="C495" s="6">
        <v>55000</v>
      </c>
      <c r="D495" t="s">
        <v>11</v>
      </c>
      <c r="E495" t="s">
        <v>26</v>
      </c>
      <c r="F495" t="s">
        <v>20</v>
      </c>
      <c r="G495" s="7">
        <v>43845</v>
      </c>
      <c r="H495" t="s">
        <v>31</v>
      </c>
      <c r="I495" t="s">
        <v>32</v>
      </c>
      <c r="J495" t="s">
        <v>69</v>
      </c>
    </row>
    <row r="496" spans="1:10" x14ac:dyDescent="0.3">
      <c r="A496" t="s">
        <v>54</v>
      </c>
      <c r="B496">
        <v>36</v>
      </c>
      <c r="C496" s="6">
        <v>70000</v>
      </c>
      <c r="D496" t="s">
        <v>36</v>
      </c>
      <c r="E496" t="s">
        <v>37</v>
      </c>
      <c r="F496" t="s">
        <v>20</v>
      </c>
      <c r="G496" s="7">
        <v>43549</v>
      </c>
      <c r="H496" t="s">
        <v>31</v>
      </c>
      <c r="I496" t="s">
        <v>32</v>
      </c>
      <c r="J496" t="s">
        <v>69</v>
      </c>
    </row>
    <row r="497" spans="1:10" x14ac:dyDescent="0.3">
      <c r="A497" t="s">
        <v>59</v>
      </c>
      <c r="B497">
        <v>40</v>
      </c>
      <c r="C497" s="6">
        <v>55000</v>
      </c>
      <c r="D497" t="s">
        <v>36</v>
      </c>
      <c r="E497" t="s">
        <v>30</v>
      </c>
      <c r="F497" t="s">
        <v>39</v>
      </c>
      <c r="G497" s="7">
        <v>43800</v>
      </c>
      <c r="H497" t="s">
        <v>27</v>
      </c>
      <c r="I497" t="s">
        <v>69</v>
      </c>
      <c r="J497" t="s">
        <v>69</v>
      </c>
    </row>
    <row r="498" spans="1:10" x14ac:dyDescent="0.3">
      <c r="A498" t="s">
        <v>51</v>
      </c>
      <c r="B498">
        <v>25</v>
      </c>
      <c r="C498" s="6">
        <v>70000</v>
      </c>
      <c r="D498" t="s">
        <v>36</v>
      </c>
      <c r="E498" t="s">
        <v>30</v>
      </c>
      <c r="F498" t="s">
        <v>43</v>
      </c>
      <c r="G498" s="7">
        <v>43800</v>
      </c>
      <c r="H498" t="s">
        <v>41</v>
      </c>
      <c r="I498" t="s">
        <v>69</v>
      </c>
      <c r="J498" t="s">
        <v>45</v>
      </c>
    </row>
    <row r="499" spans="1:10" x14ac:dyDescent="0.3">
      <c r="A499" t="s">
        <v>51</v>
      </c>
      <c r="B499">
        <v>35</v>
      </c>
      <c r="C499" s="6">
        <v>50000</v>
      </c>
      <c r="D499" t="s">
        <v>36</v>
      </c>
      <c r="E499" t="s">
        <v>19</v>
      </c>
      <c r="F499" t="s">
        <v>20</v>
      </c>
      <c r="G499" s="7">
        <v>43195</v>
      </c>
      <c r="H499" t="s">
        <v>21</v>
      </c>
      <c r="I499" t="s">
        <v>22</v>
      </c>
      <c r="J499" t="s">
        <v>69</v>
      </c>
    </row>
    <row r="500" spans="1:10" x14ac:dyDescent="0.3">
      <c r="A500" t="s">
        <v>60</v>
      </c>
      <c r="B500">
        <v>25</v>
      </c>
      <c r="C500" s="6">
        <v>50000</v>
      </c>
      <c r="D500" t="s">
        <v>18</v>
      </c>
      <c r="E500" t="s">
        <v>30</v>
      </c>
      <c r="F500" t="s">
        <v>43</v>
      </c>
      <c r="G500" s="7">
        <v>43549</v>
      </c>
      <c r="H500" t="s">
        <v>41</v>
      </c>
      <c r="I500" t="s">
        <v>15</v>
      </c>
      <c r="J500" t="s">
        <v>69</v>
      </c>
    </row>
    <row r="501" spans="1:10" x14ac:dyDescent="0.3">
      <c r="A501" t="s">
        <v>56</v>
      </c>
      <c r="B501">
        <v>30</v>
      </c>
      <c r="C501" s="6">
        <v>50000</v>
      </c>
      <c r="D501" t="s">
        <v>18</v>
      </c>
      <c r="E501" t="s">
        <v>12</v>
      </c>
      <c r="F501" t="s">
        <v>13</v>
      </c>
      <c r="G501" s="7">
        <v>43800</v>
      </c>
      <c r="H501" t="s">
        <v>21</v>
      </c>
      <c r="I501" t="s">
        <v>69</v>
      </c>
      <c r="J501" t="s">
        <v>28</v>
      </c>
    </row>
    <row r="502" spans="1:10" x14ac:dyDescent="0.3">
      <c r="A502" t="s">
        <v>60</v>
      </c>
      <c r="B502">
        <v>36</v>
      </c>
      <c r="C502" s="6">
        <v>50000</v>
      </c>
      <c r="D502" t="s">
        <v>11</v>
      </c>
      <c r="E502" t="s">
        <v>26</v>
      </c>
      <c r="F502" t="s">
        <v>43</v>
      </c>
      <c r="G502" s="7">
        <v>43881</v>
      </c>
      <c r="H502" t="s">
        <v>21</v>
      </c>
      <c r="I502" t="s">
        <v>32</v>
      </c>
      <c r="J502" t="s">
        <v>23</v>
      </c>
    </row>
    <row r="503" spans="1:10" x14ac:dyDescent="0.3">
      <c r="A503" t="s">
        <v>59</v>
      </c>
      <c r="B503">
        <v>30</v>
      </c>
      <c r="C503" s="6">
        <v>50000</v>
      </c>
      <c r="D503" t="s">
        <v>36</v>
      </c>
      <c r="E503" t="s">
        <v>37</v>
      </c>
      <c r="F503" t="s">
        <v>44</v>
      </c>
      <c r="G503" s="7">
        <v>43195</v>
      </c>
      <c r="H503" t="s">
        <v>21</v>
      </c>
      <c r="I503" t="s">
        <v>15</v>
      </c>
      <c r="J503" t="s">
        <v>45</v>
      </c>
    </row>
    <row r="504" spans="1:10" x14ac:dyDescent="0.3">
      <c r="A504" t="s">
        <v>59</v>
      </c>
      <c r="B504">
        <v>25</v>
      </c>
      <c r="C504" s="6">
        <v>50000</v>
      </c>
      <c r="D504" t="s">
        <v>18</v>
      </c>
      <c r="E504" t="s">
        <v>26</v>
      </c>
      <c r="F504" t="s">
        <v>44</v>
      </c>
      <c r="G504" s="7">
        <v>43845</v>
      </c>
      <c r="H504" t="s">
        <v>41</v>
      </c>
      <c r="I504" t="s">
        <v>15</v>
      </c>
      <c r="J504" t="s">
        <v>28</v>
      </c>
    </row>
    <row r="505" spans="1:10" x14ac:dyDescent="0.3">
      <c r="A505" t="s">
        <v>52</v>
      </c>
      <c r="B505">
        <v>25</v>
      </c>
      <c r="C505" s="6">
        <v>55000</v>
      </c>
      <c r="D505" t="s">
        <v>11</v>
      </c>
      <c r="E505" t="s">
        <v>19</v>
      </c>
      <c r="F505" t="s">
        <v>20</v>
      </c>
      <c r="G505" s="7">
        <v>43195</v>
      </c>
      <c r="H505" t="s">
        <v>14</v>
      </c>
      <c r="I505" t="s">
        <v>22</v>
      </c>
      <c r="J505" t="s">
        <v>23</v>
      </c>
    </row>
    <row r="506" spans="1:10" x14ac:dyDescent="0.3">
      <c r="A506" t="s">
        <v>60</v>
      </c>
      <c r="B506">
        <v>40</v>
      </c>
      <c r="C506" s="6">
        <v>65000</v>
      </c>
      <c r="D506" t="s">
        <v>11</v>
      </c>
      <c r="E506" t="s">
        <v>37</v>
      </c>
      <c r="F506" t="s">
        <v>43</v>
      </c>
      <c r="G506" s="7">
        <v>43881</v>
      </c>
      <c r="H506" t="s">
        <v>41</v>
      </c>
      <c r="I506" t="s">
        <v>69</v>
      </c>
      <c r="J506" t="s">
        <v>23</v>
      </c>
    </row>
    <row r="507" spans="1:10" x14ac:dyDescent="0.3">
      <c r="A507" t="s">
        <v>57</v>
      </c>
      <c r="B507">
        <v>35</v>
      </c>
      <c r="C507" s="6">
        <v>70000</v>
      </c>
      <c r="D507" t="s">
        <v>18</v>
      </c>
      <c r="E507" t="s">
        <v>37</v>
      </c>
      <c r="F507" t="s">
        <v>20</v>
      </c>
      <c r="G507" s="7">
        <v>43549</v>
      </c>
      <c r="H507" t="s">
        <v>21</v>
      </c>
      <c r="I507" t="s">
        <v>32</v>
      </c>
      <c r="J507" t="s">
        <v>23</v>
      </c>
    </row>
    <row r="508" spans="1:10" x14ac:dyDescent="0.3">
      <c r="A508" t="s">
        <v>56</v>
      </c>
      <c r="B508">
        <v>35</v>
      </c>
      <c r="C508" s="6">
        <v>50000</v>
      </c>
      <c r="D508" t="s">
        <v>36</v>
      </c>
      <c r="E508" t="s">
        <v>12</v>
      </c>
      <c r="F508" t="s">
        <v>39</v>
      </c>
      <c r="G508" s="7">
        <v>43845</v>
      </c>
      <c r="H508" t="s">
        <v>27</v>
      </c>
      <c r="I508" t="s">
        <v>69</v>
      </c>
      <c r="J508" t="s">
        <v>28</v>
      </c>
    </row>
    <row r="509" spans="1:10" x14ac:dyDescent="0.3">
      <c r="A509" t="s">
        <v>59</v>
      </c>
      <c r="B509">
        <v>30</v>
      </c>
      <c r="C509" s="6">
        <v>55000</v>
      </c>
      <c r="D509" t="s">
        <v>11</v>
      </c>
      <c r="E509" t="s">
        <v>19</v>
      </c>
      <c r="F509" t="s">
        <v>44</v>
      </c>
      <c r="G509" s="7">
        <v>43845</v>
      </c>
      <c r="H509" t="s">
        <v>31</v>
      </c>
      <c r="I509" t="s">
        <v>22</v>
      </c>
      <c r="J509" t="s">
        <v>45</v>
      </c>
    </row>
    <row r="510" spans="1:10" x14ac:dyDescent="0.3">
      <c r="A510" t="s">
        <v>52</v>
      </c>
      <c r="B510">
        <v>36</v>
      </c>
      <c r="C510" s="6">
        <v>55000</v>
      </c>
      <c r="D510" t="s">
        <v>36</v>
      </c>
      <c r="E510" t="s">
        <v>30</v>
      </c>
      <c r="F510" t="s">
        <v>20</v>
      </c>
      <c r="G510" s="7">
        <v>43549</v>
      </c>
      <c r="H510" t="s">
        <v>21</v>
      </c>
      <c r="I510" t="s">
        <v>69</v>
      </c>
      <c r="J510" t="s">
        <v>45</v>
      </c>
    </row>
    <row r="511" spans="1:10" x14ac:dyDescent="0.3">
      <c r="A511" t="s">
        <v>60</v>
      </c>
      <c r="B511">
        <v>50</v>
      </c>
      <c r="C511" s="6">
        <v>55000</v>
      </c>
      <c r="D511" t="s">
        <v>36</v>
      </c>
      <c r="E511" t="s">
        <v>12</v>
      </c>
      <c r="F511" t="s">
        <v>39</v>
      </c>
      <c r="G511" s="7">
        <v>43195</v>
      </c>
      <c r="H511" t="s">
        <v>27</v>
      </c>
      <c r="I511" t="s">
        <v>15</v>
      </c>
      <c r="J511" t="s">
        <v>23</v>
      </c>
    </row>
    <row r="512" spans="1:10" x14ac:dyDescent="0.3">
      <c r="A512" t="s">
        <v>56</v>
      </c>
      <c r="B512">
        <v>35</v>
      </c>
      <c r="C512" s="6">
        <v>65000</v>
      </c>
      <c r="D512" t="s">
        <v>36</v>
      </c>
      <c r="E512" t="s">
        <v>12</v>
      </c>
      <c r="F512" t="s">
        <v>20</v>
      </c>
      <c r="G512" s="7">
        <v>43800</v>
      </c>
      <c r="H512" t="s">
        <v>14</v>
      </c>
      <c r="I512" t="s">
        <v>32</v>
      </c>
      <c r="J512" t="s">
        <v>28</v>
      </c>
    </row>
    <row r="513" spans="1:10" x14ac:dyDescent="0.3">
      <c r="A513" t="s">
        <v>60</v>
      </c>
      <c r="B513">
        <v>40</v>
      </c>
      <c r="C513" s="6">
        <v>70000</v>
      </c>
      <c r="D513" t="s">
        <v>11</v>
      </c>
      <c r="E513" t="s">
        <v>26</v>
      </c>
      <c r="F513" t="s">
        <v>43</v>
      </c>
      <c r="G513" s="7">
        <v>43195</v>
      </c>
      <c r="H513" t="s">
        <v>21</v>
      </c>
      <c r="I513" t="s">
        <v>69</v>
      </c>
      <c r="J513" t="s">
        <v>23</v>
      </c>
    </row>
    <row r="514" spans="1:10" x14ac:dyDescent="0.3">
      <c r="A514" t="s">
        <v>51</v>
      </c>
      <c r="B514">
        <v>30</v>
      </c>
      <c r="C514" s="6">
        <v>65000</v>
      </c>
      <c r="D514" t="s">
        <v>36</v>
      </c>
      <c r="E514" t="s">
        <v>26</v>
      </c>
      <c r="F514" t="s">
        <v>43</v>
      </c>
      <c r="G514" s="7">
        <v>43881</v>
      </c>
      <c r="H514" t="s">
        <v>27</v>
      </c>
      <c r="I514" t="s">
        <v>22</v>
      </c>
      <c r="J514" t="s">
        <v>69</v>
      </c>
    </row>
    <row r="515" spans="1:10" x14ac:dyDescent="0.3">
      <c r="A515" t="s">
        <v>52</v>
      </c>
      <c r="B515">
        <v>30</v>
      </c>
      <c r="C515" s="6">
        <v>60000</v>
      </c>
      <c r="D515" t="s">
        <v>11</v>
      </c>
      <c r="E515" t="s">
        <v>26</v>
      </c>
      <c r="F515" t="s">
        <v>43</v>
      </c>
      <c r="G515" s="7">
        <v>43800</v>
      </c>
      <c r="H515" t="s">
        <v>21</v>
      </c>
      <c r="I515" t="s">
        <v>69</v>
      </c>
      <c r="J515" t="s">
        <v>45</v>
      </c>
    </row>
    <row r="516" spans="1:10" x14ac:dyDescent="0.3">
      <c r="A516" t="s">
        <v>56</v>
      </c>
      <c r="B516">
        <v>50</v>
      </c>
      <c r="C516" s="6">
        <v>55000</v>
      </c>
      <c r="D516" t="s">
        <v>36</v>
      </c>
      <c r="E516" t="s">
        <v>12</v>
      </c>
      <c r="F516" t="s">
        <v>43</v>
      </c>
      <c r="G516" s="7">
        <v>43195</v>
      </c>
      <c r="H516" t="s">
        <v>41</v>
      </c>
      <c r="I516" t="s">
        <v>15</v>
      </c>
      <c r="J516" t="s">
        <v>69</v>
      </c>
    </row>
    <row r="517" spans="1:10" x14ac:dyDescent="0.3">
      <c r="A517" t="s">
        <v>55</v>
      </c>
      <c r="B517">
        <v>40</v>
      </c>
      <c r="C517" s="6">
        <v>60000</v>
      </c>
      <c r="D517" t="s">
        <v>11</v>
      </c>
      <c r="E517" t="s">
        <v>30</v>
      </c>
      <c r="F517" t="s">
        <v>13</v>
      </c>
      <c r="G517" s="7">
        <v>43549</v>
      </c>
      <c r="H517" t="s">
        <v>27</v>
      </c>
      <c r="I517" t="s">
        <v>32</v>
      </c>
      <c r="J517" t="s">
        <v>23</v>
      </c>
    </row>
    <row r="518" spans="1:10" x14ac:dyDescent="0.3">
      <c r="A518" t="s">
        <v>54</v>
      </c>
      <c r="B518">
        <v>36</v>
      </c>
      <c r="C518" s="6" t="s">
        <v>68</v>
      </c>
      <c r="D518" t="s">
        <v>36</v>
      </c>
      <c r="E518" t="s">
        <v>37</v>
      </c>
      <c r="F518" t="s">
        <v>39</v>
      </c>
      <c r="G518" s="7">
        <v>43881</v>
      </c>
      <c r="H518" t="s">
        <v>41</v>
      </c>
      <c r="I518" t="s">
        <v>69</v>
      </c>
      <c r="J518" t="s">
        <v>69</v>
      </c>
    </row>
    <row r="519" spans="1:10" x14ac:dyDescent="0.3">
      <c r="A519" t="s">
        <v>54</v>
      </c>
      <c r="B519">
        <v>40</v>
      </c>
      <c r="C519" s="6">
        <v>50000</v>
      </c>
      <c r="D519" t="s">
        <v>18</v>
      </c>
      <c r="E519" t="s">
        <v>26</v>
      </c>
      <c r="F519" t="s">
        <v>39</v>
      </c>
      <c r="G519" s="7">
        <v>43881</v>
      </c>
      <c r="H519" t="s">
        <v>41</v>
      </c>
      <c r="I519" t="s">
        <v>69</v>
      </c>
      <c r="J519" t="s">
        <v>45</v>
      </c>
    </row>
    <row r="520" spans="1:10" x14ac:dyDescent="0.3">
      <c r="A520" t="s">
        <v>56</v>
      </c>
      <c r="B520">
        <v>36</v>
      </c>
      <c r="C520" s="6">
        <v>50000</v>
      </c>
      <c r="D520" t="s">
        <v>36</v>
      </c>
      <c r="E520" t="s">
        <v>30</v>
      </c>
      <c r="F520" t="s">
        <v>43</v>
      </c>
      <c r="G520" s="7">
        <v>43881</v>
      </c>
      <c r="H520" t="s">
        <v>27</v>
      </c>
      <c r="I520" t="s">
        <v>15</v>
      </c>
      <c r="J520" t="s">
        <v>28</v>
      </c>
    </row>
    <row r="521" spans="1:10" x14ac:dyDescent="0.3">
      <c r="A521" t="s">
        <v>60</v>
      </c>
      <c r="B521">
        <v>40</v>
      </c>
      <c r="C521" s="6">
        <v>65000</v>
      </c>
      <c r="D521" t="s">
        <v>36</v>
      </c>
      <c r="E521" t="s">
        <v>19</v>
      </c>
      <c r="F521" t="s">
        <v>13</v>
      </c>
      <c r="G521" s="7">
        <v>43800</v>
      </c>
      <c r="H521" t="s">
        <v>31</v>
      </c>
      <c r="I521" t="s">
        <v>69</v>
      </c>
      <c r="J521" t="s">
        <v>45</v>
      </c>
    </row>
    <row r="522" spans="1:10" x14ac:dyDescent="0.3">
      <c r="A522" t="s">
        <v>52</v>
      </c>
      <c r="B522">
        <v>40</v>
      </c>
      <c r="C522" s="6">
        <v>70000</v>
      </c>
      <c r="D522" t="s">
        <v>11</v>
      </c>
      <c r="E522" t="s">
        <v>26</v>
      </c>
      <c r="F522" t="s">
        <v>43</v>
      </c>
      <c r="G522" s="7">
        <v>43845</v>
      </c>
      <c r="H522" t="s">
        <v>27</v>
      </c>
      <c r="I522" t="s">
        <v>22</v>
      </c>
      <c r="J522" t="s">
        <v>28</v>
      </c>
    </row>
    <row r="523" spans="1:10" x14ac:dyDescent="0.3">
      <c r="A523" t="s">
        <v>54</v>
      </c>
      <c r="B523">
        <v>25</v>
      </c>
      <c r="C523" s="6">
        <v>60000</v>
      </c>
      <c r="D523" t="s">
        <v>11</v>
      </c>
      <c r="E523" t="s">
        <v>37</v>
      </c>
      <c r="F523" t="s">
        <v>13</v>
      </c>
      <c r="G523" s="7">
        <v>43800</v>
      </c>
      <c r="H523" t="s">
        <v>31</v>
      </c>
      <c r="I523" t="s">
        <v>69</v>
      </c>
      <c r="J523" t="s">
        <v>28</v>
      </c>
    </row>
    <row r="524" spans="1:10" x14ac:dyDescent="0.3">
      <c r="A524" t="s">
        <v>52</v>
      </c>
      <c r="B524">
        <v>30</v>
      </c>
      <c r="C524" s="6">
        <v>70000</v>
      </c>
      <c r="D524" t="s">
        <v>36</v>
      </c>
      <c r="E524" t="s">
        <v>19</v>
      </c>
      <c r="F524" t="s">
        <v>43</v>
      </c>
      <c r="G524" s="7">
        <v>43195</v>
      </c>
      <c r="H524" t="s">
        <v>21</v>
      </c>
      <c r="I524" t="s">
        <v>69</v>
      </c>
      <c r="J524" t="s">
        <v>23</v>
      </c>
    </row>
    <row r="525" spans="1:10" x14ac:dyDescent="0.3">
      <c r="A525" t="s">
        <v>54</v>
      </c>
      <c r="B525">
        <v>40</v>
      </c>
      <c r="C525" s="6">
        <v>65000</v>
      </c>
      <c r="D525" t="s">
        <v>18</v>
      </c>
      <c r="E525" t="s">
        <v>19</v>
      </c>
      <c r="F525" t="s">
        <v>44</v>
      </c>
      <c r="G525" s="7">
        <v>43845</v>
      </c>
      <c r="H525" t="s">
        <v>21</v>
      </c>
      <c r="I525" t="s">
        <v>69</v>
      </c>
      <c r="J525" t="s">
        <v>23</v>
      </c>
    </row>
    <row r="526" spans="1:10" x14ac:dyDescent="0.3">
      <c r="A526" t="s">
        <v>51</v>
      </c>
      <c r="B526">
        <v>50</v>
      </c>
      <c r="C526" s="6">
        <v>50000</v>
      </c>
      <c r="D526" t="s">
        <v>18</v>
      </c>
      <c r="E526" t="s">
        <v>37</v>
      </c>
      <c r="F526" t="s">
        <v>44</v>
      </c>
      <c r="G526" s="7">
        <v>43195</v>
      </c>
      <c r="H526" t="s">
        <v>27</v>
      </c>
      <c r="I526" t="s">
        <v>15</v>
      </c>
      <c r="J526" t="s">
        <v>45</v>
      </c>
    </row>
    <row r="527" spans="1:10" x14ac:dyDescent="0.3">
      <c r="A527" t="s">
        <v>60</v>
      </c>
      <c r="B527">
        <v>40</v>
      </c>
      <c r="C527" s="6">
        <v>70000</v>
      </c>
      <c r="D527" t="s">
        <v>11</v>
      </c>
      <c r="E527" t="s">
        <v>26</v>
      </c>
      <c r="F527" t="s">
        <v>20</v>
      </c>
      <c r="G527" s="7">
        <v>43845</v>
      </c>
      <c r="H527" t="s">
        <v>21</v>
      </c>
      <c r="I527" t="s">
        <v>15</v>
      </c>
      <c r="J527" t="s">
        <v>69</v>
      </c>
    </row>
    <row r="528" spans="1:10" x14ac:dyDescent="0.3">
      <c r="A528" t="s">
        <v>51</v>
      </c>
      <c r="B528">
        <v>35</v>
      </c>
      <c r="C528" s="6">
        <v>70000</v>
      </c>
      <c r="D528" t="s">
        <v>18</v>
      </c>
      <c r="E528" t="s">
        <v>12</v>
      </c>
      <c r="F528" t="s">
        <v>43</v>
      </c>
      <c r="G528" s="7">
        <v>43800</v>
      </c>
      <c r="H528" t="s">
        <v>14</v>
      </c>
      <c r="I528" t="s">
        <v>22</v>
      </c>
      <c r="J528" t="s">
        <v>45</v>
      </c>
    </row>
    <row r="529" spans="1:10" x14ac:dyDescent="0.3">
      <c r="A529" t="s">
        <v>54</v>
      </c>
      <c r="B529">
        <v>30</v>
      </c>
      <c r="C529" s="6">
        <v>50000</v>
      </c>
      <c r="D529" t="s">
        <v>36</v>
      </c>
      <c r="E529" t="s">
        <v>37</v>
      </c>
      <c r="F529" t="s">
        <v>39</v>
      </c>
      <c r="G529" s="7">
        <v>43881</v>
      </c>
      <c r="H529" t="s">
        <v>41</v>
      </c>
      <c r="I529" t="s">
        <v>69</v>
      </c>
      <c r="J529" t="s">
        <v>69</v>
      </c>
    </row>
    <row r="530" spans="1:10" x14ac:dyDescent="0.3">
      <c r="A530" t="s">
        <v>55</v>
      </c>
      <c r="B530">
        <v>35</v>
      </c>
      <c r="C530" s="6">
        <v>60000</v>
      </c>
      <c r="D530" t="s">
        <v>11</v>
      </c>
      <c r="E530" t="s">
        <v>37</v>
      </c>
      <c r="F530" t="s">
        <v>20</v>
      </c>
      <c r="G530" s="7">
        <v>43549</v>
      </c>
      <c r="H530" t="s">
        <v>41</v>
      </c>
      <c r="I530" t="s">
        <v>15</v>
      </c>
      <c r="J530" t="s">
        <v>28</v>
      </c>
    </row>
    <row r="531" spans="1:10" x14ac:dyDescent="0.3">
      <c r="A531" t="s">
        <v>55</v>
      </c>
      <c r="B531">
        <v>30</v>
      </c>
      <c r="C531" s="6">
        <v>50000</v>
      </c>
      <c r="D531" t="s">
        <v>36</v>
      </c>
      <c r="E531" t="s">
        <v>37</v>
      </c>
      <c r="F531" t="s">
        <v>44</v>
      </c>
      <c r="G531" s="7">
        <v>43881</v>
      </c>
      <c r="H531" t="s">
        <v>31</v>
      </c>
      <c r="I531" t="s">
        <v>22</v>
      </c>
      <c r="J531" t="s">
        <v>28</v>
      </c>
    </row>
    <row r="532" spans="1:10" x14ac:dyDescent="0.3">
      <c r="A532" t="s">
        <v>51</v>
      </c>
      <c r="B532">
        <v>35</v>
      </c>
      <c r="C532" s="6">
        <v>70000</v>
      </c>
      <c r="D532" t="s">
        <v>11</v>
      </c>
      <c r="E532" t="s">
        <v>19</v>
      </c>
      <c r="F532" t="s">
        <v>43</v>
      </c>
      <c r="G532" s="7">
        <v>43800</v>
      </c>
      <c r="H532" t="s">
        <v>21</v>
      </c>
      <c r="I532" t="s">
        <v>22</v>
      </c>
      <c r="J532" t="s">
        <v>23</v>
      </c>
    </row>
    <row r="533" spans="1:10" x14ac:dyDescent="0.3">
      <c r="A533" t="s">
        <v>55</v>
      </c>
      <c r="B533">
        <v>40</v>
      </c>
      <c r="C533" s="6">
        <v>60000</v>
      </c>
      <c r="D533" t="s">
        <v>11</v>
      </c>
      <c r="E533" t="s">
        <v>30</v>
      </c>
      <c r="F533" t="s">
        <v>20</v>
      </c>
      <c r="G533" s="7">
        <v>43845</v>
      </c>
      <c r="H533" t="s">
        <v>31</v>
      </c>
      <c r="I533" t="s">
        <v>69</v>
      </c>
      <c r="J533" t="s">
        <v>69</v>
      </c>
    </row>
    <row r="534" spans="1:10" x14ac:dyDescent="0.3">
      <c r="A534" t="s">
        <v>54</v>
      </c>
      <c r="B534">
        <v>40</v>
      </c>
      <c r="C534" s="6">
        <v>60000</v>
      </c>
      <c r="D534" t="s">
        <v>11</v>
      </c>
      <c r="E534" t="s">
        <v>12</v>
      </c>
      <c r="F534" t="s">
        <v>43</v>
      </c>
      <c r="G534" s="7">
        <v>43881</v>
      </c>
      <c r="H534" t="s">
        <v>41</v>
      </c>
      <c r="I534" t="s">
        <v>32</v>
      </c>
      <c r="J534" t="s">
        <v>23</v>
      </c>
    </row>
    <row r="535" spans="1:10" x14ac:dyDescent="0.3">
      <c r="A535" t="s">
        <v>56</v>
      </c>
      <c r="B535">
        <v>25</v>
      </c>
      <c r="C535" s="6">
        <v>50000</v>
      </c>
      <c r="D535" t="s">
        <v>11</v>
      </c>
      <c r="E535" t="s">
        <v>26</v>
      </c>
      <c r="F535" t="s">
        <v>44</v>
      </c>
      <c r="G535" s="7">
        <v>43800</v>
      </c>
      <c r="H535" t="s">
        <v>41</v>
      </c>
      <c r="I535" t="s">
        <v>69</v>
      </c>
      <c r="J535" t="s">
        <v>69</v>
      </c>
    </row>
    <row r="536" spans="1:10" x14ac:dyDescent="0.3">
      <c r="A536" t="s">
        <v>51</v>
      </c>
      <c r="B536">
        <v>50</v>
      </c>
      <c r="C536" s="6">
        <v>70000</v>
      </c>
      <c r="D536" t="s">
        <v>18</v>
      </c>
      <c r="E536" t="s">
        <v>26</v>
      </c>
      <c r="F536" t="s">
        <v>20</v>
      </c>
      <c r="G536" s="7">
        <v>43195</v>
      </c>
      <c r="H536" t="s">
        <v>21</v>
      </c>
      <c r="I536" t="s">
        <v>32</v>
      </c>
      <c r="J536" t="s">
        <v>45</v>
      </c>
    </row>
    <row r="537" spans="1:10" x14ac:dyDescent="0.3">
      <c r="A537" t="s">
        <v>58</v>
      </c>
      <c r="B537">
        <v>35</v>
      </c>
      <c r="C537" s="6">
        <v>65000</v>
      </c>
      <c r="D537" t="s">
        <v>36</v>
      </c>
      <c r="E537" t="s">
        <v>30</v>
      </c>
      <c r="F537" t="s">
        <v>44</v>
      </c>
      <c r="G537" s="7">
        <v>43549</v>
      </c>
      <c r="H537" t="s">
        <v>14</v>
      </c>
      <c r="I537" t="s">
        <v>22</v>
      </c>
      <c r="J537" t="s">
        <v>45</v>
      </c>
    </row>
    <row r="538" spans="1:10" x14ac:dyDescent="0.3">
      <c r="A538" t="s">
        <v>60</v>
      </c>
      <c r="B538">
        <v>36</v>
      </c>
      <c r="C538" s="6">
        <v>70000</v>
      </c>
      <c r="D538" t="s">
        <v>36</v>
      </c>
      <c r="E538" t="s">
        <v>37</v>
      </c>
      <c r="F538" t="s">
        <v>13</v>
      </c>
      <c r="G538" s="7">
        <v>43881</v>
      </c>
      <c r="H538" t="s">
        <v>14</v>
      </c>
      <c r="I538" t="s">
        <v>15</v>
      </c>
      <c r="J538" t="s">
        <v>69</v>
      </c>
    </row>
    <row r="539" spans="1:10" x14ac:dyDescent="0.3">
      <c r="A539" t="s">
        <v>55</v>
      </c>
      <c r="B539">
        <v>25</v>
      </c>
      <c r="C539" s="6">
        <v>55000</v>
      </c>
      <c r="D539" t="s">
        <v>36</v>
      </c>
      <c r="E539" t="s">
        <v>12</v>
      </c>
      <c r="F539" t="s">
        <v>44</v>
      </c>
      <c r="G539" s="7">
        <v>43845</v>
      </c>
      <c r="H539" t="s">
        <v>21</v>
      </c>
      <c r="I539" t="s">
        <v>69</v>
      </c>
      <c r="J539" t="s">
        <v>23</v>
      </c>
    </row>
    <row r="540" spans="1:10" x14ac:dyDescent="0.3">
      <c r="A540" t="s">
        <v>55</v>
      </c>
      <c r="B540">
        <v>35</v>
      </c>
      <c r="C540" s="6" t="s">
        <v>68</v>
      </c>
      <c r="D540" t="s">
        <v>11</v>
      </c>
      <c r="E540" t="s">
        <v>26</v>
      </c>
      <c r="F540" t="s">
        <v>43</v>
      </c>
      <c r="G540" s="7">
        <v>43195</v>
      </c>
      <c r="H540" t="s">
        <v>21</v>
      </c>
      <c r="I540" t="s">
        <v>22</v>
      </c>
      <c r="J540" t="s">
        <v>23</v>
      </c>
    </row>
    <row r="541" spans="1:10" x14ac:dyDescent="0.3">
      <c r="A541" t="s">
        <v>59</v>
      </c>
      <c r="B541">
        <v>35</v>
      </c>
      <c r="C541" s="6">
        <v>65000</v>
      </c>
      <c r="D541" t="s">
        <v>18</v>
      </c>
      <c r="E541" t="s">
        <v>26</v>
      </c>
      <c r="F541" t="s">
        <v>39</v>
      </c>
      <c r="G541" s="7">
        <v>43800</v>
      </c>
      <c r="H541" t="s">
        <v>31</v>
      </c>
      <c r="I541" t="s">
        <v>15</v>
      </c>
      <c r="J541" t="s">
        <v>69</v>
      </c>
    </row>
    <row r="542" spans="1:10" x14ac:dyDescent="0.3">
      <c r="A542" t="s">
        <v>57</v>
      </c>
      <c r="B542">
        <v>25</v>
      </c>
      <c r="C542" s="6">
        <v>60000</v>
      </c>
      <c r="D542" t="s">
        <v>36</v>
      </c>
      <c r="E542" t="s">
        <v>37</v>
      </c>
      <c r="F542" t="s">
        <v>44</v>
      </c>
      <c r="G542" s="7">
        <v>43549</v>
      </c>
      <c r="H542" t="s">
        <v>21</v>
      </c>
      <c r="I542" t="s">
        <v>22</v>
      </c>
      <c r="J542" t="s">
        <v>45</v>
      </c>
    </row>
    <row r="543" spans="1:10" x14ac:dyDescent="0.3">
      <c r="A543" t="s">
        <v>51</v>
      </c>
      <c r="B543">
        <v>40</v>
      </c>
      <c r="C543" s="6">
        <v>65000</v>
      </c>
      <c r="D543" t="s">
        <v>18</v>
      </c>
      <c r="E543" t="s">
        <v>30</v>
      </c>
      <c r="F543" t="s">
        <v>39</v>
      </c>
      <c r="G543" s="7">
        <v>43845</v>
      </c>
      <c r="H543" t="s">
        <v>14</v>
      </c>
      <c r="I543" t="s">
        <v>69</v>
      </c>
      <c r="J543" t="s">
        <v>23</v>
      </c>
    </row>
    <row r="544" spans="1:10" x14ac:dyDescent="0.3">
      <c r="A544" t="s">
        <v>53</v>
      </c>
      <c r="B544">
        <v>35</v>
      </c>
      <c r="C544" s="6">
        <v>60000</v>
      </c>
      <c r="D544" t="s">
        <v>11</v>
      </c>
      <c r="E544" t="s">
        <v>12</v>
      </c>
      <c r="F544" t="s">
        <v>13</v>
      </c>
      <c r="G544" s="7">
        <v>43800</v>
      </c>
      <c r="H544" t="s">
        <v>21</v>
      </c>
      <c r="I544" t="s">
        <v>32</v>
      </c>
      <c r="J544" t="s">
        <v>69</v>
      </c>
    </row>
    <row r="545" spans="1:10" x14ac:dyDescent="0.3">
      <c r="A545" t="s">
        <v>55</v>
      </c>
      <c r="B545">
        <v>40</v>
      </c>
      <c r="C545" s="6">
        <v>60000</v>
      </c>
      <c r="D545" t="s">
        <v>36</v>
      </c>
      <c r="E545" t="s">
        <v>30</v>
      </c>
      <c r="F545" t="s">
        <v>20</v>
      </c>
      <c r="G545" s="7">
        <v>43800</v>
      </c>
      <c r="H545" t="s">
        <v>31</v>
      </c>
      <c r="I545" t="s">
        <v>22</v>
      </c>
      <c r="J545" t="s">
        <v>45</v>
      </c>
    </row>
    <row r="546" spans="1:10" x14ac:dyDescent="0.3">
      <c r="A546" t="s">
        <v>60</v>
      </c>
      <c r="B546">
        <v>25</v>
      </c>
      <c r="C546" s="6">
        <v>65000</v>
      </c>
      <c r="D546" t="s">
        <v>18</v>
      </c>
      <c r="E546" t="s">
        <v>30</v>
      </c>
      <c r="F546" t="s">
        <v>20</v>
      </c>
      <c r="G546" s="7">
        <v>43881</v>
      </c>
      <c r="H546" t="s">
        <v>31</v>
      </c>
      <c r="I546" t="s">
        <v>15</v>
      </c>
      <c r="J546" t="s">
        <v>69</v>
      </c>
    </row>
    <row r="547" spans="1:10" x14ac:dyDescent="0.3">
      <c r="A547" t="s">
        <v>58</v>
      </c>
      <c r="B547">
        <v>40</v>
      </c>
      <c r="C547" s="6">
        <v>60000</v>
      </c>
      <c r="D547" t="s">
        <v>11</v>
      </c>
      <c r="E547" t="s">
        <v>12</v>
      </c>
      <c r="F547" t="s">
        <v>39</v>
      </c>
      <c r="G547" s="7">
        <v>43881</v>
      </c>
      <c r="H547" t="s">
        <v>31</v>
      </c>
      <c r="I547" t="s">
        <v>69</v>
      </c>
      <c r="J547" t="s">
        <v>69</v>
      </c>
    </row>
    <row r="548" spans="1:10" x14ac:dyDescent="0.3">
      <c r="A548" t="s">
        <v>55</v>
      </c>
      <c r="B548">
        <v>30</v>
      </c>
      <c r="C548" s="6">
        <v>60000</v>
      </c>
      <c r="D548" t="s">
        <v>18</v>
      </c>
      <c r="E548" t="s">
        <v>12</v>
      </c>
      <c r="F548" t="s">
        <v>20</v>
      </c>
      <c r="G548" s="7">
        <v>43845</v>
      </c>
      <c r="H548" t="s">
        <v>31</v>
      </c>
      <c r="I548" t="s">
        <v>69</v>
      </c>
      <c r="J548" t="s">
        <v>28</v>
      </c>
    </row>
    <row r="549" spans="1:10" x14ac:dyDescent="0.3">
      <c r="A549" t="s">
        <v>58</v>
      </c>
      <c r="B549">
        <v>36</v>
      </c>
      <c r="C549" s="6">
        <v>55000</v>
      </c>
      <c r="D549" t="s">
        <v>36</v>
      </c>
      <c r="E549" t="s">
        <v>26</v>
      </c>
      <c r="F549" t="s">
        <v>44</v>
      </c>
      <c r="G549" s="7">
        <v>43800</v>
      </c>
      <c r="H549" t="s">
        <v>27</v>
      </c>
      <c r="I549" t="s">
        <v>69</v>
      </c>
      <c r="J549" t="s">
        <v>69</v>
      </c>
    </row>
    <row r="550" spans="1:10" x14ac:dyDescent="0.3">
      <c r="A550" t="s">
        <v>54</v>
      </c>
      <c r="B550">
        <v>35</v>
      </c>
      <c r="C550" s="6">
        <v>70000</v>
      </c>
      <c r="D550" t="s">
        <v>36</v>
      </c>
      <c r="E550" t="s">
        <v>26</v>
      </c>
      <c r="F550" t="s">
        <v>39</v>
      </c>
      <c r="G550" s="7">
        <v>43881</v>
      </c>
      <c r="H550" t="s">
        <v>21</v>
      </c>
      <c r="I550" t="s">
        <v>32</v>
      </c>
      <c r="J550" t="s">
        <v>69</v>
      </c>
    </row>
    <row r="551" spans="1:10" x14ac:dyDescent="0.3">
      <c r="A551" t="s">
        <v>54</v>
      </c>
      <c r="B551">
        <v>50</v>
      </c>
      <c r="C551" s="6">
        <v>70000</v>
      </c>
      <c r="D551" t="s">
        <v>11</v>
      </c>
      <c r="E551" t="s">
        <v>12</v>
      </c>
      <c r="F551" t="s">
        <v>43</v>
      </c>
      <c r="G551" s="7">
        <v>43549</v>
      </c>
      <c r="H551" t="s">
        <v>41</v>
      </c>
      <c r="I551" t="s">
        <v>69</v>
      </c>
      <c r="J551" t="s">
        <v>23</v>
      </c>
    </row>
    <row r="552" spans="1:10" x14ac:dyDescent="0.3">
      <c r="A552" t="s">
        <v>57</v>
      </c>
      <c r="B552">
        <v>36</v>
      </c>
      <c r="C552" s="6" t="s">
        <v>68</v>
      </c>
      <c r="D552" t="s">
        <v>11</v>
      </c>
      <c r="E552" t="s">
        <v>19</v>
      </c>
      <c r="F552" t="s">
        <v>44</v>
      </c>
      <c r="G552" s="7">
        <v>43549</v>
      </c>
      <c r="H552" t="s">
        <v>21</v>
      </c>
      <c r="I552" t="s">
        <v>69</v>
      </c>
      <c r="J552" t="s">
        <v>28</v>
      </c>
    </row>
    <row r="553" spans="1:10" x14ac:dyDescent="0.3">
      <c r="A553" t="s">
        <v>56</v>
      </c>
      <c r="B553">
        <v>40</v>
      </c>
      <c r="C553" s="6" t="s">
        <v>68</v>
      </c>
      <c r="D553" t="s">
        <v>11</v>
      </c>
      <c r="E553" t="s">
        <v>26</v>
      </c>
      <c r="F553" t="s">
        <v>44</v>
      </c>
      <c r="G553" s="7">
        <v>43800</v>
      </c>
      <c r="H553" t="s">
        <v>27</v>
      </c>
      <c r="I553" t="s">
        <v>15</v>
      </c>
      <c r="J553" t="s">
        <v>69</v>
      </c>
    </row>
    <row r="554" spans="1:10" x14ac:dyDescent="0.3">
      <c r="A554" t="s">
        <v>53</v>
      </c>
      <c r="B554">
        <v>35</v>
      </c>
      <c r="C554" s="6">
        <v>55000</v>
      </c>
      <c r="D554" t="s">
        <v>18</v>
      </c>
      <c r="E554" t="s">
        <v>19</v>
      </c>
      <c r="F554" t="s">
        <v>44</v>
      </c>
      <c r="G554" s="7">
        <v>43881</v>
      </c>
      <c r="H554" t="s">
        <v>31</v>
      </c>
      <c r="I554" t="s">
        <v>22</v>
      </c>
      <c r="J554" t="s">
        <v>23</v>
      </c>
    </row>
    <row r="555" spans="1:10" x14ac:dyDescent="0.3">
      <c r="A555" t="s">
        <v>59</v>
      </c>
      <c r="B555">
        <v>40</v>
      </c>
      <c r="C555" s="6" t="s">
        <v>68</v>
      </c>
      <c r="D555" t="s">
        <v>18</v>
      </c>
      <c r="E555" t="s">
        <v>12</v>
      </c>
      <c r="F555" t="s">
        <v>43</v>
      </c>
      <c r="G555" s="7">
        <v>43845</v>
      </c>
      <c r="H555" t="s">
        <v>27</v>
      </c>
      <c r="I555" t="s">
        <v>32</v>
      </c>
      <c r="J555" t="s">
        <v>28</v>
      </c>
    </row>
    <row r="556" spans="1:10" x14ac:dyDescent="0.3">
      <c r="A556" t="s">
        <v>57</v>
      </c>
      <c r="B556">
        <v>30</v>
      </c>
      <c r="C556" s="6">
        <v>65000</v>
      </c>
      <c r="D556" t="s">
        <v>18</v>
      </c>
      <c r="E556" t="s">
        <v>26</v>
      </c>
      <c r="F556" t="s">
        <v>13</v>
      </c>
      <c r="G556" s="7">
        <v>43845</v>
      </c>
      <c r="H556" t="s">
        <v>14</v>
      </c>
      <c r="I556" t="s">
        <v>69</v>
      </c>
      <c r="J556" t="s">
        <v>45</v>
      </c>
    </row>
    <row r="557" spans="1:10" x14ac:dyDescent="0.3">
      <c r="A557" t="s">
        <v>52</v>
      </c>
      <c r="B557">
        <v>25</v>
      </c>
      <c r="C557" s="6">
        <v>50000</v>
      </c>
      <c r="D557" t="s">
        <v>11</v>
      </c>
      <c r="E557" t="s">
        <v>30</v>
      </c>
      <c r="F557" t="s">
        <v>20</v>
      </c>
      <c r="G557" s="7">
        <v>43845</v>
      </c>
      <c r="H557" t="s">
        <v>14</v>
      </c>
      <c r="I557" t="s">
        <v>32</v>
      </c>
      <c r="J557" t="s">
        <v>23</v>
      </c>
    </row>
    <row r="558" spans="1:10" x14ac:dyDescent="0.3">
      <c r="A558" t="s">
        <v>59</v>
      </c>
      <c r="B558">
        <v>35</v>
      </c>
      <c r="C558" s="6">
        <v>50000</v>
      </c>
      <c r="D558" t="s">
        <v>36</v>
      </c>
      <c r="E558" t="s">
        <v>12</v>
      </c>
      <c r="F558" t="s">
        <v>39</v>
      </c>
      <c r="G558" s="7">
        <v>43549</v>
      </c>
      <c r="H558" t="s">
        <v>21</v>
      </c>
      <c r="I558" t="s">
        <v>69</v>
      </c>
      <c r="J558" t="s">
        <v>69</v>
      </c>
    </row>
    <row r="559" spans="1:10" x14ac:dyDescent="0.3">
      <c r="A559" t="s">
        <v>51</v>
      </c>
      <c r="B559">
        <v>30</v>
      </c>
      <c r="C559" s="6">
        <v>50000</v>
      </c>
      <c r="D559" t="s">
        <v>36</v>
      </c>
      <c r="E559" t="s">
        <v>37</v>
      </c>
      <c r="F559" t="s">
        <v>13</v>
      </c>
      <c r="G559" s="7">
        <v>43881</v>
      </c>
      <c r="H559" t="s">
        <v>21</v>
      </c>
      <c r="I559" t="s">
        <v>32</v>
      </c>
      <c r="J559" t="s">
        <v>69</v>
      </c>
    </row>
    <row r="560" spans="1:10" x14ac:dyDescent="0.3">
      <c r="A560" t="s">
        <v>60</v>
      </c>
      <c r="B560">
        <v>30</v>
      </c>
      <c r="C560" s="6">
        <v>55000</v>
      </c>
      <c r="D560" t="s">
        <v>18</v>
      </c>
      <c r="E560" t="s">
        <v>19</v>
      </c>
      <c r="F560" t="s">
        <v>39</v>
      </c>
      <c r="G560" s="7">
        <v>43881</v>
      </c>
      <c r="H560" t="s">
        <v>41</v>
      </c>
      <c r="I560" t="s">
        <v>69</v>
      </c>
      <c r="J560" t="s">
        <v>28</v>
      </c>
    </row>
    <row r="561" spans="1:10" x14ac:dyDescent="0.3">
      <c r="A561" t="s">
        <v>52</v>
      </c>
      <c r="B561">
        <v>35</v>
      </c>
      <c r="C561" s="6">
        <v>55000</v>
      </c>
      <c r="D561" t="s">
        <v>18</v>
      </c>
      <c r="E561" t="s">
        <v>12</v>
      </c>
      <c r="F561" t="s">
        <v>20</v>
      </c>
      <c r="G561" s="7">
        <v>43549</v>
      </c>
      <c r="H561" t="s">
        <v>41</v>
      </c>
      <c r="I561" t="s">
        <v>22</v>
      </c>
      <c r="J561" t="s">
        <v>23</v>
      </c>
    </row>
    <row r="562" spans="1:10" x14ac:dyDescent="0.3">
      <c r="A562" t="s">
        <v>52</v>
      </c>
      <c r="B562">
        <v>40</v>
      </c>
      <c r="C562" s="6">
        <v>60000</v>
      </c>
      <c r="D562" t="s">
        <v>36</v>
      </c>
      <c r="E562" t="s">
        <v>12</v>
      </c>
      <c r="F562" t="s">
        <v>43</v>
      </c>
      <c r="G562" s="7">
        <v>43845</v>
      </c>
      <c r="H562" t="s">
        <v>14</v>
      </c>
      <c r="I562" t="s">
        <v>22</v>
      </c>
      <c r="J562" t="s">
        <v>45</v>
      </c>
    </row>
    <row r="563" spans="1:10" x14ac:dyDescent="0.3">
      <c r="A563" t="s">
        <v>57</v>
      </c>
      <c r="B563">
        <v>50</v>
      </c>
      <c r="C563" s="6">
        <v>50000</v>
      </c>
      <c r="D563" t="s">
        <v>36</v>
      </c>
      <c r="E563" t="s">
        <v>26</v>
      </c>
      <c r="F563" t="s">
        <v>44</v>
      </c>
      <c r="G563" s="7">
        <v>43845</v>
      </c>
      <c r="H563" t="s">
        <v>31</v>
      </c>
      <c r="I563" t="s">
        <v>32</v>
      </c>
      <c r="J563" t="s">
        <v>69</v>
      </c>
    </row>
    <row r="564" spans="1:10" x14ac:dyDescent="0.3">
      <c r="A564" t="s">
        <v>56</v>
      </c>
      <c r="B564">
        <v>30</v>
      </c>
      <c r="C564" s="6">
        <v>65000</v>
      </c>
      <c r="D564" t="s">
        <v>18</v>
      </c>
      <c r="E564" t="s">
        <v>26</v>
      </c>
      <c r="F564" t="s">
        <v>44</v>
      </c>
      <c r="G564" s="7">
        <v>43800</v>
      </c>
      <c r="H564" t="s">
        <v>27</v>
      </c>
      <c r="I564" t="s">
        <v>15</v>
      </c>
      <c r="J564" t="s">
        <v>69</v>
      </c>
    </row>
    <row r="565" spans="1:10" x14ac:dyDescent="0.3">
      <c r="A565" t="s">
        <v>57</v>
      </c>
      <c r="B565">
        <v>36</v>
      </c>
      <c r="C565" s="6" t="s">
        <v>68</v>
      </c>
      <c r="D565" t="s">
        <v>18</v>
      </c>
      <c r="E565" t="s">
        <v>26</v>
      </c>
      <c r="F565" t="s">
        <v>43</v>
      </c>
      <c r="G565" s="7">
        <v>43195</v>
      </c>
      <c r="H565" t="s">
        <v>41</v>
      </c>
      <c r="I565" t="s">
        <v>32</v>
      </c>
      <c r="J565" t="s">
        <v>23</v>
      </c>
    </row>
    <row r="566" spans="1:10" x14ac:dyDescent="0.3">
      <c r="A566" t="s">
        <v>51</v>
      </c>
      <c r="B566">
        <v>30</v>
      </c>
      <c r="C566" s="6">
        <v>65000</v>
      </c>
      <c r="D566" t="s">
        <v>36</v>
      </c>
      <c r="E566" t="s">
        <v>37</v>
      </c>
      <c r="F566" t="s">
        <v>13</v>
      </c>
      <c r="G566" s="7">
        <v>43881</v>
      </c>
      <c r="H566" t="s">
        <v>41</v>
      </c>
      <c r="I566" t="s">
        <v>69</v>
      </c>
      <c r="J566" t="s">
        <v>45</v>
      </c>
    </row>
    <row r="567" spans="1:10" x14ac:dyDescent="0.3">
      <c r="A567" t="s">
        <v>55</v>
      </c>
      <c r="B567">
        <v>50</v>
      </c>
      <c r="C567" s="6" t="s">
        <v>68</v>
      </c>
      <c r="D567" t="s">
        <v>11</v>
      </c>
      <c r="E567" t="s">
        <v>26</v>
      </c>
      <c r="F567" t="s">
        <v>13</v>
      </c>
      <c r="G567" s="7">
        <v>43881</v>
      </c>
      <c r="H567" t="s">
        <v>31</v>
      </c>
      <c r="I567" t="s">
        <v>22</v>
      </c>
      <c r="J567" t="s">
        <v>28</v>
      </c>
    </row>
    <row r="568" spans="1:10" x14ac:dyDescent="0.3">
      <c r="A568" t="s">
        <v>55</v>
      </c>
      <c r="B568">
        <v>40</v>
      </c>
      <c r="C568" s="6">
        <v>50000</v>
      </c>
      <c r="D568" t="s">
        <v>18</v>
      </c>
      <c r="E568" t="s">
        <v>12</v>
      </c>
      <c r="F568" t="s">
        <v>39</v>
      </c>
      <c r="G568" s="7">
        <v>43881</v>
      </c>
      <c r="H568" t="s">
        <v>31</v>
      </c>
      <c r="I568" t="s">
        <v>22</v>
      </c>
      <c r="J568" t="s">
        <v>23</v>
      </c>
    </row>
    <row r="569" spans="1:10" x14ac:dyDescent="0.3">
      <c r="A569" t="s">
        <v>56</v>
      </c>
      <c r="B569">
        <v>40</v>
      </c>
      <c r="C569" s="6">
        <v>50000</v>
      </c>
      <c r="D569" t="s">
        <v>36</v>
      </c>
      <c r="E569" t="s">
        <v>26</v>
      </c>
      <c r="F569" t="s">
        <v>43</v>
      </c>
      <c r="G569" s="7">
        <v>43195</v>
      </c>
      <c r="H569" t="s">
        <v>21</v>
      </c>
      <c r="I569" t="s">
        <v>22</v>
      </c>
      <c r="J569" t="s">
        <v>28</v>
      </c>
    </row>
    <row r="570" spans="1:10" x14ac:dyDescent="0.3">
      <c r="A570" t="s">
        <v>51</v>
      </c>
      <c r="B570">
        <v>36</v>
      </c>
      <c r="C570" s="6">
        <v>50000</v>
      </c>
      <c r="D570" t="s">
        <v>36</v>
      </c>
      <c r="E570" t="s">
        <v>30</v>
      </c>
      <c r="F570" t="s">
        <v>13</v>
      </c>
      <c r="G570" s="7">
        <v>43800</v>
      </c>
      <c r="H570" t="s">
        <v>27</v>
      </c>
      <c r="I570" t="s">
        <v>15</v>
      </c>
      <c r="J570" t="s">
        <v>69</v>
      </c>
    </row>
    <row r="571" spans="1:10" x14ac:dyDescent="0.3">
      <c r="A571" t="s">
        <v>56</v>
      </c>
      <c r="B571">
        <v>30</v>
      </c>
      <c r="C571" s="6">
        <v>55000</v>
      </c>
      <c r="D571" t="s">
        <v>36</v>
      </c>
      <c r="E571" t="s">
        <v>26</v>
      </c>
      <c r="F571" t="s">
        <v>43</v>
      </c>
      <c r="G571" s="7">
        <v>43195</v>
      </c>
      <c r="H571" t="s">
        <v>31</v>
      </c>
      <c r="I571" t="s">
        <v>15</v>
      </c>
      <c r="J571" t="s">
        <v>28</v>
      </c>
    </row>
    <row r="572" spans="1:10" x14ac:dyDescent="0.3">
      <c r="A572" t="s">
        <v>58</v>
      </c>
      <c r="B572">
        <v>40</v>
      </c>
      <c r="C572" s="6" t="s">
        <v>68</v>
      </c>
      <c r="D572" t="s">
        <v>36</v>
      </c>
      <c r="E572" t="s">
        <v>37</v>
      </c>
      <c r="F572" t="s">
        <v>20</v>
      </c>
      <c r="G572" s="7">
        <v>43845</v>
      </c>
      <c r="H572" t="s">
        <v>41</v>
      </c>
      <c r="I572" t="s">
        <v>69</v>
      </c>
      <c r="J572" t="s">
        <v>45</v>
      </c>
    </row>
    <row r="573" spans="1:10" x14ac:dyDescent="0.3">
      <c r="A573" t="s">
        <v>55</v>
      </c>
      <c r="B573">
        <v>50</v>
      </c>
      <c r="C573" s="6">
        <v>55000</v>
      </c>
      <c r="D573" t="s">
        <v>11</v>
      </c>
      <c r="E573" t="s">
        <v>30</v>
      </c>
      <c r="F573" t="s">
        <v>44</v>
      </c>
      <c r="G573" s="7">
        <v>43845</v>
      </c>
      <c r="H573" t="s">
        <v>41</v>
      </c>
      <c r="I573" t="s">
        <v>32</v>
      </c>
      <c r="J573" t="s">
        <v>69</v>
      </c>
    </row>
    <row r="574" spans="1:10" x14ac:dyDescent="0.3">
      <c r="A574" t="s">
        <v>52</v>
      </c>
      <c r="B574">
        <v>35</v>
      </c>
      <c r="C574" s="6">
        <v>55000</v>
      </c>
      <c r="D574" t="s">
        <v>36</v>
      </c>
      <c r="E574" t="s">
        <v>12</v>
      </c>
      <c r="F574" t="s">
        <v>44</v>
      </c>
      <c r="G574" s="7">
        <v>43881</v>
      </c>
      <c r="H574" t="s">
        <v>14</v>
      </c>
      <c r="I574" t="s">
        <v>32</v>
      </c>
      <c r="J574" t="s">
        <v>45</v>
      </c>
    </row>
    <row r="575" spans="1:10" x14ac:dyDescent="0.3">
      <c r="A575" t="s">
        <v>53</v>
      </c>
      <c r="B575">
        <v>25</v>
      </c>
      <c r="C575" s="6">
        <v>70000</v>
      </c>
      <c r="D575" t="s">
        <v>18</v>
      </c>
      <c r="E575" t="s">
        <v>12</v>
      </c>
      <c r="F575" t="s">
        <v>44</v>
      </c>
      <c r="G575" s="7">
        <v>43549</v>
      </c>
      <c r="H575" t="s">
        <v>31</v>
      </c>
      <c r="I575" t="s">
        <v>69</v>
      </c>
      <c r="J575" t="s">
        <v>28</v>
      </c>
    </row>
    <row r="576" spans="1:10" x14ac:dyDescent="0.3">
      <c r="A576" t="s">
        <v>60</v>
      </c>
      <c r="B576">
        <v>25</v>
      </c>
      <c r="C576" s="6">
        <v>65000</v>
      </c>
      <c r="D576" t="s">
        <v>11</v>
      </c>
      <c r="E576" t="s">
        <v>19</v>
      </c>
      <c r="F576" t="s">
        <v>43</v>
      </c>
      <c r="G576" s="7">
        <v>43881</v>
      </c>
      <c r="H576" t="s">
        <v>21</v>
      </c>
      <c r="I576" t="s">
        <v>22</v>
      </c>
      <c r="J576" t="s">
        <v>23</v>
      </c>
    </row>
    <row r="577" spans="1:10" x14ac:dyDescent="0.3">
      <c r="A577" t="s">
        <v>51</v>
      </c>
      <c r="B577">
        <v>25</v>
      </c>
      <c r="C577" s="6">
        <v>65000</v>
      </c>
      <c r="D577" t="s">
        <v>36</v>
      </c>
      <c r="E577" t="s">
        <v>30</v>
      </c>
      <c r="F577" t="s">
        <v>43</v>
      </c>
      <c r="G577" s="7">
        <v>43549</v>
      </c>
      <c r="H577" t="s">
        <v>27</v>
      </c>
      <c r="I577" t="s">
        <v>15</v>
      </c>
      <c r="J577" t="s">
        <v>69</v>
      </c>
    </row>
    <row r="578" spans="1:10" x14ac:dyDescent="0.3">
      <c r="A578" t="s">
        <v>59</v>
      </c>
      <c r="B578">
        <v>30</v>
      </c>
      <c r="C578" s="6">
        <v>60000</v>
      </c>
      <c r="D578" t="s">
        <v>11</v>
      </c>
      <c r="E578" t="s">
        <v>19</v>
      </c>
      <c r="F578" t="s">
        <v>39</v>
      </c>
      <c r="G578" s="7">
        <v>43195</v>
      </c>
      <c r="H578" t="s">
        <v>21</v>
      </c>
      <c r="I578" t="s">
        <v>69</v>
      </c>
      <c r="J578" t="s">
        <v>69</v>
      </c>
    </row>
    <row r="579" spans="1:10" x14ac:dyDescent="0.3">
      <c r="A579" t="s">
        <v>56</v>
      </c>
      <c r="B579">
        <v>36</v>
      </c>
      <c r="C579" s="6">
        <v>55000</v>
      </c>
      <c r="D579" t="s">
        <v>18</v>
      </c>
      <c r="E579" t="s">
        <v>30</v>
      </c>
      <c r="F579" t="s">
        <v>44</v>
      </c>
      <c r="G579" s="7">
        <v>43845</v>
      </c>
      <c r="H579" t="s">
        <v>41</v>
      </c>
      <c r="I579" t="s">
        <v>69</v>
      </c>
      <c r="J579" t="s">
        <v>23</v>
      </c>
    </row>
    <row r="580" spans="1:10" x14ac:dyDescent="0.3">
      <c r="A580" t="s">
        <v>60</v>
      </c>
      <c r="B580">
        <v>40</v>
      </c>
      <c r="C580" s="6" t="s">
        <v>68</v>
      </c>
      <c r="D580" t="s">
        <v>36</v>
      </c>
      <c r="E580" t="s">
        <v>30</v>
      </c>
      <c r="F580" t="s">
        <v>39</v>
      </c>
      <c r="G580" s="7">
        <v>43549</v>
      </c>
      <c r="H580" t="s">
        <v>21</v>
      </c>
      <c r="I580" t="s">
        <v>15</v>
      </c>
      <c r="J580" t="s">
        <v>23</v>
      </c>
    </row>
    <row r="581" spans="1:10" x14ac:dyDescent="0.3">
      <c r="A581" t="s">
        <v>59</v>
      </c>
      <c r="B581">
        <v>35</v>
      </c>
      <c r="C581" s="6">
        <v>70000</v>
      </c>
      <c r="D581" t="s">
        <v>18</v>
      </c>
      <c r="E581" t="s">
        <v>37</v>
      </c>
      <c r="F581" t="s">
        <v>44</v>
      </c>
      <c r="G581" s="7">
        <v>43195</v>
      </c>
      <c r="H581" t="s">
        <v>41</v>
      </c>
      <c r="I581" t="s">
        <v>32</v>
      </c>
      <c r="J581" t="s">
        <v>45</v>
      </c>
    </row>
    <row r="582" spans="1:10" x14ac:dyDescent="0.3">
      <c r="A582" t="s">
        <v>60</v>
      </c>
      <c r="B582">
        <v>50</v>
      </c>
      <c r="C582" s="6">
        <v>70000</v>
      </c>
      <c r="D582" t="s">
        <v>36</v>
      </c>
      <c r="E582" t="s">
        <v>19</v>
      </c>
      <c r="F582" t="s">
        <v>39</v>
      </c>
      <c r="G582" s="7">
        <v>43845</v>
      </c>
      <c r="H582" t="s">
        <v>41</v>
      </c>
      <c r="I582" t="s">
        <v>22</v>
      </c>
      <c r="J582" t="s">
        <v>28</v>
      </c>
    </row>
    <row r="583" spans="1:10" x14ac:dyDescent="0.3">
      <c r="A583" t="s">
        <v>53</v>
      </c>
      <c r="B583">
        <v>35</v>
      </c>
      <c r="C583" s="6">
        <v>65000</v>
      </c>
      <c r="D583" t="s">
        <v>36</v>
      </c>
      <c r="E583" t="s">
        <v>37</v>
      </c>
      <c r="F583" t="s">
        <v>39</v>
      </c>
      <c r="G583" s="7">
        <v>43549</v>
      </c>
      <c r="H583" t="s">
        <v>41</v>
      </c>
      <c r="I583" t="s">
        <v>32</v>
      </c>
      <c r="J583" t="s">
        <v>45</v>
      </c>
    </row>
    <row r="584" spans="1:10" x14ac:dyDescent="0.3">
      <c r="A584" t="s">
        <v>59</v>
      </c>
      <c r="B584">
        <v>50</v>
      </c>
      <c r="C584" s="6">
        <v>55000</v>
      </c>
      <c r="D584" t="s">
        <v>36</v>
      </c>
      <c r="E584" t="s">
        <v>30</v>
      </c>
      <c r="F584" t="s">
        <v>20</v>
      </c>
      <c r="G584" s="7">
        <v>43881</v>
      </c>
      <c r="H584" t="s">
        <v>41</v>
      </c>
      <c r="I584" t="s">
        <v>69</v>
      </c>
      <c r="J584" t="s">
        <v>28</v>
      </c>
    </row>
    <row r="585" spans="1:10" x14ac:dyDescent="0.3">
      <c r="A585" t="s">
        <v>57</v>
      </c>
      <c r="B585">
        <v>30</v>
      </c>
      <c r="C585" s="6">
        <v>60000</v>
      </c>
      <c r="D585" t="s">
        <v>36</v>
      </c>
      <c r="E585" t="s">
        <v>12</v>
      </c>
      <c r="F585" t="s">
        <v>39</v>
      </c>
      <c r="G585" s="7">
        <v>43881</v>
      </c>
      <c r="H585" t="s">
        <v>41</v>
      </c>
      <c r="I585" t="s">
        <v>22</v>
      </c>
      <c r="J585" t="s">
        <v>45</v>
      </c>
    </row>
    <row r="586" spans="1:10" x14ac:dyDescent="0.3">
      <c r="A586" t="s">
        <v>54</v>
      </c>
      <c r="B586">
        <v>25</v>
      </c>
      <c r="C586" s="6">
        <v>55000</v>
      </c>
      <c r="D586" t="s">
        <v>36</v>
      </c>
      <c r="E586" t="s">
        <v>30</v>
      </c>
      <c r="F586" t="s">
        <v>43</v>
      </c>
      <c r="G586" s="7">
        <v>43881</v>
      </c>
      <c r="H586" t="s">
        <v>14</v>
      </c>
      <c r="I586" t="s">
        <v>69</v>
      </c>
      <c r="J586" t="s">
        <v>23</v>
      </c>
    </row>
    <row r="587" spans="1:10" x14ac:dyDescent="0.3">
      <c r="A587" t="s">
        <v>57</v>
      </c>
      <c r="B587">
        <v>30</v>
      </c>
      <c r="C587" s="6">
        <v>50000</v>
      </c>
      <c r="D587" t="s">
        <v>11</v>
      </c>
      <c r="E587" t="s">
        <v>37</v>
      </c>
      <c r="F587" t="s">
        <v>39</v>
      </c>
      <c r="G587" s="7">
        <v>43195</v>
      </c>
      <c r="H587" t="s">
        <v>21</v>
      </c>
      <c r="I587" t="s">
        <v>69</v>
      </c>
      <c r="J587" t="s">
        <v>69</v>
      </c>
    </row>
    <row r="588" spans="1:10" x14ac:dyDescent="0.3">
      <c r="A588" t="s">
        <v>55</v>
      </c>
      <c r="B588">
        <v>36</v>
      </c>
      <c r="C588" s="6">
        <v>55000</v>
      </c>
      <c r="D588" t="s">
        <v>36</v>
      </c>
      <c r="E588" t="s">
        <v>19</v>
      </c>
      <c r="F588" t="s">
        <v>44</v>
      </c>
      <c r="G588" s="7">
        <v>43881</v>
      </c>
      <c r="H588" t="s">
        <v>14</v>
      </c>
      <c r="I588" t="s">
        <v>32</v>
      </c>
      <c r="J588" t="s">
        <v>28</v>
      </c>
    </row>
    <row r="589" spans="1:10" x14ac:dyDescent="0.3">
      <c r="A589" t="s">
        <v>54</v>
      </c>
      <c r="B589">
        <v>36</v>
      </c>
      <c r="C589" s="6">
        <v>50000</v>
      </c>
      <c r="D589" t="s">
        <v>36</v>
      </c>
      <c r="E589" t="s">
        <v>19</v>
      </c>
      <c r="F589" t="s">
        <v>39</v>
      </c>
      <c r="G589" s="7">
        <v>43800</v>
      </c>
      <c r="H589" t="s">
        <v>14</v>
      </c>
      <c r="I589" t="s">
        <v>32</v>
      </c>
      <c r="J589" t="s">
        <v>69</v>
      </c>
    </row>
    <row r="590" spans="1:10" x14ac:dyDescent="0.3">
      <c r="A590" t="s">
        <v>57</v>
      </c>
      <c r="B590">
        <v>50</v>
      </c>
      <c r="C590" s="6">
        <v>50000</v>
      </c>
      <c r="D590" t="s">
        <v>11</v>
      </c>
      <c r="E590" t="s">
        <v>37</v>
      </c>
      <c r="F590" t="s">
        <v>13</v>
      </c>
      <c r="G590" s="7">
        <v>43845</v>
      </c>
      <c r="H590" t="s">
        <v>31</v>
      </c>
      <c r="I590" t="s">
        <v>32</v>
      </c>
      <c r="J590" t="s">
        <v>69</v>
      </c>
    </row>
    <row r="591" spans="1:10" x14ac:dyDescent="0.3">
      <c r="A591" t="s">
        <v>54</v>
      </c>
      <c r="B591">
        <v>40</v>
      </c>
      <c r="C591" s="6">
        <v>60000</v>
      </c>
      <c r="D591" t="s">
        <v>11</v>
      </c>
      <c r="E591" t="s">
        <v>19</v>
      </c>
      <c r="F591" t="s">
        <v>44</v>
      </c>
      <c r="G591" s="7">
        <v>43195</v>
      </c>
      <c r="H591" t="s">
        <v>31</v>
      </c>
      <c r="I591" t="s">
        <v>15</v>
      </c>
      <c r="J591" t="s">
        <v>23</v>
      </c>
    </row>
    <row r="592" spans="1:10" x14ac:dyDescent="0.3">
      <c r="A592" t="s">
        <v>54</v>
      </c>
      <c r="B592">
        <v>40</v>
      </c>
      <c r="C592" s="6" t="s">
        <v>68</v>
      </c>
      <c r="D592" t="s">
        <v>11</v>
      </c>
      <c r="E592" t="s">
        <v>26</v>
      </c>
      <c r="F592" t="s">
        <v>13</v>
      </c>
      <c r="G592" s="7">
        <v>43881</v>
      </c>
      <c r="H592" t="s">
        <v>31</v>
      </c>
      <c r="I592" t="s">
        <v>69</v>
      </c>
      <c r="J592" t="s">
        <v>45</v>
      </c>
    </row>
    <row r="593" spans="1:10" x14ac:dyDescent="0.3">
      <c r="A593" t="s">
        <v>52</v>
      </c>
      <c r="B593">
        <v>50</v>
      </c>
      <c r="C593" s="6">
        <v>65000</v>
      </c>
      <c r="D593" t="s">
        <v>11</v>
      </c>
      <c r="E593" t="s">
        <v>12</v>
      </c>
      <c r="F593" t="s">
        <v>44</v>
      </c>
      <c r="G593" s="7">
        <v>43845</v>
      </c>
      <c r="H593" t="s">
        <v>27</v>
      </c>
      <c r="I593" t="s">
        <v>22</v>
      </c>
      <c r="J593" t="s">
        <v>45</v>
      </c>
    </row>
    <row r="594" spans="1:10" x14ac:dyDescent="0.3">
      <c r="A594" t="s">
        <v>56</v>
      </c>
      <c r="B594">
        <v>36</v>
      </c>
      <c r="C594" s="6">
        <v>55000</v>
      </c>
      <c r="D594" t="s">
        <v>11</v>
      </c>
      <c r="E594" t="s">
        <v>12</v>
      </c>
      <c r="F594" t="s">
        <v>43</v>
      </c>
      <c r="G594" s="7">
        <v>43549</v>
      </c>
      <c r="H594" t="s">
        <v>31</v>
      </c>
      <c r="I594" t="s">
        <v>32</v>
      </c>
      <c r="J594" t="s">
        <v>23</v>
      </c>
    </row>
    <row r="595" spans="1:10" x14ac:dyDescent="0.3">
      <c r="A595" t="s">
        <v>56</v>
      </c>
      <c r="B595">
        <v>36</v>
      </c>
      <c r="C595" s="6">
        <v>50000</v>
      </c>
      <c r="D595" t="s">
        <v>11</v>
      </c>
      <c r="E595" t="s">
        <v>12</v>
      </c>
      <c r="F595" t="s">
        <v>43</v>
      </c>
      <c r="G595" s="7">
        <v>43881</v>
      </c>
      <c r="H595" t="s">
        <v>21</v>
      </c>
      <c r="I595" t="s">
        <v>32</v>
      </c>
      <c r="J595" t="s">
        <v>69</v>
      </c>
    </row>
    <row r="596" spans="1:10" x14ac:dyDescent="0.3">
      <c r="A596" t="s">
        <v>52</v>
      </c>
      <c r="B596">
        <v>36</v>
      </c>
      <c r="C596" s="6">
        <v>55000</v>
      </c>
      <c r="D596" t="s">
        <v>36</v>
      </c>
      <c r="E596" t="s">
        <v>19</v>
      </c>
      <c r="F596" t="s">
        <v>43</v>
      </c>
      <c r="G596" s="7">
        <v>43845</v>
      </c>
      <c r="H596" t="s">
        <v>14</v>
      </c>
      <c r="I596" t="s">
        <v>15</v>
      </c>
      <c r="J596" t="s">
        <v>69</v>
      </c>
    </row>
    <row r="597" spans="1:10" x14ac:dyDescent="0.3">
      <c r="A597" t="s">
        <v>60</v>
      </c>
      <c r="B597">
        <v>30</v>
      </c>
      <c r="C597" s="6" t="s">
        <v>68</v>
      </c>
      <c r="D597" t="s">
        <v>36</v>
      </c>
      <c r="E597" t="s">
        <v>19</v>
      </c>
      <c r="F597" t="s">
        <v>13</v>
      </c>
      <c r="G597" s="7">
        <v>43800</v>
      </c>
      <c r="H597" t="s">
        <v>21</v>
      </c>
      <c r="I597" t="s">
        <v>22</v>
      </c>
      <c r="J597" t="s">
        <v>45</v>
      </c>
    </row>
    <row r="598" spans="1:10" x14ac:dyDescent="0.3">
      <c r="A598" t="s">
        <v>58</v>
      </c>
      <c r="B598">
        <v>36</v>
      </c>
      <c r="C598" s="6">
        <v>65000</v>
      </c>
      <c r="D598" t="s">
        <v>18</v>
      </c>
      <c r="E598" t="s">
        <v>30</v>
      </c>
      <c r="F598" t="s">
        <v>20</v>
      </c>
      <c r="G598" s="7">
        <v>43549</v>
      </c>
      <c r="H598" t="s">
        <v>31</v>
      </c>
      <c r="I598" t="s">
        <v>69</v>
      </c>
      <c r="J598" t="s">
        <v>28</v>
      </c>
    </row>
    <row r="599" spans="1:10" x14ac:dyDescent="0.3">
      <c r="A599" t="s">
        <v>60</v>
      </c>
      <c r="B599">
        <v>35</v>
      </c>
      <c r="C599" s="6" t="s">
        <v>68</v>
      </c>
      <c r="D599" t="s">
        <v>36</v>
      </c>
      <c r="E599" t="s">
        <v>30</v>
      </c>
      <c r="F599" t="s">
        <v>44</v>
      </c>
      <c r="G599" s="7">
        <v>43800</v>
      </c>
      <c r="H599" t="s">
        <v>27</v>
      </c>
      <c r="I599" t="s">
        <v>69</v>
      </c>
      <c r="J599" t="s">
        <v>69</v>
      </c>
    </row>
    <row r="600" spans="1:10" x14ac:dyDescent="0.3">
      <c r="A600" t="s">
        <v>59</v>
      </c>
      <c r="B600">
        <v>25</v>
      </c>
      <c r="C600" s="6">
        <v>65000</v>
      </c>
      <c r="D600" t="s">
        <v>36</v>
      </c>
      <c r="E600" t="s">
        <v>12</v>
      </c>
      <c r="F600" t="s">
        <v>43</v>
      </c>
      <c r="G600" s="7">
        <v>43845</v>
      </c>
      <c r="H600" t="s">
        <v>27</v>
      </c>
      <c r="I600" t="s">
        <v>15</v>
      </c>
      <c r="J600" t="s">
        <v>28</v>
      </c>
    </row>
    <row r="601" spans="1:10" x14ac:dyDescent="0.3">
      <c r="A601" t="s">
        <v>59</v>
      </c>
      <c r="B601">
        <v>36</v>
      </c>
      <c r="C601" s="6">
        <v>70000</v>
      </c>
      <c r="D601" t="s">
        <v>11</v>
      </c>
      <c r="E601" t="s">
        <v>26</v>
      </c>
      <c r="F601" t="s">
        <v>44</v>
      </c>
      <c r="G601" s="7">
        <v>43800</v>
      </c>
      <c r="H601" t="s">
        <v>14</v>
      </c>
      <c r="I601" t="s">
        <v>69</v>
      </c>
      <c r="J601" t="s">
        <v>69</v>
      </c>
    </row>
    <row r="602" spans="1:10" x14ac:dyDescent="0.3">
      <c r="A602" t="s">
        <v>54</v>
      </c>
      <c r="B602">
        <v>50</v>
      </c>
      <c r="C602" s="6">
        <v>65000</v>
      </c>
      <c r="D602" t="s">
        <v>11</v>
      </c>
      <c r="E602" t="s">
        <v>30</v>
      </c>
      <c r="F602" t="s">
        <v>13</v>
      </c>
      <c r="G602" s="7">
        <v>43845</v>
      </c>
      <c r="H602" t="s">
        <v>21</v>
      </c>
      <c r="I602" t="s">
        <v>69</v>
      </c>
      <c r="J602" t="s">
        <v>28</v>
      </c>
    </row>
    <row r="603" spans="1:10" x14ac:dyDescent="0.3">
      <c r="A603" t="s">
        <v>57</v>
      </c>
      <c r="B603">
        <v>25</v>
      </c>
      <c r="C603" s="6">
        <v>60000</v>
      </c>
      <c r="D603" t="s">
        <v>36</v>
      </c>
      <c r="E603" t="s">
        <v>30</v>
      </c>
      <c r="F603" t="s">
        <v>20</v>
      </c>
      <c r="G603" s="7">
        <v>43845</v>
      </c>
      <c r="H603" t="s">
        <v>41</v>
      </c>
      <c r="I603" t="s">
        <v>32</v>
      </c>
      <c r="J603" t="s">
        <v>69</v>
      </c>
    </row>
    <row r="604" spans="1:10" x14ac:dyDescent="0.3">
      <c r="A604" t="s">
        <v>57</v>
      </c>
      <c r="B604">
        <v>30</v>
      </c>
      <c r="C604" s="6" t="s">
        <v>68</v>
      </c>
      <c r="D604" t="s">
        <v>18</v>
      </c>
      <c r="E604" t="s">
        <v>19</v>
      </c>
      <c r="F604" t="s">
        <v>13</v>
      </c>
      <c r="G604" s="7">
        <v>43800</v>
      </c>
      <c r="H604" t="s">
        <v>21</v>
      </c>
      <c r="I604" t="s">
        <v>32</v>
      </c>
      <c r="J604" t="s">
        <v>28</v>
      </c>
    </row>
    <row r="605" spans="1:10" x14ac:dyDescent="0.3">
      <c r="A605" t="s">
        <v>56</v>
      </c>
      <c r="B605">
        <v>50</v>
      </c>
      <c r="C605" s="6">
        <v>50000</v>
      </c>
      <c r="D605" t="s">
        <v>11</v>
      </c>
      <c r="E605" t="s">
        <v>26</v>
      </c>
      <c r="F605" t="s">
        <v>44</v>
      </c>
      <c r="G605" s="7">
        <v>43845</v>
      </c>
      <c r="H605" t="s">
        <v>31</v>
      </c>
      <c r="I605" t="s">
        <v>22</v>
      </c>
      <c r="J605" t="s">
        <v>28</v>
      </c>
    </row>
    <row r="606" spans="1:10" x14ac:dyDescent="0.3">
      <c r="A606" t="s">
        <v>51</v>
      </c>
      <c r="B606">
        <v>25</v>
      </c>
      <c r="C606" s="6">
        <v>70000</v>
      </c>
      <c r="D606" t="s">
        <v>36</v>
      </c>
      <c r="E606" t="s">
        <v>12</v>
      </c>
      <c r="F606" t="s">
        <v>20</v>
      </c>
      <c r="G606" s="7">
        <v>43881</v>
      </c>
      <c r="H606" t="s">
        <v>41</v>
      </c>
      <c r="I606" t="s">
        <v>69</v>
      </c>
      <c r="J606" t="s">
        <v>28</v>
      </c>
    </row>
    <row r="607" spans="1:10" x14ac:dyDescent="0.3">
      <c r="A607" t="s">
        <v>60</v>
      </c>
      <c r="B607">
        <v>50</v>
      </c>
      <c r="C607" s="6">
        <v>60000</v>
      </c>
      <c r="D607" t="s">
        <v>36</v>
      </c>
      <c r="E607" t="s">
        <v>30</v>
      </c>
      <c r="F607" t="s">
        <v>20</v>
      </c>
      <c r="G607" s="7">
        <v>43845</v>
      </c>
      <c r="H607" t="s">
        <v>27</v>
      </c>
      <c r="I607" t="s">
        <v>32</v>
      </c>
      <c r="J607" t="s">
        <v>28</v>
      </c>
    </row>
    <row r="608" spans="1:10" x14ac:dyDescent="0.3">
      <c r="A608" t="s">
        <v>55</v>
      </c>
      <c r="B608">
        <v>30</v>
      </c>
      <c r="C608" s="6">
        <v>55000</v>
      </c>
      <c r="D608" t="s">
        <v>18</v>
      </c>
      <c r="E608" t="s">
        <v>26</v>
      </c>
      <c r="F608" t="s">
        <v>13</v>
      </c>
      <c r="G608" s="7">
        <v>43195</v>
      </c>
      <c r="H608" t="s">
        <v>14</v>
      </c>
      <c r="I608" t="s">
        <v>32</v>
      </c>
      <c r="J608" t="s">
        <v>23</v>
      </c>
    </row>
    <row r="609" spans="1:10" x14ac:dyDescent="0.3">
      <c r="A609" t="s">
        <v>53</v>
      </c>
      <c r="B609">
        <v>35</v>
      </c>
      <c r="C609" s="6" t="s">
        <v>68</v>
      </c>
      <c r="D609" t="s">
        <v>18</v>
      </c>
      <c r="E609" t="s">
        <v>26</v>
      </c>
      <c r="F609" t="s">
        <v>43</v>
      </c>
      <c r="G609" s="7">
        <v>43845</v>
      </c>
      <c r="H609" t="s">
        <v>14</v>
      </c>
      <c r="I609" t="s">
        <v>22</v>
      </c>
      <c r="J609" t="s">
        <v>69</v>
      </c>
    </row>
    <row r="610" spans="1:10" x14ac:dyDescent="0.3">
      <c r="A610" t="s">
        <v>57</v>
      </c>
      <c r="B610">
        <v>30</v>
      </c>
      <c r="C610" s="6">
        <v>50000</v>
      </c>
      <c r="D610" t="s">
        <v>11</v>
      </c>
      <c r="E610" t="s">
        <v>12</v>
      </c>
      <c r="F610" t="s">
        <v>44</v>
      </c>
      <c r="G610" s="7">
        <v>43195</v>
      </c>
      <c r="H610" t="s">
        <v>27</v>
      </c>
      <c r="I610" t="s">
        <v>69</v>
      </c>
      <c r="J610" t="s">
        <v>69</v>
      </c>
    </row>
    <row r="611" spans="1:10" x14ac:dyDescent="0.3">
      <c r="A611" t="s">
        <v>53</v>
      </c>
      <c r="B611">
        <v>30</v>
      </c>
      <c r="C611" s="6">
        <v>65000</v>
      </c>
      <c r="D611" t="s">
        <v>18</v>
      </c>
      <c r="E611" t="s">
        <v>26</v>
      </c>
      <c r="F611" t="s">
        <v>39</v>
      </c>
      <c r="G611" s="7">
        <v>43845</v>
      </c>
      <c r="H611" t="s">
        <v>31</v>
      </c>
      <c r="I611" t="s">
        <v>32</v>
      </c>
      <c r="J611" t="s">
        <v>69</v>
      </c>
    </row>
    <row r="612" spans="1:10" x14ac:dyDescent="0.3">
      <c r="A612" t="s">
        <v>54</v>
      </c>
      <c r="B612">
        <v>50</v>
      </c>
      <c r="C612" s="6">
        <v>50000</v>
      </c>
      <c r="D612" t="s">
        <v>36</v>
      </c>
      <c r="E612" t="s">
        <v>26</v>
      </c>
      <c r="F612" t="s">
        <v>39</v>
      </c>
      <c r="G612" s="7">
        <v>43845</v>
      </c>
      <c r="H612" t="s">
        <v>27</v>
      </c>
      <c r="I612" t="s">
        <v>15</v>
      </c>
      <c r="J612" t="s">
        <v>23</v>
      </c>
    </row>
    <row r="613" spans="1:10" x14ac:dyDescent="0.3">
      <c r="A613" t="s">
        <v>53</v>
      </c>
      <c r="B613">
        <v>40</v>
      </c>
      <c r="C613" s="6">
        <v>55000</v>
      </c>
      <c r="D613" t="s">
        <v>36</v>
      </c>
      <c r="E613" t="s">
        <v>26</v>
      </c>
      <c r="F613" t="s">
        <v>13</v>
      </c>
      <c r="G613" s="7">
        <v>43800</v>
      </c>
      <c r="H613" t="s">
        <v>31</v>
      </c>
      <c r="I613" t="s">
        <v>15</v>
      </c>
      <c r="J613" t="s">
        <v>23</v>
      </c>
    </row>
    <row r="614" spans="1:10" x14ac:dyDescent="0.3">
      <c r="A614" t="s">
        <v>55</v>
      </c>
      <c r="B614">
        <v>36</v>
      </c>
      <c r="C614" s="6">
        <v>70000</v>
      </c>
      <c r="D614" t="s">
        <v>18</v>
      </c>
      <c r="E614" t="s">
        <v>30</v>
      </c>
      <c r="F614" t="s">
        <v>44</v>
      </c>
      <c r="G614" s="7">
        <v>43881</v>
      </c>
      <c r="H614" t="s">
        <v>41</v>
      </c>
      <c r="I614" t="s">
        <v>69</v>
      </c>
      <c r="J614" t="s">
        <v>23</v>
      </c>
    </row>
    <row r="615" spans="1:10" x14ac:dyDescent="0.3">
      <c r="A615" t="s">
        <v>52</v>
      </c>
      <c r="B615">
        <v>36</v>
      </c>
      <c r="C615" s="6">
        <v>70000</v>
      </c>
      <c r="D615" t="s">
        <v>18</v>
      </c>
      <c r="E615" t="s">
        <v>12</v>
      </c>
      <c r="F615" t="s">
        <v>44</v>
      </c>
      <c r="G615" s="7">
        <v>43881</v>
      </c>
      <c r="H615" t="s">
        <v>27</v>
      </c>
      <c r="I615" t="s">
        <v>69</v>
      </c>
      <c r="J615" t="s">
        <v>23</v>
      </c>
    </row>
    <row r="616" spans="1:10" x14ac:dyDescent="0.3">
      <c r="A616" t="s">
        <v>55</v>
      </c>
      <c r="B616">
        <v>35</v>
      </c>
      <c r="C616" s="6" t="s">
        <v>68</v>
      </c>
      <c r="D616" t="s">
        <v>18</v>
      </c>
      <c r="E616" t="s">
        <v>26</v>
      </c>
      <c r="F616" t="s">
        <v>13</v>
      </c>
      <c r="G616" s="7">
        <v>43549</v>
      </c>
      <c r="H616" t="s">
        <v>31</v>
      </c>
      <c r="I616" t="s">
        <v>22</v>
      </c>
      <c r="J616" t="s">
        <v>28</v>
      </c>
    </row>
    <row r="617" spans="1:10" x14ac:dyDescent="0.3">
      <c r="A617" t="s">
        <v>53</v>
      </c>
      <c r="B617">
        <v>35</v>
      </c>
      <c r="C617" s="6">
        <v>70000</v>
      </c>
      <c r="D617" t="s">
        <v>18</v>
      </c>
      <c r="E617" t="s">
        <v>26</v>
      </c>
      <c r="F617" t="s">
        <v>44</v>
      </c>
      <c r="G617" s="7">
        <v>43800</v>
      </c>
      <c r="H617" t="s">
        <v>41</v>
      </c>
      <c r="I617" t="s">
        <v>15</v>
      </c>
      <c r="J617" t="s">
        <v>69</v>
      </c>
    </row>
    <row r="618" spans="1:10" x14ac:dyDescent="0.3">
      <c r="A618" t="s">
        <v>55</v>
      </c>
      <c r="B618">
        <v>36</v>
      </c>
      <c r="C618" s="6" t="s">
        <v>68</v>
      </c>
      <c r="D618" t="s">
        <v>11</v>
      </c>
      <c r="E618" t="s">
        <v>30</v>
      </c>
      <c r="F618" t="s">
        <v>43</v>
      </c>
      <c r="G618" s="7">
        <v>43800</v>
      </c>
      <c r="H618" t="s">
        <v>27</v>
      </c>
      <c r="I618" t="s">
        <v>15</v>
      </c>
      <c r="J618" t="s">
        <v>45</v>
      </c>
    </row>
    <row r="619" spans="1:10" x14ac:dyDescent="0.3">
      <c r="A619" t="s">
        <v>58</v>
      </c>
      <c r="B619">
        <v>40</v>
      </c>
      <c r="C619" s="6" t="s">
        <v>68</v>
      </c>
      <c r="D619" t="s">
        <v>18</v>
      </c>
      <c r="E619" t="s">
        <v>12</v>
      </c>
      <c r="F619" t="s">
        <v>13</v>
      </c>
      <c r="G619" s="7">
        <v>43881</v>
      </c>
      <c r="H619" t="s">
        <v>14</v>
      </c>
      <c r="I619" t="s">
        <v>69</v>
      </c>
      <c r="J619" t="s">
        <v>69</v>
      </c>
    </row>
    <row r="620" spans="1:10" x14ac:dyDescent="0.3">
      <c r="A620" t="s">
        <v>54</v>
      </c>
      <c r="B620">
        <v>36</v>
      </c>
      <c r="C620" s="6" t="s">
        <v>68</v>
      </c>
      <c r="D620" t="s">
        <v>11</v>
      </c>
      <c r="E620" t="s">
        <v>19</v>
      </c>
      <c r="F620" t="s">
        <v>43</v>
      </c>
      <c r="G620" s="7">
        <v>43800</v>
      </c>
      <c r="H620" t="s">
        <v>27</v>
      </c>
      <c r="I620" t="s">
        <v>69</v>
      </c>
      <c r="J620" t="s">
        <v>23</v>
      </c>
    </row>
    <row r="621" spans="1:10" x14ac:dyDescent="0.3">
      <c r="A621" t="s">
        <v>60</v>
      </c>
      <c r="B621">
        <v>40</v>
      </c>
      <c r="C621" s="6">
        <v>65000</v>
      </c>
      <c r="D621" t="s">
        <v>36</v>
      </c>
      <c r="E621" t="s">
        <v>30</v>
      </c>
      <c r="F621" t="s">
        <v>44</v>
      </c>
      <c r="G621" s="7">
        <v>43881</v>
      </c>
      <c r="H621" t="s">
        <v>21</v>
      </c>
      <c r="I621" t="s">
        <v>69</v>
      </c>
      <c r="J621" t="s">
        <v>69</v>
      </c>
    </row>
    <row r="622" spans="1:10" x14ac:dyDescent="0.3">
      <c r="A622" t="s">
        <v>52</v>
      </c>
      <c r="B622">
        <v>35</v>
      </c>
      <c r="C622" s="6">
        <v>60000</v>
      </c>
      <c r="D622" t="s">
        <v>18</v>
      </c>
      <c r="E622" t="s">
        <v>12</v>
      </c>
      <c r="F622" t="s">
        <v>13</v>
      </c>
      <c r="G622" s="7">
        <v>43800</v>
      </c>
      <c r="H622" t="s">
        <v>27</v>
      </c>
      <c r="I622" t="s">
        <v>69</v>
      </c>
      <c r="J622" t="s">
        <v>23</v>
      </c>
    </row>
    <row r="623" spans="1:10" x14ac:dyDescent="0.3">
      <c r="A623" t="s">
        <v>57</v>
      </c>
      <c r="B623">
        <v>25</v>
      </c>
      <c r="C623" s="6" t="s">
        <v>68</v>
      </c>
      <c r="D623" t="s">
        <v>11</v>
      </c>
      <c r="E623" t="s">
        <v>26</v>
      </c>
      <c r="F623" t="s">
        <v>44</v>
      </c>
      <c r="G623" s="7">
        <v>43845</v>
      </c>
      <c r="H623" t="s">
        <v>21</v>
      </c>
      <c r="I623" t="s">
        <v>15</v>
      </c>
      <c r="J623" t="s">
        <v>23</v>
      </c>
    </row>
    <row r="624" spans="1:10" x14ac:dyDescent="0.3">
      <c r="A624" t="s">
        <v>59</v>
      </c>
      <c r="B624">
        <v>50</v>
      </c>
      <c r="C624" s="6" t="s">
        <v>68</v>
      </c>
      <c r="D624" t="s">
        <v>18</v>
      </c>
      <c r="E624" t="s">
        <v>12</v>
      </c>
      <c r="F624" t="s">
        <v>13</v>
      </c>
      <c r="G624" s="7">
        <v>43881</v>
      </c>
      <c r="H624" t="s">
        <v>41</v>
      </c>
      <c r="I624" t="s">
        <v>22</v>
      </c>
      <c r="J624" t="s">
        <v>23</v>
      </c>
    </row>
    <row r="625" spans="1:10" x14ac:dyDescent="0.3">
      <c r="A625" t="s">
        <v>60</v>
      </c>
      <c r="B625">
        <v>35</v>
      </c>
      <c r="C625" s="6">
        <v>60000</v>
      </c>
      <c r="D625" t="s">
        <v>36</v>
      </c>
      <c r="E625" t="s">
        <v>12</v>
      </c>
      <c r="F625" t="s">
        <v>44</v>
      </c>
      <c r="G625" s="7">
        <v>43881</v>
      </c>
      <c r="H625" t="s">
        <v>27</v>
      </c>
      <c r="I625" t="s">
        <v>15</v>
      </c>
      <c r="J625" t="s">
        <v>23</v>
      </c>
    </row>
    <row r="626" spans="1:10" x14ac:dyDescent="0.3">
      <c r="A626" t="s">
        <v>59</v>
      </c>
      <c r="B626">
        <v>35</v>
      </c>
      <c r="C626" s="6">
        <v>50000</v>
      </c>
      <c r="D626" t="s">
        <v>36</v>
      </c>
      <c r="E626" t="s">
        <v>12</v>
      </c>
      <c r="F626" t="s">
        <v>43</v>
      </c>
      <c r="G626" s="7">
        <v>43195</v>
      </c>
      <c r="H626" t="s">
        <v>41</v>
      </c>
      <c r="I626" t="s">
        <v>69</v>
      </c>
      <c r="J626" t="s">
        <v>23</v>
      </c>
    </row>
    <row r="627" spans="1:10" x14ac:dyDescent="0.3">
      <c r="A627" t="s">
        <v>54</v>
      </c>
      <c r="B627">
        <v>30</v>
      </c>
      <c r="C627" s="6" t="s">
        <v>68</v>
      </c>
      <c r="D627" t="s">
        <v>36</v>
      </c>
      <c r="E627" t="s">
        <v>19</v>
      </c>
      <c r="F627" t="s">
        <v>43</v>
      </c>
      <c r="G627" s="7">
        <v>43800</v>
      </c>
      <c r="H627" t="s">
        <v>41</v>
      </c>
      <c r="I627" t="s">
        <v>15</v>
      </c>
      <c r="J627" t="s">
        <v>69</v>
      </c>
    </row>
    <row r="628" spans="1:10" x14ac:dyDescent="0.3">
      <c r="A628" t="s">
        <v>52</v>
      </c>
      <c r="B628">
        <v>30</v>
      </c>
      <c r="C628" s="6">
        <v>65000</v>
      </c>
      <c r="D628" t="s">
        <v>18</v>
      </c>
      <c r="E628" t="s">
        <v>12</v>
      </c>
      <c r="F628" t="s">
        <v>44</v>
      </c>
      <c r="G628" s="7">
        <v>43800</v>
      </c>
      <c r="H628" t="s">
        <v>31</v>
      </c>
      <c r="I628" t="s">
        <v>22</v>
      </c>
      <c r="J628" t="s">
        <v>69</v>
      </c>
    </row>
    <row r="629" spans="1:10" x14ac:dyDescent="0.3">
      <c r="A629" t="s">
        <v>56</v>
      </c>
      <c r="B629">
        <v>30</v>
      </c>
      <c r="C629" s="6">
        <v>70000</v>
      </c>
      <c r="D629" t="s">
        <v>18</v>
      </c>
      <c r="E629" t="s">
        <v>19</v>
      </c>
      <c r="F629" t="s">
        <v>13</v>
      </c>
      <c r="G629" s="7">
        <v>43881</v>
      </c>
      <c r="H629" t="s">
        <v>41</v>
      </c>
      <c r="I629" t="s">
        <v>32</v>
      </c>
      <c r="J629" t="s">
        <v>23</v>
      </c>
    </row>
    <row r="630" spans="1:10" x14ac:dyDescent="0.3">
      <c r="A630" t="s">
        <v>57</v>
      </c>
      <c r="B630">
        <v>50</v>
      </c>
      <c r="C630" s="6">
        <v>70000</v>
      </c>
      <c r="D630" t="s">
        <v>11</v>
      </c>
      <c r="E630" t="s">
        <v>26</v>
      </c>
      <c r="F630" t="s">
        <v>39</v>
      </c>
      <c r="G630" s="7">
        <v>43845</v>
      </c>
      <c r="H630" t="s">
        <v>41</v>
      </c>
      <c r="I630" t="s">
        <v>15</v>
      </c>
      <c r="J630" t="s">
        <v>23</v>
      </c>
    </row>
    <row r="631" spans="1:10" x14ac:dyDescent="0.3">
      <c r="A631" t="s">
        <v>58</v>
      </c>
      <c r="B631">
        <v>30</v>
      </c>
      <c r="C631" s="6">
        <v>55000</v>
      </c>
      <c r="D631" t="s">
        <v>36</v>
      </c>
      <c r="E631" t="s">
        <v>19</v>
      </c>
      <c r="F631" t="s">
        <v>43</v>
      </c>
      <c r="G631" s="7">
        <v>43845</v>
      </c>
      <c r="H631" t="s">
        <v>27</v>
      </c>
      <c r="I631" t="s">
        <v>69</v>
      </c>
      <c r="J631" t="s">
        <v>23</v>
      </c>
    </row>
    <row r="632" spans="1:10" x14ac:dyDescent="0.3">
      <c r="A632" t="s">
        <v>56</v>
      </c>
      <c r="B632">
        <v>40</v>
      </c>
      <c r="C632" s="6">
        <v>55000</v>
      </c>
      <c r="D632" t="s">
        <v>18</v>
      </c>
      <c r="E632" t="s">
        <v>26</v>
      </c>
      <c r="F632" t="s">
        <v>43</v>
      </c>
      <c r="G632" s="7">
        <v>43845</v>
      </c>
      <c r="H632" t="s">
        <v>27</v>
      </c>
      <c r="I632" t="s">
        <v>32</v>
      </c>
      <c r="J632" t="s">
        <v>23</v>
      </c>
    </row>
    <row r="633" spans="1:10" x14ac:dyDescent="0.3">
      <c r="A633" t="s">
        <v>54</v>
      </c>
      <c r="B633">
        <v>36</v>
      </c>
      <c r="C633" s="6">
        <v>70000</v>
      </c>
      <c r="D633" t="s">
        <v>36</v>
      </c>
      <c r="E633" t="s">
        <v>26</v>
      </c>
      <c r="F633" t="s">
        <v>39</v>
      </c>
      <c r="G633" s="7">
        <v>43800</v>
      </c>
      <c r="H633" t="s">
        <v>14</v>
      </c>
      <c r="I633" t="s">
        <v>69</v>
      </c>
      <c r="J633" t="s">
        <v>28</v>
      </c>
    </row>
    <row r="634" spans="1:10" x14ac:dyDescent="0.3">
      <c r="A634" t="s">
        <v>60</v>
      </c>
      <c r="B634">
        <v>25</v>
      </c>
      <c r="C634" s="6">
        <v>70000</v>
      </c>
      <c r="D634" t="s">
        <v>36</v>
      </c>
      <c r="E634" t="s">
        <v>19</v>
      </c>
      <c r="F634" t="s">
        <v>44</v>
      </c>
      <c r="G634" s="7">
        <v>43195</v>
      </c>
      <c r="H634" t="s">
        <v>31</v>
      </c>
      <c r="I634" t="s">
        <v>69</v>
      </c>
      <c r="J634" t="s">
        <v>28</v>
      </c>
    </row>
    <row r="635" spans="1:10" x14ac:dyDescent="0.3">
      <c r="A635" t="s">
        <v>58</v>
      </c>
      <c r="B635">
        <v>35</v>
      </c>
      <c r="C635" s="6">
        <v>65000</v>
      </c>
      <c r="D635" t="s">
        <v>11</v>
      </c>
      <c r="E635" t="s">
        <v>30</v>
      </c>
      <c r="F635" t="s">
        <v>13</v>
      </c>
      <c r="G635" s="7">
        <v>43881</v>
      </c>
      <c r="H635" t="s">
        <v>41</v>
      </c>
      <c r="I635" t="s">
        <v>69</v>
      </c>
      <c r="J635" t="s">
        <v>45</v>
      </c>
    </row>
    <row r="636" spans="1:10" x14ac:dyDescent="0.3">
      <c r="A636" t="s">
        <v>55</v>
      </c>
      <c r="B636">
        <v>40</v>
      </c>
      <c r="C636" s="6">
        <v>60000</v>
      </c>
      <c r="D636" t="s">
        <v>11</v>
      </c>
      <c r="E636" t="s">
        <v>37</v>
      </c>
      <c r="F636" t="s">
        <v>44</v>
      </c>
      <c r="G636" s="7">
        <v>43549</v>
      </c>
      <c r="H636" t="s">
        <v>31</v>
      </c>
      <c r="I636" t="s">
        <v>15</v>
      </c>
      <c r="J636" t="s">
        <v>23</v>
      </c>
    </row>
    <row r="637" spans="1:10" x14ac:dyDescent="0.3">
      <c r="A637" t="s">
        <v>53</v>
      </c>
      <c r="B637">
        <v>25</v>
      </c>
      <c r="C637" s="6">
        <v>55000</v>
      </c>
      <c r="D637" t="s">
        <v>11</v>
      </c>
      <c r="E637" t="s">
        <v>12</v>
      </c>
      <c r="F637" t="s">
        <v>20</v>
      </c>
      <c r="G637" s="7">
        <v>43195</v>
      </c>
      <c r="H637" t="s">
        <v>21</v>
      </c>
      <c r="I637" t="s">
        <v>69</v>
      </c>
      <c r="J637" t="s">
        <v>45</v>
      </c>
    </row>
    <row r="638" spans="1:10" x14ac:dyDescent="0.3">
      <c r="A638" t="s">
        <v>58</v>
      </c>
      <c r="B638">
        <v>40</v>
      </c>
      <c r="C638" s="6">
        <v>60000</v>
      </c>
      <c r="D638" t="s">
        <v>11</v>
      </c>
      <c r="E638" t="s">
        <v>37</v>
      </c>
      <c r="F638" t="s">
        <v>43</v>
      </c>
      <c r="G638" s="7">
        <v>43549</v>
      </c>
      <c r="H638" t="s">
        <v>41</v>
      </c>
      <c r="I638" t="s">
        <v>32</v>
      </c>
      <c r="J638" t="s">
        <v>69</v>
      </c>
    </row>
    <row r="639" spans="1:10" x14ac:dyDescent="0.3">
      <c r="A639" t="s">
        <v>54</v>
      </c>
      <c r="B639">
        <v>40</v>
      </c>
      <c r="C639" s="6">
        <v>65000</v>
      </c>
      <c r="D639" t="s">
        <v>36</v>
      </c>
      <c r="E639" t="s">
        <v>12</v>
      </c>
      <c r="F639" t="s">
        <v>20</v>
      </c>
      <c r="G639" s="7">
        <v>43195</v>
      </c>
      <c r="H639" t="s">
        <v>31</v>
      </c>
      <c r="I639" t="s">
        <v>22</v>
      </c>
      <c r="J639" t="s">
        <v>45</v>
      </c>
    </row>
    <row r="640" spans="1:10" x14ac:dyDescent="0.3">
      <c r="A640" t="s">
        <v>51</v>
      </c>
      <c r="B640">
        <v>35</v>
      </c>
      <c r="C640" s="6">
        <v>70000</v>
      </c>
      <c r="D640" t="s">
        <v>11</v>
      </c>
      <c r="E640" t="s">
        <v>12</v>
      </c>
      <c r="F640" t="s">
        <v>43</v>
      </c>
      <c r="G640" s="7">
        <v>43845</v>
      </c>
      <c r="H640" t="s">
        <v>14</v>
      </c>
      <c r="I640" t="s">
        <v>69</v>
      </c>
      <c r="J640" t="s">
        <v>69</v>
      </c>
    </row>
    <row r="641" spans="1:10" x14ac:dyDescent="0.3">
      <c r="A641" t="s">
        <v>53</v>
      </c>
      <c r="B641">
        <v>36</v>
      </c>
      <c r="C641" s="6" t="s">
        <v>68</v>
      </c>
      <c r="D641" t="s">
        <v>11</v>
      </c>
      <c r="E641" t="s">
        <v>26</v>
      </c>
      <c r="F641" t="s">
        <v>43</v>
      </c>
      <c r="G641" s="7">
        <v>43800</v>
      </c>
      <c r="H641" t="s">
        <v>14</v>
      </c>
      <c r="I641" t="s">
        <v>15</v>
      </c>
      <c r="J641" t="s">
        <v>28</v>
      </c>
    </row>
    <row r="642" spans="1:10" x14ac:dyDescent="0.3">
      <c r="A642" t="s">
        <v>59</v>
      </c>
      <c r="B642">
        <v>30</v>
      </c>
      <c r="C642" s="6">
        <v>60000</v>
      </c>
      <c r="D642" t="s">
        <v>11</v>
      </c>
      <c r="E642" t="s">
        <v>12</v>
      </c>
      <c r="F642" t="s">
        <v>20</v>
      </c>
      <c r="G642" s="7">
        <v>43549</v>
      </c>
      <c r="H642" t="s">
        <v>41</v>
      </c>
      <c r="I642" t="s">
        <v>69</v>
      </c>
      <c r="J642" t="s">
        <v>28</v>
      </c>
    </row>
    <row r="643" spans="1:10" x14ac:dyDescent="0.3">
      <c r="A643" t="s">
        <v>57</v>
      </c>
      <c r="B643">
        <v>50</v>
      </c>
      <c r="C643" s="6">
        <v>70000</v>
      </c>
      <c r="D643" t="s">
        <v>11</v>
      </c>
      <c r="E643" t="s">
        <v>12</v>
      </c>
      <c r="F643" t="s">
        <v>20</v>
      </c>
      <c r="G643" s="7">
        <v>43195</v>
      </c>
      <c r="H643" t="s">
        <v>21</v>
      </c>
      <c r="I643" t="s">
        <v>22</v>
      </c>
      <c r="J643" t="s">
        <v>23</v>
      </c>
    </row>
    <row r="644" spans="1:10" x14ac:dyDescent="0.3">
      <c r="A644" t="s">
        <v>59</v>
      </c>
      <c r="B644">
        <v>36</v>
      </c>
      <c r="C644" s="6">
        <v>70000</v>
      </c>
      <c r="D644" t="s">
        <v>36</v>
      </c>
      <c r="E644" t="s">
        <v>19</v>
      </c>
      <c r="F644" t="s">
        <v>44</v>
      </c>
      <c r="G644" s="7">
        <v>43800</v>
      </c>
      <c r="H644" t="s">
        <v>14</v>
      </c>
      <c r="I644" t="s">
        <v>32</v>
      </c>
      <c r="J644" t="s">
        <v>23</v>
      </c>
    </row>
    <row r="645" spans="1:10" x14ac:dyDescent="0.3">
      <c r="A645" t="s">
        <v>58</v>
      </c>
      <c r="B645">
        <v>50</v>
      </c>
      <c r="C645" s="6">
        <v>50000</v>
      </c>
      <c r="D645" t="s">
        <v>11</v>
      </c>
      <c r="E645" t="s">
        <v>37</v>
      </c>
      <c r="F645" t="s">
        <v>20</v>
      </c>
      <c r="G645" s="7">
        <v>43549</v>
      </c>
      <c r="H645" t="s">
        <v>14</v>
      </c>
      <c r="I645" t="s">
        <v>69</v>
      </c>
      <c r="J645" t="s">
        <v>69</v>
      </c>
    </row>
    <row r="646" spans="1:10" x14ac:dyDescent="0.3">
      <c r="A646" t="s">
        <v>59</v>
      </c>
      <c r="B646">
        <v>35</v>
      </c>
      <c r="C646" s="6">
        <v>60000</v>
      </c>
      <c r="D646" t="s">
        <v>36</v>
      </c>
      <c r="E646" t="s">
        <v>19</v>
      </c>
      <c r="F646" t="s">
        <v>44</v>
      </c>
      <c r="G646" s="7">
        <v>43881</v>
      </c>
      <c r="H646" t="s">
        <v>21</v>
      </c>
      <c r="I646" t="s">
        <v>69</v>
      </c>
      <c r="J646" t="s">
        <v>69</v>
      </c>
    </row>
    <row r="647" spans="1:10" x14ac:dyDescent="0.3">
      <c r="A647" t="s">
        <v>54</v>
      </c>
      <c r="B647">
        <v>35</v>
      </c>
      <c r="C647" s="6" t="s">
        <v>68</v>
      </c>
      <c r="D647" t="s">
        <v>18</v>
      </c>
      <c r="E647" t="s">
        <v>12</v>
      </c>
      <c r="F647" t="s">
        <v>44</v>
      </c>
      <c r="G647" s="7">
        <v>43195</v>
      </c>
      <c r="H647" t="s">
        <v>31</v>
      </c>
      <c r="I647" t="s">
        <v>22</v>
      </c>
      <c r="J647" t="s">
        <v>69</v>
      </c>
    </row>
    <row r="648" spans="1:10" x14ac:dyDescent="0.3">
      <c r="A648" t="s">
        <v>55</v>
      </c>
      <c r="B648">
        <v>35</v>
      </c>
      <c r="C648" s="6">
        <v>60000</v>
      </c>
      <c r="D648" t="s">
        <v>36</v>
      </c>
      <c r="E648" t="s">
        <v>26</v>
      </c>
      <c r="F648" t="s">
        <v>44</v>
      </c>
      <c r="G648" s="7">
        <v>43881</v>
      </c>
      <c r="H648" t="s">
        <v>14</v>
      </c>
      <c r="I648" t="s">
        <v>15</v>
      </c>
      <c r="J648" t="s">
        <v>23</v>
      </c>
    </row>
    <row r="649" spans="1:10" x14ac:dyDescent="0.3">
      <c r="A649" t="s">
        <v>60</v>
      </c>
      <c r="B649">
        <v>25</v>
      </c>
      <c r="C649" s="6">
        <v>70000</v>
      </c>
      <c r="D649" t="s">
        <v>36</v>
      </c>
      <c r="E649" t="s">
        <v>19</v>
      </c>
      <c r="F649" t="s">
        <v>43</v>
      </c>
      <c r="G649" s="7">
        <v>43845</v>
      </c>
      <c r="H649" t="s">
        <v>27</v>
      </c>
      <c r="I649" t="s">
        <v>32</v>
      </c>
      <c r="J649" t="s">
        <v>23</v>
      </c>
    </row>
    <row r="650" spans="1:10" x14ac:dyDescent="0.3">
      <c r="A650" t="s">
        <v>57</v>
      </c>
      <c r="B650">
        <v>50</v>
      </c>
      <c r="C650" s="6" t="s">
        <v>68</v>
      </c>
      <c r="D650" t="s">
        <v>11</v>
      </c>
      <c r="E650" t="s">
        <v>19</v>
      </c>
      <c r="F650" t="s">
        <v>43</v>
      </c>
      <c r="G650" s="7">
        <v>43881</v>
      </c>
      <c r="H650" t="s">
        <v>14</v>
      </c>
      <c r="I650" t="s">
        <v>22</v>
      </c>
      <c r="J650" t="s">
        <v>69</v>
      </c>
    </row>
    <row r="651" spans="1:10" x14ac:dyDescent="0.3">
      <c r="A651" t="s">
        <v>59</v>
      </c>
      <c r="B651">
        <v>36</v>
      </c>
      <c r="C651" s="6">
        <v>65000</v>
      </c>
      <c r="D651" t="s">
        <v>18</v>
      </c>
      <c r="E651" t="s">
        <v>30</v>
      </c>
      <c r="F651" t="s">
        <v>20</v>
      </c>
      <c r="G651" s="7">
        <v>43881</v>
      </c>
      <c r="H651" t="s">
        <v>31</v>
      </c>
      <c r="I651" t="s">
        <v>69</v>
      </c>
      <c r="J651" t="s">
        <v>69</v>
      </c>
    </row>
    <row r="652" spans="1:10" x14ac:dyDescent="0.3">
      <c r="A652" t="s">
        <v>59</v>
      </c>
      <c r="B652">
        <v>36</v>
      </c>
      <c r="C652" s="6">
        <v>50000</v>
      </c>
      <c r="D652" t="s">
        <v>18</v>
      </c>
      <c r="E652" t="s">
        <v>12</v>
      </c>
      <c r="F652" t="s">
        <v>43</v>
      </c>
      <c r="G652" s="7">
        <v>43195</v>
      </c>
      <c r="H652" t="s">
        <v>31</v>
      </c>
      <c r="I652" t="s">
        <v>32</v>
      </c>
      <c r="J652" t="s">
        <v>69</v>
      </c>
    </row>
    <row r="653" spans="1:10" x14ac:dyDescent="0.3">
      <c r="A653" t="s">
        <v>58</v>
      </c>
      <c r="B653">
        <v>40</v>
      </c>
      <c r="C653" s="6">
        <v>70000</v>
      </c>
      <c r="D653" t="s">
        <v>18</v>
      </c>
      <c r="E653" t="s">
        <v>26</v>
      </c>
      <c r="F653" t="s">
        <v>20</v>
      </c>
      <c r="G653" s="7">
        <v>43845</v>
      </c>
      <c r="H653" t="s">
        <v>41</v>
      </c>
      <c r="I653" t="s">
        <v>69</v>
      </c>
      <c r="J653" t="s">
        <v>28</v>
      </c>
    </row>
    <row r="654" spans="1:10" x14ac:dyDescent="0.3">
      <c r="A654" t="s">
        <v>60</v>
      </c>
      <c r="B654">
        <v>40</v>
      </c>
      <c r="C654" s="6">
        <v>55000</v>
      </c>
      <c r="D654" t="s">
        <v>18</v>
      </c>
      <c r="E654" t="s">
        <v>19</v>
      </c>
      <c r="F654" t="s">
        <v>43</v>
      </c>
      <c r="G654" s="7">
        <v>43881</v>
      </c>
      <c r="H654" t="s">
        <v>27</v>
      </c>
      <c r="I654" t="s">
        <v>22</v>
      </c>
      <c r="J654" t="s">
        <v>45</v>
      </c>
    </row>
    <row r="655" spans="1:10" x14ac:dyDescent="0.3">
      <c r="A655" t="s">
        <v>56</v>
      </c>
      <c r="B655">
        <v>40</v>
      </c>
      <c r="C655" s="6">
        <v>55000</v>
      </c>
      <c r="D655" t="s">
        <v>36</v>
      </c>
      <c r="E655" t="s">
        <v>19</v>
      </c>
      <c r="F655" t="s">
        <v>13</v>
      </c>
      <c r="G655" s="7">
        <v>43800</v>
      </c>
      <c r="H655" t="s">
        <v>31</v>
      </c>
      <c r="I655" t="s">
        <v>69</v>
      </c>
      <c r="J655" t="s">
        <v>45</v>
      </c>
    </row>
    <row r="656" spans="1:10" x14ac:dyDescent="0.3">
      <c r="A656" t="s">
        <v>59</v>
      </c>
      <c r="B656">
        <v>35</v>
      </c>
      <c r="C656" s="6">
        <v>50000</v>
      </c>
      <c r="D656" t="s">
        <v>18</v>
      </c>
      <c r="E656" t="s">
        <v>26</v>
      </c>
      <c r="F656" t="s">
        <v>13</v>
      </c>
      <c r="G656" s="7">
        <v>43549</v>
      </c>
      <c r="H656" t="s">
        <v>21</v>
      </c>
      <c r="I656" t="s">
        <v>69</v>
      </c>
      <c r="J656" t="s">
        <v>23</v>
      </c>
    </row>
    <row r="657" spans="1:10" x14ac:dyDescent="0.3">
      <c r="A657" t="s">
        <v>54</v>
      </c>
      <c r="B657">
        <v>36</v>
      </c>
      <c r="C657" s="6">
        <v>65000</v>
      </c>
      <c r="D657" t="s">
        <v>36</v>
      </c>
      <c r="E657" t="s">
        <v>12</v>
      </c>
      <c r="F657" t="s">
        <v>20</v>
      </c>
      <c r="G657" s="7">
        <v>43881</v>
      </c>
      <c r="H657" t="s">
        <v>27</v>
      </c>
      <c r="I657" t="s">
        <v>69</v>
      </c>
      <c r="J657" t="s">
        <v>28</v>
      </c>
    </row>
    <row r="658" spans="1:10" x14ac:dyDescent="0.3">
      <c r="A658" t="s">
        <v>51</v>
      </c>
      <c r="B658">
        <v>50</v>
      </c>
      <c r="C658" s="6">
        <v>70000</v>
      </c>
      <c r="D658" t="s">
        <v>36</v>
      </c>
      <c r="E658" t="s">
        <v>30</v>
      </c>
      <c r="F658" t="s">
        <v>43</v>
      </c>
      <c r="G658" s="7">
        <v>43845</v>
      </c>
      <c r="H658" t="s">
        <v>27</v>
      </c>
      <c r="I658" t="s">
        <v>15</v>
      </c>
      <c r="J658" t="s">
        <v>69</v>
      </c>
    </row>
    <row r="659" spans="1:10" x14ac:dyDescent="0.3">
      <c r="A659" t="s">
        <v>57</v>
      </c>
      <c r="B659">
        <v>35</v>
      </c>
      <c r="C659" s="6">
        <v>60000</v>
      </c>
      <c r="D659" t="s">
        <v>36</v>
      </c>
      <c r="E659" t="s">
        <v>19</v>
      </c>
      <c r="F659" t="s">
        <v>43</v>
      </c>
      <c r="G659" s="7">
        <v>43881</v>
      </c>
      <c r="H659" t="s">
        <v>21</v>
      </c>
      <c r="I659" t="s">
        <v>69</v>
      </c>
      <c r="J659" t="s">
        <v>23</v>
      </c>
    </row>
    <row r="660" spans="1:10" x14ac:dyDescent="0.3">
      <c r="A660" t="s">
        <v>59</v>
      </c>
      <c r="B660">
        <v>25</v>
      </c>
      <c r="C660" s="6">
        <v>50000</v>
      </c>
      <c r="D660" t="s">
        <v>18</v>
      </c>
      <c r="E660" t="s">
        <v>30</v>
      </c>
      <c r="F660" t="s">
        <v>44</v>
      </c>
      <c r="G660" s="7">
        <v>43549</v>
      </c>
      <c r="H660" t="s">
        <v>14</v>
      </c>
      <c r="I660" t="s">
        <v>69</v>
      </c>
      <c r="J660" t="s">
        <v>28</v>
      </c>
    </row>
    <row r="661" spans="1:10" x14ac:dyDescent="0.3">
      <c r="A661" t="s">
        <v>54</v>
      </c>
      <c r="B661">
        <v>40</v>
      </c>
      <c r="C661" s="6">
        <v>65000</v>
      </c>
      <c r="D661" t="s">
        <v>11</v>
      </c>
      <c r="E661" t="s">
        <v>37</v>
      </c>
      <c r="F661" t="s">
        <v>39</v>
      </c>
      <c r="G661" s="7">
        <v>43845</v>
      </c>
      <c r="H661" t="s">
        <v>21</v>
      </c>
      <c r="I661" t="s">
        <v>69</v>
      </c>
      <c r="J661" t="s">
        <v>69</v>
      </c>
    </row>
    <row r="662" spans="1:10" x14ac:dyDescent="0.3">
      <c r="A662" t="s">
        <v>54</v>
      </c>
      <c r="B662">
        <v>35</v>
      </c>
      <c r="C662" s="6">
        <v>60000</v>
      </c>
      <c r="D662" t="s">
        <v>11</v>
      </c>
      <c r="E662" t="s">
        <v>12</v>
      </c>
      <c r="F662" t="s">
        <v>20</v>
      </c>
      <c r="G662" s="7">
        <v>43195</v>
      </c>
      <c r="H662" t="s">
        <v>21</v>
      </c>
      <c r="I662" t="s">
        <v>32</v>
      </c>
      <c r="J662" t="s">
        <v>28</v>
      </c>
    </row>
    <row r="663" spans="1:10" x14ac:dyDescent="0.3">
      <c r="A663" t="s">
        <v>57</v>
      </c>
      <c r="B663">
        <v>35</v>
      </c>
      <c r="C663" s="6">
        <v>55000</v>
      </c>
      <c r="D663" t="s">
        <v>18</v>
      </c>
      <c r="E663" t="s">
        <v>37</v>
      </c>
      <c r="F663" t="s">
        <v>39</v>
      </c>
      <c r="G663" s="7">
        <v>43845</v>
      </c>
      <c r="H663" t="s">
        <v>14</v>
      </c>
      <c r="I663" t="s">
        <v>69</v>
      </c>
      <c r="J663" t="s">
        <v>23</v>
      </c>
    </row>
    <row r="664" spans="1:10" x14ac:dyDescent="0.3">
      <c r="A664" t="s">
        <v>56</v>
      </c>
      <c r="B664">
        <v>25</v>
      </c>
      <c r="C664" s="6">
        <v>55000</v>
      </c>
      <c r="D664" t="s">
        <v>11</v>
      </c>
      <c r="E664" t="s">
        <v>37</v>
      </c>
      <c r="F664" t="s">
        <v>39</v>
      </c>
      <c r="G664" s="7">
        <v>43195</v>
      </c>
      <c r="H664" t="s">
        <v>14</v>
      </c>
      <c r="I664" t="s">
        <v>69</v>
      </c>
      <c r="J664" t="s">
        <v>45</v>
      </c>
    </row>
    <row r="665" spans="1:10" x14ac:dyDescent="0.3">
      <c r="A665" t="s">
        <v>54</v>
      </c>
      <c r="B665">
        <v>30</v>
      </c>
      <c r="C665" s="6">
        <v>60000</v>
      </c>
      <c r="D665" t="s">
        <v>11</v>
      </c>
      <c r="E665" t="s">
        <v>37</v>
      </c>
      <c r="F665" t="s">
        <v>20</v>
      </c>
      <c r="G665" s="7">
        <v>43845</v>
      </c>
      <c r="H665" t="s">
        <v>14</v>
      </c>
      <c r="I665" t="s">
        <v>22</v>
      </c>
      <c r="J665" t="s">
        <v>69</v>
      </c>
    </row>
    <row r="666" spans="1:10" x14ac:dyDescent="0.3">
      <c r="A666" t="s">
        <v>51</v>
      </c>
      <c r="B666">
        <v>36</v>
      </c>
      <c r="C666" s="6">
        <v>50000</v>
      </c>
      <c r="D666" t="s">
        <v>36</v>
      </c>
      <c r="E666" t="s">
        <v>12</v>
      </c>
      <c r="F666" t="s">
        <v>43</v>
      </c>
      <c r="G666" s="7">
        <v>43549</v>
      </c>
      <c r="H666" t="s">
        <v>14</v>
      </c>
      <c r="I666" t="s">
        <v>15</v>
      </c>
      <c r="J666" t="s">
        <v>69</v>
      </c>
    </row>
    <row r="667" spans="1:10" x14ac:dyDescent="0.3">
      <c r="A667" t="s">
        <v>54</v>
      </c>
      <c r="B667">
        <v>50</v>
      </c>
      <c r="C667" s="6">
        <v>55000</v>
      </c>
      <c r="D667" t="s">
        <v>36</v>
      </c>
      <c r="E667" t="s">
        <v>12</v>
      </c>
      <c r="F667" t="s">
        <v>20</v>
      </c>
      <c r="G667" s="7">
        <v>43549</v>
      </c>
      <c r="H667" t="s">
        <v>14</v>
      </c>
      <c r="I667" t="s">
        <v>32</v>
      </c>
      <c r="J667" t="s">
        <v>28</v>
      </c>
    </row>
    <row r="668" spans="1:10" x14ac:dyDescent="0.3">
      <c r="A668" t="s">
        <v>54</v>
      </c>
      <c r="B668">
        <v>30</v>
      </c>
      <c r="C668" s="6">
        <v>70000</v>
      </c>
      <c r="D668" t="s">
        <v>18</v>
      </c>
      <c r="E668" t="s">
        <v>26</v>
      </c>
      <c r="F668" t="s">
        <v>39</v>
      </c>
      <c r="G668" s="7">
        <v>43845</v>
      </c>
      <c r="H668" t="s">
        <v>21</v>
      </c>
      <c r="I668" t="s">
        <v>69</v>
      </c>
      <c r="J668" t="s">
        <v>23</v>
      </c>
    </row>
    <row r="669" spans="1:10" x14ac:dyDescent="0.3">
      <c r="A669" t="s">
        <v>54</v>
      </c>
      <c r="B669">
        <v>40</v>
      </c>
      <c r="C669" s="6" t="s">
        <v>68</v>
      </c>
      <c r="D669" t="s">
        <v>18</v>
      </c>
      <c r="E669" t="s">
        <v>30</v>
      </c>
      <c r="F669" t="s">
        <v>43</v>
      </c>
      <c r="G669" s="7">
        <v>43881</v>
      </c>
      <c r="H669" t="s">
        <v>41</v>
      </c>
      <c r="I669" t="s">
        <v>22</v>
      </c>
      <c r="J669" t="s">
        <v>23</v>
      </c>
    </row>
    <row r="670" spans="1:10" x14ac:dyDescent="0.3">
      <c r="A670" t="s">
        <v>55</v>
      </c>
      <c r="B670">
        <v>35</v>
      </c>
      <c r="C670" s="6">
        <v>60000</v>
      </c>
      <c r="D670" t="s">
        <v>11</v>
      </c>
      <c r="E670" t="s">
        <v>30</v>
      </c>
      <c r="F670" t="s">
        <v>13</v>
      </c>
      <c r="G670" s="7">
        <v>43549</v>
      </c>
      <c r="H670" t="s">
        <v>41</v>
      </c>
      <c r="I670" t="s">
        <v>15</v>
      </c>
      <c r="J670" t="s">
        <v>69</v>
      </c>
    </row>
    <row r="671" spans="1:10" x14ac:dyDescent="0.3">
      <c r="A671" t="s">
        <v>55</v>
      </c>
      <c r="B671">
        <v>25</v>
      </c>
      <c r="C671" s="6">
        <v>60000</v>
      </c>
      <c r="D671" t="s">
        <v>36</v>
      </c>
      <c r="E671" t="s">
        <v>26</v>
      </c>
      <c r="F671" t="s">
        <v>20</v>
      </c>
      <c r="G671" s="7">
        <v>43195</v>
      </c>
      <c r="H671" t="s">
        <v>31</v>
      </c>
      <c r="I671" t="s">
        <v>32</v>
      </c>
      <c r="J671" t="s">
        <v>23</v>
      </c>
    </row>
    <row r="672" spans="1:10" x14ac:dyDescent="0.3">
      <c r="A672" t="s">
        <v>56</v>
      </c>
      <c r="B672">
        <v>25</v>
      </c>
      <c r="C672" s="6">
        <v>55000</v>
      </c>
      <c r="D672" t="s">
        <v>18</v>
      </c>
      <c r="E672" t="s">
        <v>26</v>
      </c>
      <c r="F672" t="s">
        <v>20</v>
      </c>
      <c r="G672" s="7">
        <v>43195</v>
      </c>
      <c r="H672" t="s">
        <v>41</v>
      </c>
      <c r="I672" t="s">
        <v>32</v>
      </c>
      <c r="J672" t="s">
        <v>23</v>
      </c>
    </row>
    <row r="673" spans="1:10" x14ac:dyDescent="0.3">
      <c r="A673" t="s">
        <v>59</v>
      </c>
      <c r="B673">
        <v>36</v>
      </c>
      <c r="C673" s="6">
        <v>50000</v>
      </c>
      <c r="D673" t="s">
        <v>18</v>
      </c>
      <c r="E673" t="s">
        <v>37</v>
      </c>
      <c r="F673" t="s">
        <v>43</v>
      </c>
      <c r="G673" s="7">
        <v>43800</v>
      </c>
      <c r="H673" t="s">
        <v>41</v>
      </c>
      <c r="I673" t="s">
        <v>69</v>
      </c>
      <c r="J673" t="s">
        <v>69</v>
      </c>
    </row>
    <row r="674" spans="1:10" x14ac:dyDescent="0.3">
      <c r="A674" t="s">
        <v>54</v>
      </c>
      <c r="B674">
        <v>30</v>
      </c>
      <c r="C674" s="6">
        <v>70000</v>
      </c>
      <c r="D674" t="s">
        <v>18</v>
      </c>
      <c r="E674" t="s">
        <v>26</v>
      </c>
      <c r="F674" t="s">
        <v>13</v>
      </c>
      <c r="G674" s="7">
        <v>43195</v>
      </c>
      <c r="H674" t="s">
        <v>21</v>
      </c>
      <c r="I674" t="s">
        <v>32</v>
      </c>
      <c r="J674" t="s">
        <v>69</v>
      </c>
    </row>
    <row r="675" spans="1:10" x14ac:dyDescent="0.3">
      <c r="A675" t="s">
        <v>60</v>
      </c>
      <c r="B675">
        <v>36</v>
      </c>
      <c r="C675" s="6">
        <v>50000</v>
      </c>
      <c r="D675" t="s">
        <v>18</v>
      </c>
      <c r="E675" t="s">
        <v>19</v>
      </c>
      <c r="F675" t="s">
        <v>13</v>
      </c>
      <c r="G675" s="7">
        <v>43800</v>
      </c>
      <c r="H675" t="s">
        <v>14</v>
      </c>
      <c r="I675" t="s">
        <v>22</v>
      </c>
      <c r="J675" t="s">
        <v>45</v>
      </c>
    </row>
    <row r="676" spans="1:10" x14ac:dyDescent="0.3">
      <c r="A676" t="s">
        <v>59</v>
      </c>
      <c r="B676">
        <v>35</v>
      </c>
      <c r="C676" s="6">
        <v>65000</v>
      </c>
      <c r="D676" t="s">
        <v>18</v>
      </c>
      <c r="E676" t="s">
        <v>30</v>
      </c>
      <c r="F676" t="s">
        <v>43</v>
      </c>
      <c r="G676" s="7">
        <v>43845</v>
      </c>
      <c r="H676" t="s">
        <v>14</v>
      </c>
      <c r="I676" t="s">
        <v>32</v>
      </c>
      <c r="J676" t="s">
        <v>45</v>
      </c>
    </row>
    <row r="677" spans="1:10" x14ac:dyDescent="0.3">
      <c r="A677" t="s">
        <v>56</v>
      </c>
      <c r="B677">
        <v>36</v>
      </c>
      <c r="C677" s="6">
        <v>65000</v>
      </c>
      <c r="D677" t="s">
        <v>18</v>
      </c>
      <c r="E677" t="s">
        <v>26</v>
      </c>
      <c r="F677" t="s">
        <v>44</v>
      </c>
      <c r="G677" s="7">
        <v>43845</v>
      </c>
      <c r="H677" t="s">
        <v>21</v>
      </c>
      <c r="I677" t="s">
        <v>69</v>
      </c>
      <c r="J677" t="s">
        <v>28</v>
      </c>
    </row>
    <row r="678" spans="1:10" x14ac:dyDescent="0.3">
      <c r="A678" t="s">
        <v>52</v>
      </c>
      <c r="B678">
        <v>50</v>
      </c>
      <c r="C678" s="6" t="s">
        <v>68</v>
      </c>
      <c r="D678" t="s">
        <v>11</v>
      </c>
      <c r="E678" t="s">
        <v>19</v>
      </c>
      <c r="F678" t="s">
        <v>20</v>
      </c>
      <c r="G678" s="7">
        <v>43845</v>
      </c>
      <c r="H678" t="s">
        <v>41</v>
      </c>
      <c r="I678" t="s">
        <v>22</v>
      </c>
      <c r="J678" t="s">
        <v>69</v>
      </c>
    </row>
    <row r="679" spans="1:10" x14ac:dyDescent="0.3">
      <c r="A679" t="s">
        <v>59</v>
      </c>
      <c r="B679">
        <v>25</v>
      </c>
      <c r="C679" s="6">
        <v>55000</v>
      </c>
      <c r="D679" t="s">
        <v>36</v>
      </c>
      <c r="E679" t="s">
        <v>19</v>
      </c>
      <c r="F679" t="s">
        <v>20</v>
      </c>
      <c r="G679" s="7">
        <v>43881</v>
      </c>
      <c r="H679" t="s">
        <v>21</v>
      </c>
      <c r="I679" t="s">
        <v>15</v>
      </c>
      <c r="J679" t="s">
        <v>28</v>
      </c>
    </row>
    <row r="680" spans="1:10" x14ac:dyDescent="0.3">
      <c r="A680" t="s">
        <v>59</v>
      </c>
      <c r="B680">
        <v>25</v>
      </c>
      <c r="C680" s="6">
        <v>55000</v>
      </c>
      <c r="D680" t="s">
        <v>36</v>
      </c>
      <c r="E680" t="s">
        <v>19</v>
      </c>
      <c r="F680" t="s">
        <v>39</v>
      </c>
      <c r="G680" s="7">
        <v>43881</v>
      </c>
      <c r="H680" t="s">
        <v>31</v>
      </c>
      <c r="I680" t="s">
        <v>15</v>
      </c>
      <c r="J680" t="s">
        <v>45</v>
      </c>
    </row>
    <row r="681" spans="1:10" x14ac:dyDescent="0.3">
      <c r="A681" t="s">
        <v>53</v>
      </c>
      <c r="B681">
        <v>40</v>
      </c>
      <c r="C681" s="6">
        <v>55000</v>
      </c>
      <c r="D681" t="s">
        <v>18</v>
      </c>
      <c r="E681" t="s">
        <v>19</v>
      </c>
      <c r="F681" t="s">
        <v>43</v>
      </c>
      <c r="G681" s="7">
        <v>43800</v>
      </c>
      <c r="H681" t="s">
        <v>14</v>
      </c>
      <c r="I681" t="s">
        <v>69</v>
      </c>
      <c r="J681" t="s">
        <v>69</v>
      </c>
    </row>
    <row r="682" spans="1:10" x14ac:dyDescent="0.3">
      <c r="A682" t="s">
        <v>58</v>
      </c>
      <c r="B682">
        <v>40</v>
      </c>
      <c r="C682" s="6" t="s">
        <v>68</v>
      </c>
      <c r="D682" t="s">
        <v>36</v>
      </c>
      <c r="E682" t="s">
        <v>37</v>
      </c>
      <c r="F682" t="s">
        <v>39</v>
      </c>
      <c r="G682" s="7">
        <v>43195</v>
      </c>
      <c r="H682" t="s">
        <v>27</v>
      </c>
      <c r="I682" t="s">
        <v>69</v>
      </c>
      <c r="J682" t="s">
        <v>23</v>
      </c>
    </row>
    <row r="683" spans="1:10" x14ac:dyDescent="0.3">
      <c r="A683" t="s">
        <v>53</v>
      </c>
      <c r="B683">
        <v>35</v>
      </c>
      <c r="C683" s="6">
        <v>65000</v>
      </c>
      <c r="D683" t="s">
        <v>36</v>
      </c>
      <c r="E683" t="s">
        <v>19</v>
      </c>
      <c r="F683" t="s">
        <v>39</v>
      </c>
      <c r="G683" s="7">
        <v>43195</v>
      </c>
      <c r="H683" t="s">
        <v>31</v>
      </c>
      <c r="I683" t="s">
        <v>69</v>
      </c>
      <c r="J683" t="s">
        <v>45</v>
      </c>
    </row>
    <row r="684" spans="1:10" x14ac:dyDescent="0.3">
      <c r="A684" t="s">
        <v>51</v>
      </c>
      <c r="B684">
        <v>50</v>
      </c>
      <c r="C684" s="6">
        <v>50000</v>
      </c>
      <c r="D684" t="s">
        <v>36</v>
      </c>
      <c r="E684" t="s">
        <v>37</v>
      </c>
      <c r="F684" t="s">
        <v>13</v>
      </c>
      <c r="G684" s="7">
        <v>43845</v>
      </c>
      <c r="H684" t="s">
        <v>31</v>
      </c>
      <c r="I684" t="s">
        <v>15</v>
      </c>
      <c r="J684" t="s">
        <v>69</v>
      </c>
    </row>
    <row r="685" spans="1:10" x14ac:dyDescent="0.3">
      <c r="A685" t="s">
        <v>55</v>
      </c>
      <c r="B685">
        <v>30</v>
      </c>
      <c r="C685" s="6" t="s">
        <v>68</v>
      </c>
      <c r="D685" t="s">
        <v>18</v>
      </c>
      <c r="E685" t="s">
        <v>37</v>
      </c>
      <c r="F685" t="s">
        <v>20</v>
      </c>
      <c r="G685" s="7">
        <v>43549</v>
      </c>
      <c r="H685" t="s">
        <v>21</v>
      </c>
      <c r="I685" t="s">
        <v>15</v>
      </c>
      <c r="J685" t="s">
        <v>45</v>
      </c>
    </row>
    <row r="686" spans="1:10" x14ac:dyDescent="0.3">
      <c r="A686" t="s">
        <v>55</v>
      </c>
      <c r="B686">
        <v>36</v>
      </c>
      <c r="C686" s="6" t="s">
        <v>68</v>
      </c>
      <c r="D686" t="s">
        <v>18</v>
      </c>
      <c r="E686" t="s">
        <v>19</v>
      </c>
      <c r="F686" t="s">
        <v>39</v>
      </c>
      <c r="G686" s="7">
        <v>43881</v>
      </c>
      <c r="H686" t="s">
        <v>41</v>
      </c>
      <c r="I686" t="s">
        <v>15</v>
      </c>
      <c r="J686" t="s">
        <v>69</v>
      </c>
    </row>
    <row r="687" spans="1:10" x14ac:dyDescent="0.3">
      <c r="A687" t="s">
        <v>58</v>
      </c>
      <c r="B687">
        <v>35</v>
      </c>
      <c r="C687" s="6">
        <v>50000</v>
      </c>
      <c r="D687" t="s">
        <v>36</v>
      </c>
      <c r="E687" t="s">
        <v>30</v>
      </c>
      <c r="F687" t="s">
        <v>13</v>
      </c>
      <c r="G687" s="7">
        <v>43881</v>
      </c>
      <c r="H687" t="s">
        <v>14</v>
      </c>
      <c r="I687" t="s">
        <v>15</v>
      </c>
      <c r="J687" t="s">
        <v>69</v>
      </c>
    </row>
    <row r="688" spans="1:10" x14ac:dyDescent="0.3">
      <c r="A688" t="s">
        <v>57</v>
      </c>
      <c r="B688">
        <v>40</v>
      </c>
      <c r="C688" s="6">
        <v>55000</v>
      </c>
      <c r="D688" t="s">
        <v>36</v>
      </c>
      <c r="E688" t="s">
        <v>19</v>
      </c>
      <c r="F688" t="s">
        <v>43</v>
      </c>
      <c r="G688" s="7">
        <v>43845</v>
      </c>
      <c r="H688" t="s">
        <v>27</v>
      </c>
      <c r="I688" t="s">
        <v>32</v>
      </c>
      <c r="J688" t="s">
        <v>69</v>
      </c>
    </row>
    <row r="689" spans="1:10" x14ac:dyDescent="0.3">
      <c r="A689" t="s">
        <v>57</v>
      </c>
      <c r="B689">
        <v>36</v>
      </c>
      <c r="C689" s="6">
        <v>70000</v>
      </c>
      <c r="D689" t="s">
        <v>18</v>
      </c>
      <c r="E689" t="s">
        <v>19</v>
      </c>
      <c r="F689" t="s">
        <v>39</v>
      </c>
      <c r="G689" s="7">
        <v>43881</v>
      </c>
      <c r="H689" t="s">
        <v>31</v>
      </c>
      <c r="I689" t="s">
        <v>22</v>
      </c>
      <c r="J689" t="s">
        <v>28</v>
      </c>
    </row>
    <row r="690" spans="1:10" x14ac:dyDescent="0.3">
      <c r="A690" t="s">
        <v>56</v>
      </c>
      <c r="B690">
        <v>40</v>
      </c>
      <c r="C690" s="6">
        <v>50000</v>
      </c>
      <c r="D690" t="s">
        <v>11</v>
      </c>
      <c r="E690" t="s">
        <v>19</v>
      </c>
      <c r="F690" t="s">
        <v>20</v>
      </c>
      <c r="G690" s="7">
        <v>43845</v>
      </c>
      <c r="H690" t="s">
        <v>27</v>
      </c>
      <c r="I690" t="s">
        <v>22</v>
      </c>
      <c r="J690" t="s">
        <v>69</v>
      </c>
    </row>
    <row r="691" spans="1:10" x14ac:dyDescent="0.3">
      <c r="A691" t="s">
        <v>58</v>
      </c>
      <c r="B691">
        <v>36</v>
      </c>
      <c r="C691" s="6">
        <v>65000</v>
      </c>
      <c r="D691" t="s">
        <v>36</v>
      </c>
      <c r="E691" t="s">
        <v>30</v>
      </c>
      <c r="F691" t="s">
        <v>39</v>
      </c>
      <c r="G691" s="7">
        <v>43800</v>
      </c>
      <c r="H691" t="s">
        <v>41</v>
      </c>
      <c r="I691" t="s">
        <v>69</v>
      </c>
      <c r="J691" t="s">
        <v>45</v>
      </c>
    </row>
    <row r="692" spans="1:10" x14ac:dyDescent="0.3">
      <c r="A692" t="s">
        <v>59</v>
      </c>
      <c r="B692">
        <v>30</v>
      </c>
      <c r="C692" s="6">
        <v>60000</v>
      </c>
      <c r="D692" t="s">
        <v>11</v>
      </c>
      <c r="E692" t="s">
        <v>12</v>
      </c>
      <c r="F692" t="s">
        <v>43</v>
      </c>
      <c r="G692" s="7">
        <v>43195</v>
      </c>
      <c r="H692" t="s">
        <v>41</v>
      </c>
      <c r="I692" t="s">
        <v>32</v>
      </c>
      <c r="J692" t="s">
        <v>69</v>
      </c>
    </row>
    <row r="693" spans="1:10" x14ac:dyDescent="0.3">
      <c r="A693" t="s">
        <v>57</v>
      </c>
      <c r="B693">
        <v>35</v>
      </c>
      <c r="C693" s="6">
        <v>60000</v>
      </c>
      <c r="D693" t="s">
        <v>36</v>
      </c>
      <c r="E693" t="s">
        <v>12</v>
      </c>
      <c r="F693" t="s">
        <v>39</v>
      </c>
      <c r="G693" s="7">
        <v>43549</v>
      </c>
      <c r="H693" t="s">
        <v>27</v>
      </c>
      <c r="I693" t="s">
        <v>15</v>
      </c>
      <c r="J693" t="s">
        <v>23</v>
      </c>
    </row>
    <row r="694" spans="1:10" x14ac:dyDescent="0.3">
      <c r="A694" t="s">
        <v>54</v>
      </c>
      <c r="B694">
        <v>36</v>
      </c>
      <c r="C694" s="6" t="s">
        <v>68</v>
      </c>
      <c r="D694" t="s">
        <v>11</v>
      </c>
      <c r="E694" t="s">
        <v>37</v>
      </c>
      <c r="F694" t="s">
        <v>20</v>
      </c>
      <c r="G694" s="7">
        <v>43195</v>
      </c>
      <c r="H694" t="s">
        <v>14</v>
      </c>
      <c r="I694" t="s">
        <v>15</v>
      </c>
      <c r="J694" t="s">
        <v>45</v>
      </c>
    </row>
    <row r="695" spans="1:10" x14ac:dyDescent="0.3">
      <c r="A695" t="s">
        <v>60</v>
      </c>
      <c r="B695">
        <v>50</v>
      </c>
      <c r="C695" s="6">
        <v>60000</v>
      </c>
      <c r="D695" t="s">
        <v>11</v>
      </c>
      <c r="E695" t="s">
        <v>37</v>
      </c>
      <c r="F695" t="s">
        <v>13</v>
      </c>
      <c r="G695" s="7">
        <v>43195</v>
      </c>
      <c r="H695" t="s">
        <v>41</v>
      </c>
      <c r="I695" t="s">
        <v>69</v>
      </c>
      <c r="J695" t="s">
        <v>69</v>
      </c>
    </row>
    <row r="696" spans="1:10" x14ac:dyDescent="0.3">
      <c r="A696" t="s">
        <v>59</v>
      </c>
      <c r="B696">
        <v>25</v>
      </c>
      <c r="C696" s="6">
        <v>70000</v>
      </c>
      <c r="D696" t="s">
        <v>11</v>
      </c>
      <c r="E696" t="s">
        <v>30</v>
      </c>
      <c r="F696" t="s">
        <v>20</v>
      </c>
      <c r="G696" s="7">
        <v>43800</v>
      </c>
      <c r="H696" t="s">
        <v>27</v>
      </c>
      <c r="I696" t="s">
        <v>69</v>
      </c>
      <c r="J696" t="s">
        <v>69</v>
      </c>
    </row>
    <row r="697" spans="1:10" x14ac:dyDescent="0.3">
      <c r="A697" t="s">
        <v>51</v>
      </c>
      <c r="B697">
        <v>50</v>
      </c>
      <c r="C697" s="6">
        <v>55000</v>
      </c>
      <c r="D697" t="s">
        <v>18</v>
      </c>
      <c r="E697" t="s">
        <v>26</v>
      </c>
      <c r="F697" t="s">
        <v>13</v>
      </c>
      <c r="G697" s="7">
        <v>43881</v>
      </c>
      <c r="H697" t="s">
        <v>31</v>
      </c>
      <c r="I697" t="s">
        <v>69</v>
      </c>
      <c r="J697" t="s">
        <v>23</v>
      </c>
    </row>
    <row r="698" spans="1:10" x14ac:dyDescent="0.3">
      <c r="A698" t="s">
        <v>54</v>
      </c>
      <c r="B698">
        <v>50</v>
      </c>
      <c r="C698" s="6">
        <v>65000</v>
      </c>
      <c r="D698" t="s">
        <v>11</v>
      </c>
      <c r="E698" t="s">
        <v>12</v>
      </c>
      <c r="F698" t="s">
        <v>44</v>
      </c>
      <c r="G698" s="7">
        <v>43549</v>
      </c>
      <c r="H698" t="s">
        <v>27</v>
      </c>
      <c r="I698" t="s">
        <v>15</v>
      </c>
      <c r="J698" t="s">
        <v>69</v>
      </c>
    </row>
    <row r="699" spans="1:10" x14ac:dyDescent="0.3">
      <c r="A699" t="s">
        <v>54</v>
      </c>
      <c r="B699">
        <v>25</v>
      </c>
      <c r="C699" s="6">
        <v>70000</v>
      </c>
      <c r="D699" t="s">
        <v>11</v>
      </c>
      <c r="E699" t="s">
        <v>37</v>
      </c>
      <c r="F699" t="s">
        <v>20</v>
      </c>
      <c r="G699" s="7">
        <v>43881</v>
      </c>
      <c r="H699" t="s">
        <v>27</v>
      </c>
      <c r="I699" t="s">
        <v>69</v>
      </c>
      <c r="J699" t="s">
        <v>45</v>
      </c>
    </row>
    <row r="700" spans="1:10" x14ac:dyDescent="0.3">
      <c r="A700" t="s">
        <v>58</v>
      </c>
      <c r="B700">
        <v>50</v>
      </c>
      <c r="C700" s="6">
        <v>65000</v>
      </c>
      <c r="D700" t="s">
        <v>11</v>
      </c>
      <c r="E700" t="s">
        <v>12</v>
      </c>
      <c r="F700" t="s">
        <v>20</v>
      </c>
      <c r="G700" s="7">
        <v>43195</v>
      </c>
      <c r="H700" t="s">
        <v>21</v>
      </c>
      <c r="I700" t="s">
        <v>32</v>
      </c>
      <c r="J700" t="s">
        <v>45</v>
      </c>
    </row>
    <row r="701" spans="1:10" x14ac:dyDescent="0.3">
      <c r="A701" t="s">
        <v>56</v>
      </c>
      <c r="B701">
        <v>36</v>
      </c>
      <c r="C701" s="6">
        <v>65000</v>
      </c>
      <c r="D701" t="s">
        <v>36</v>
      </c>
      <c r="E701" t="s">
        <v>30</v>
      </c>
      <c r="F701" t="s">
        <v>43</v>
      </c>
      <c r="G701" s="7">
        <v>43845</v>
      </c>
      <c r="H701" t="s">
        <v>41</v>
      </c>
      <c r="I701" t="s">
        <v>22</v>
      </c>
      <c r="J701" t="s">
        <v>23</v>
      </c>
    </row>
    <row r="702" spans="1:10" x14ac:dyDescent="0.3">
      <c r="A702" t="s">
        <v>51</v>
      </c>
      <c r="B702">
        <v>36</v>
      </c>
      <c r="C702" s="6">
        <v>55000</v>
      </c>
      <c r="D702" t="s">
        <v>11</v>
      </c>
      <c r="E702" t="s">
        <v>30</v>
      </c>
      <c r="F702" t="s">
        <v>39</v>
      </c>
      <c r="G702" s="7">
        <v>43195</v>
      </c>
      <c r="H702" t="s">
        <v>14</v>
      </c>
      <c r="I702" t="s">
        <v>15</v>
      </c>
      <c r="J702" t="s">
        <v>69</v>
      </c>
    </row>
    <row r="703" spans="1:10" x14ac:dyDescent="0.3">
      <c r="A703" t="s">
        <v>57</v>
      </c>
      <c r="B703">
        <v>36</v>
      </c>
      <c r="C703" s="6" t="s">
        <v>68</v>
      </c>
      <c r="D703" t="s">
        <v>36</v>
      </c>
      <c r="E703" t="s">
        <v>26</v>
      </c>
      <c r="F703" t="s">
        <v>13</v>
      </c>
      <c r="G703" s="7">
        <v>43881</v>
      </c>
      <c r="H703" t="s">
        <v>14</v>
      </c>
      <c r="I703" t="s">
        <v>32</v>
      </c>
      <c r="J703" t="s">
        <v>45</v>
      </c>
    </row>
    <row r="704" spans="1:10" x14ac:dyDescent="0.3">
      <c r="A704" t="s">
        <v>58</v>
      </c>
      <c r="B704">
        <v>25</v>
      </c>
      <c r="C704" s="6">
        <v>60000</v>
      </c>
      <c r="D704" t="s">
        <v>11</v>
      </c>
      <c r="E704" t="s">
        <v>26</v>
      </c>
      <c r="F704" t="s">
        <v>13</v>
      </c>
      <c r="G704" s="7">
        <v>43195</v>
      </c>
      <c r="H704" t="s">
        <v>21</v>
      </c>
      <c r="I704" t="s">
        <v>15</v>
      </c>
      <c r="J704" t="s">
        <v>45</v>
      </c>
    </row>
    <row r="705" spans="1:10" x14ac:dyDescent="0.3">
      <c r="A705" t="s">
        <v>57</v>
      </c>
      <c r="B705">
        <v>50</v>
      </c>
      <c r="C705" s="6">
        <v>55000</v>
      </c>
      <c r="D705" t="s">
        <v>11</v>
      </c>
      <c r="E705" t="s">
        <v>30</v>
      </c>
      <c r="F705" t="s">
        <v>43</v>
      </c>
      <c r="G705" s="7">
        <v>43845</v>
      </c>
      <c r="H705" t="s">
        <v>14</v>
      </c>
      <c r="I705" t="s">
        <v>69</v>
      </c>
      <c r="J705" t="s">
        <v>45</v>
      </c>
    </row>
    <row r="706" spans="1:10" x14ac:dyDescent="0.3">
      <c r="A706" t="s">
        <v>58</v>
      </c>
      <c r="B706">
        <v>25</v>
      </c>
      <c r="C706" s="6">
        <v>70000</v>
      </c>
      <c r="D706" t="s">
        <v>18</v>
      </c>
      <c r="E706" t="s">
        <v>37</v>
      </c>
      <c r="F706" t="s">
        <v>43</v>
      </c>
      <c r="G706" s="7">
        <v>43800</v>
      </c>
      <c r="H706" t="s">
        <v>27</v>
      </c>
      <c r="I706" t="s">
        <v>69</v>
      </c>
      <c r="J706" t="s">
        <v>69</v>
      </c>
    </row>
    <row r="707" spans="1:10" x14ac:dyDescent="0.3">
      <c r="A707" t="s">
        <v>58</v>
      </c>
      <c r="B707">
        <v>36</v>
      </c>
      <c r="C707" s="6" t="s">
        <v>68</v>
      </c>
      <c r="D707" t="s">
        <v>36</v>
      </c>
      <c r="E707" t="s">
        <v>12</v>
      </c>
      <c r="F707" t="s">
        <v>39</v>
      </c>
      <c r="G707" s="7">
        <v>43881</v>
      </c>
      <c r="H707" t="s">
        <v>21</v>
      </c>
      <c r="I707" t="s">
        <v>69</v>
      </c>
      <c r="J707" t="s">
        <v>23</v>
      </c>
    </row>
    <row r="708" spans="1:10" x14ac:dyDescent="0.3">
      <c r="A708" t="s">
        <v>58</v>
      </c>
      <c r="B708">
        <v>50</v>
      </c>
      <c r="C708" s="6">
        <v>70000</v>
      </c>
      <c r="D708" t="s">
        <v>11</v>
      </c>
      <c r="E708" t="s">
        <v>19</v>
      </c>
      <c r="F708" t="s">
        <v>39</v>
      </c>
      <c r="G708" s="7">
        <v>43195</v>
      </c>
      <c r="H708" t="s">
        <v>31</v>
      </c>
      <c r="I708" t="s">
        <v>22</v>
      </c>
      <c r="J708" t="s">
        <v>45</v>
      </c>
    </row>
    <row r="709" spans="1:10" x14ac:dyDescent="0.3">
      <c r="A709" t="s">
        <v>56</v>
      </c>
      <c r="B709">
        <v>50</v>
      </c>
      <c r="C709" s="6" t="s">
        <v>68</v>
      </c>
      <c r="D709" t="s">
        <v>36</v>
      </c>
      <c r="E709" t="s">
        <v>26</v>
      </c>
      <c r="F709" t="s">
        <v>20</v>
      </c>
      <c r="G709" s="7">
        <v>43881</v>
      </c>
      <c r="H709" t="s">
        <v>41</v>
      </c>
      <c r="I709" t="s">
        <v>69</v>
      </c>
      <c r="J709" t="s">
        <v>69</v>
      </c>
    </row>
    <row r="710" spans="1:10" x14ac:dyDescent="0.3">
      <c r="A710" t="s">
        <v>58</v>
      </c>
      <c r="B710">
        <v>40</v>
      </c>
      <c r="C710" s="6">
        <v>70000</v>
      </c>
      <c r="D710" t="s">
        <v>36</v>
      </c>
      <c r="E710" t="s">
        <v>19</v>
      </c>
      <c r="F710" t="s">
        <v>44</v>
      </c>
      <c r="G710" s="7">
        <v>43800</v>
      </c>
      <c r="H710" t="s">
        <v>41</v>
      </c>
      <c r="I710" t="s">
        <v>15</v>
      </c>
      <c r="J710" t="s">
        <v>69</v>
      </c>
    </row>
    <row r="711" spans="1:10" x14ac:dyDescent="0.3">
      <c r="A711" t="s">
        <v>52</v>
      </c>
      <c r="B711">
        <v>40</v>
      </c>
      <c r="C711" s="6">
        <v>55000</v>
      </c>
      <c r="D711" t="s">
        <v>18</v>
      </c>
      <c r="E711" t="s">
        <v>37</v>
      </c>
      <c r="F711" t="s">
        <v>39</v>
      </c>
      <c r="G711" s="7">
        <v>43195</v>
      </c>
      <c r="H711" t="s">
        <v>41</v>
      </c>
      <c r="I711" t="s">
        <v>69</v>
      </c>
      <c r="J711" t="s">
        <v>28</v>
      </c>
    </row>
    <row r="712" spans="1:10" x14ac:dyDescent="0.3">
      <c r="A712" t="s">
        <v>60</v>
      </c>
      <c r="B712">
        <v>30</v>
      </c>
      <c r="C712" s="6" t="s">
        <v>68</v>
      </c>
      <c r="D712" t="s">
        <v>18</v>
      </c>
      <c r="E712" t="s">
        <v>26</v>
      </c>
      <c r="F712" t="s">
        <v>43</v>
      </c>
      <c r="G712" s="7">
        <v>43195</v>
      </c>
      <c r="H712" t="s">
        <v>27</v>
      </c>
      <c r="I712" t="s">
        <v>15</v>
      </c>
      <c r="J712" t="s">
        <v>23</v>
      </c>
    </row>
    <row r="713" spans="1:10" x14ac:dyDescent="0.3">
      <c r="A713" t="s">
        <v>57</v>
      </c>
      <c r="B713">
        <v>35</v>
      </c>
      <c r="C713" s="6" t="s">
        <v>68</v>
      </c>
      <c r="D713" t="s">
        <v>18</v>
      </c>
      <c r="E713" t="s">
        <v>19</v>
      </c>
      <c r="F713" t="s">
        <v>39</v>
      </c>
      <c r="G713" s="7">
        <v>43881</v>
      </c>
      <c r="H713" t="s">
        <v>31</v>
      </c>
      <c r="I713" t="s">
        <v>22</v>
      </c>
      <c r="J713" t="s">
        <v>69</v>
      </c>
    </row>
    <row r="714" spans="1:10" x14ac:dyDescent="0.3">
      <c r="A714" t="s">
        <v>59</v>
      </c>
      <c r="B714">
        <v>40</v>
      </c>
      <c r="C714" s="6">
        <v>65000</v>
      </c>
      <c r="D714" t="s">
        <v>18</v>
      </c>
      <c r="E714" t="s">
        <v>37</v>
      </c>
      <c r="F714" t="s">
        <v>13</v>
      </c>
      <c r="G714" s="7">
        <v>43881</v>
      </c>
      <c r="H714" t="s">
        <v>21</v>
      </c>
      <c r="I714" t="s">
        <v>69</v>
      </c>
      <c r="J714" t="s">
        <v>45</v>
      </c>
    </row>
    <row r="715" spans="1:10" x14ac:dyDescent="0.3">
      <c r="A715" t="s">
        <v>53</v>
      </c>
      <c r="B715">
        <v>25</v>
      </c>
      <c r="C715" s="6">
        <v>65000</v>
      </c>
      <c r="D715" t="s">
        <v>18</v>
      </c>
      <c r="E715" t="s">
        <v>12</v>
      </c>
      <c r="F715" t="s">
        <v>44</v>
      </c>
      <c r="G715" s="7">
        <v>43845</v>
      </c>
      <c r="H715" t="s">
        <v>21</v>
      </c>
      <c r="I715" t="s">
        <v>69</v>
      </c>
      <c r="J715" t="s">
        <v>28</v>
      </c>
    </row>
    <row r="716" spans="1:10" x14ac:dyDescent="0.3">
      <c r="A716" t="s">
        <v>51</v>
      </c>
      <c r="B716">
        <v>40</v>
      </c>
      <c r="C716" s="6">
        <v>50000</v>
      </c>
      <c r="D716" t="s">
        <v>18</v>
      </c>
      <c r="E716" t="s">
        <v>37</v>
      </c>
      <c r="F716" t="s">
        <v>20</v>
      </c>
      <c r="G716" s="7">
        <v>43800</v>
      </c>
      <c r="H716" t="s">
        <v>41</v>
      </c>
      <c r="I716" t="s">
        <v>69</v>
      </c>
      <c r="J716" t="s">
        <v>23</v>
      </c>
    </row>
    <row r="717" spans="1:10" x14ac:dyDescent="0.3">
      <c r="A717" t="s">
        <v>55</v>
      </c>
      <c r="B717">
        <v>30</v>
      </c>
      <c r="C717" s="6">
        <v>70000</v>
      </c>
      <c r="D717" t="s">
        <v>18</v>
      </c>
      <c r="E717" t="s">
        <v>26</v>
      </c>
      <c r="F717" t="s">
        <v>13</v>
      </c>
      <c r="G717" s="7">
        <v>43845</v>
      </c>
      <c r="H717" t="s">
        <v>31</v>
      </c>
      <c r="I717" t="s">
        <v>69</v>
      </c>
      <c r="J717" t="s">
        <v>69</v>
      </c>
    </row>
    <row r="718" spans="1:10" x14ac:dyDescent="0.3">
      <c r="A718" t="s">
        <v>56</v>
      </c>
      <c r="B718">
        <v>50</v>
      </c>
      <c r="C718" s="6">
        <v>65000</v>
      </c>
      <c r="D718" t="s">
        <v>18</v>
      </c>
      <c r="E718" t="s">
        <v>30</v>
      </c>
      <c r="F718" t="s">
        <v>13</v>
      </c>
      <c r="G718" s="7">
        <v>43195</v>
      </c>
      <c r="H718" t="s">
        <v>31</v>
      </c>
      <c r="I718" t="s">
        <v>69</v>
      </c>
      <c r="J718" t="s">
        <v>28</v>
      </c>
    </row>
    <row r="719" spans="1:10" x14ac:dyDescent="0.3">
      <c r="A719" t="s">
        <v>59</v>
      </c>
      <c r="B719">
        <v>30</v>
      </c>
      <c r="C719" s="6">
        <v>50000</v>
      </c>
      <c r="D719" t="s">
        <v>11</v>
      </c>
      <c r="E719" t="s">
        <v>12</v>
      </c>
      <c r="F719" t="s">
        <v>44</v>
      </c>
      <c r="G719" s="7">
        <v>43881</v>
      </c>
      <c r="H719" t="s">
        <v>31</v>
      </c>
      <c r="I719" t="s">
        <v>69</v>
      </c>
      <c r="J719" t="s">
        <v>28</v>
      </c>
    </row>
    <row r="720" spans="1:10" x14ac:dyDescent="0.3">
      <c r="A720" t="s">
        <v>54</v>
      </c>
      <c r="B720">
        <v>50</v>
      </c>
      <c r="C720" s="6">
        <v>65000</v>
      </c>
      <c r="D720" t="s">
        <v>36</v>
      </c>
      <c r="E720" t="s">
        <v>19</v>
      </c>
      <c r="F720" t="s">
        <v>20</v>
      </c>
      <c r="G720" s="7">
        <v>43195</v>
      </c>
      <c r="H720" t="s">
        <v>14</v>
      </c>
      <c r="I720" t="s">
        <v>69</v>
      </c>
      <c r="J720" t="s">
        <v>69</v>
      </c>
    </row>
    <row r="721" spans="1:10" x14ac:dyDescent="0.3">
      <c r="A721" t="s">
        <v>52</v>
      </c>
      <c r="B721">
        <v>50</v>
      </c>
      <c r="C721" s="6">
        <v>70000</v>
      </c>
      <c r="D721" t="s">
        <v>18</v>
      </c>
      <c r="E721" t="s">
        <v>26</v>
      </c>
      <c r="F721" t="s">
        <v>43</v>
      </c>
      <c r="G721" s="7">
        <v>43195</v>
      </c>
      <c r="H721" t="s">
        <v>14</v>
      </c>
      <c r="I721" t="s">
        <v>15</v>
      </c>
      <c r="J721" t="s">
        <v>23</v>
      </c>
    </row>
    <row r="722" spans="1:10" x14ac:dyDescent="0.3">
      <c r="A722" t="s">
        <v>55</v>
      </c>
      <c r="B722">
        <v>35</v>
      </c>
      <c r="C722" s="6" t="s">
        <v>68</v>
      </c>
      <c r="D722" t="s">
        <v>18</v>
      </c>
      <c r="E722" t="s">
        <v>30</v>
      </c>
      <c r="F722" t="s">
        <v>20</v>
      </c>
      <c r="G722" s="7">
        <v>43549</v>
      </c>
      <c r="H722" t="s">
        <v>41</v>
      </c>
      <c r="I722" t="s">
        <v>22</v>
      </c>
      <c r="J722" t="s">
        <v>69</v>
      </c>
    </row>
    <row r="723" spans="1:10" x14ac:dyDescent="0.3">
      <c r="A723" t="s">
        <v>53</v>
      </c>
      <c r="B723">
        <v>40</v>
      </c>
      <c r="C723" s="6">
        <v>60000</v>
      </c>
      <c r="D723" t="s">
        <v>36</v>
      </c>
      <c r="E723" t="s">
        <v>37</v>
      </c>
      <c r="F723" t="s">
        <v>39</v>
      </c>
      <c r="G723" s="7">
        <v>43549</v>
      </c>
      <c r="H723" t="s">
        <v>31</v>
      </c>
      <c r="I723" t="s">
        <v>69</v>
      </c>
      <c r="J723" t="s">
        <v>69</v>
      </c>
    </row>
    <row r="724" spans="1:10" x14ac:dyDescent="0.3">
      <c r="A724" t="s">
        <v>59</v>
      </c>
      <c r="B724">
        <v>25</v>
      </c>
      <c r="C724" s="6">
        <v>70000</v>
      </c>
      <c r="D724" t="s">
        <v>11</v>
      </c>
      <c r="E724" t="s">
        <v>30</v>
      </c>
      <c r="F724" t="s">
        <v>13</v>
      </c>
      <c r="G724" s="7">
        <v>43195</v>
      </c>
      <c r="H724" t="s">
        <v>31</v>
      </c>
      <c r="I724" t="s">
        <v>15</v>
      </c>
      <c r="J724" t="s">
        <v>45</v>
      </c>
    </row>
    <row r="725" spans="1:10" x14ac:dyDescent="0.3">
      <c r="A725" t="s">
        <v>55</v>
      </c>
      <c r="B725">
        <v>25</v>
      </c>
      <c r="C725" s="6">
        <v>55000</v>
      </c>
      <c r="D725" t="s">
        <v>36</v>
      </c>
      <c r="E725" t="s">
        <v>26</v>
      </c>
      <c r="F725" t="s">
        <v>39</v>
      </c>
      <c r="G725" s="7">
        <v>43881</v>
      </c>
      <c r="H725" t="s">
        <v>21</v>
      </c>
      <c r="I725" t="s">
        <v>69</v>
      </c>
      <c r="J725" t="s">
        <v>69</v>
      </c>
    </row>
    <row r="726" spans="1:10" x14ac:dyDescent="0.3">
      <c r="A726" t="s">
        <v>59</v>
      </c>
      <c r="B726">
        <v>36</v>
      </c>
      <c r="C726" s="6">
        <v>65000</v>
      </c>
      <c r="D726" t="s">
        <v>36</v>
      </c>
      <c r="E726" t="s">
        <v>26</v>
      </c>
      <c r="F726" t="s">
        <v>43</v>
      </c>
      <c r="G726" s="7">
        <v>43195</v>
      </c>
      <c r="H726" t="s">
        <v>21</v>
      </c>
      <c r="I726" t="s">
        <v>15</v>
      </c>
      <c r="J726" t="s">
        <v>28</v>
      </c>
    </row>
    <row r="727" spans="1:10" x14ac:dyDescent="0.3">
      <c r="A727" t="s">
        <v>52</v>
      </c>
      <c r="B727">
        <v>50</v>
      </c>
      <c r="C727" s="6">
        <v>65000</v>
      </c>
      <c r="D727" t="s">
        <v>18</v>
      </c>
      <c r="E727" t="s">
        <v>30</v>
      </c>
      <c r="F727" t="s">
        <v>39</v>
      </c>
      <c r="G727" s="7">
        <v>43549</v>
      </c>
      <c r="H727" t="s">
        <v>41</v>
      </c>
      <c r="I727" t="s">
        <v>69</v>
      </c>
      <c r="J727" t="s">
        <v>23</v>
      </c>
    </row>
    <row r="728" spans="1:10" x14ac:dyDescent="0.3">
      <c r="A728" t="s">
        <v>53</v>
      </c>
      <c r="B728">
        <v>25</v>
      </c>
      <c r="C728" s="6" t="s">
        <v>68</v>
      </c>
      <c r="D728" t="s">
        <v>36</v>
      </c>
      <c r="E728" t="s">
        <v>37</v>
      </c>
      <c r="F728" t="s">
        <v>20</v>
      </c>
      <c r="G728" s="7">
        <v>43881</v>
      </c>
      <c r="H728" t="s">
        <v>31</v>
      </c>
      <c r="I728" t="s">
        <v>69</v>
      </c>
      <c r="J728" t="s">
        <v>69</v>
      </c>
    </row>
    <row r="729" spans="1:10" x14ac:dyDescent="0.3">
      <c r="A729" t="s">
        <v>54</v>
      </c>
      <c r="B729">
        <v>35</v>
      </c>
      <c r="C729" s="6">
        <v>55000</v>
      </c>
      <c r="D729" t="s">
        <v>36</v>
      </c>
      <c r="E729" t="s">
        <v>30</v>
      </c>
      <c r="F729" t="s">
        <v>39</v>
      </c>
      <c r="G729" s="7">
        <v>43195</v>
      </c>
      <c r="H729" t="s">
        <v>41</v>
      </c>
      <c r="I729" t="s">
        <v>69</v>
      </c>
      <c r="J729" t="s">
        <v>69</v>
      </c>
    </row>
    <row r="730" spans="1:10" x14ac:dyDescent="0.3">
      <c r="A730" t="s">
        <v>58</v>
      </c>
      <c r="B730">
        <v>50</v>
      </c>
      <c r="C730" s="6" t="s">
        <v>68</v>
      </c>
      <c r="D730" t="s">
        <v>18</v>
      </c>
      <c r="E730" t="s">
        <v>26</v>
      </c>
      <c r="F730" t="s">
        <v>43</v>
      </c>
      <c r="G730" s="7">
        <v>43800</v>
      </c>
      <c r="H730" t="s">
        <v>21</v>
      </c>
      <c r="I730" t="s">
        <v>69</v>
      </c>
      <c r="J730" t="s">
        <v>23</v>
      </c>
    </row>
    <row r="731" spans="1:10" x14ac:dyDescent="0.3">
      <c r="A731" t="s">
        <v>57</v>
      </c>
      <c r="B731">
        <v>35</v>
      </c>
      <c r="C731" s="6">
        <v>55000</v>
      </c>
      <c r="D731" t="s">
        <v>18</v>
      </c>
      <c r="E731" t="s">
        <v>26</v>
      </c>
      <c r="F731" t="s">
        <v>43</v>
      </c>
      <c r="G731" s="7">
        <v>43800</v>
      </c>
      <c r="H731" t="s">
        <v>21</v>
      </c>
      <c r="I731" t="s">
        <v>32</v>
      </c>
      <c r="J731" t="s">
        <v>69</v>
      </c>
    </row>
    <row r="732" spans="1:10" x14ac:dyDescent="0.3">
      <c r="A732" t="s">
        <v>54</v>
      </c>
      <c r="B732">
        <v>25</v>
      </c>
      <c r="C732" s="6">
        <v>60000</v>
      </c>
      <c r="D732" t="s">
        <v>18</v>
      </c>
      <c r="E732" t="s">
        <v>19</v>
      </c>
      <c r="F732" t="s">
        <v>43</v>
      </c>
      <c r="G732" s="7">
        <v>43195</v>
      </c>
      <c r="H732" t="s">
        <v>14</v>
      </c>
      <c r="I732" t="s">
        <v>15</v>
      </c>
      <c r="J732" t="s">
        <v>45</v>
      </c>
    </row>
    <row r="733" spans="1:10" x14ac:dyDescent="0.3">
      <c r="A733" t="s">
        <v>58</v>
      </c>
      <c r="B733">
        <v>25</v>
      </c>
      <c r="C733" s="6">
        <v>65000</v>
      </c>
      <c r="D733" t="s">
        <v>18</v>
      </c>
      <c r="E733" t="s">
        <v>19</v>
      </c>
      <c r="F733" t="s">
        <v>20</v>
      </c>
      <c r="G733" s="7">
        <v>43881</v>
      </c>
      <c r="H733" t="s">
        <v>41</v>
      </c>
      <c r="I733" t="s">
        <v>32</v>
      </c>
      <c r="J733" t="s">
        <v>69</v>
      </c>
    </row>
    <row r="734" spans="1:10" x14ac:dyDescent="0.3">
      <c r="A734" t="s">
        <v>56</v>
      </c>
      <c r="B734">
        <v>36</v>
      </c>
      <c r="C734" s="6">
        <v>65000</v>
      </c>
      <c r="D734" t="s">
        <v>36</v>
      </c>
      <c r="E734" t="s">
        <v>12</v>
      </c>
      <c r="F734" t="s">
        <v>43</v>
      </c>
      <c r="G734" s="7">
        <v>43195</v>
      </c>
      <c r="H734" t="s">
        <v>41</v>
      </c>
      <c r="I734" t="s">
        <v>15</v>
      </c>
      <c r="J734" t="s">
        <v>45</v>
      </c>
    </row>
    <row r="735" spans="1:10" x14ac:dyDescent="0.3">
      <c r="A735" t="s">
        <v>60</v>
      </c>
      <c r="B735">
        <v>25</v>
      </c>
      <c r="C735" s="6">
        <v>60000</v>
      </c>
      <c r="D735" t="s">
        <v>36</v>
      </c>
      <c r="E735" t="s">
        <v>26</v>
      </c>
      <c r="F735" t="s">
        <v>13</v>
      </c>
      <c r="G735" s="7">
        <v>43195</v>
      </c>
      <c r="H735" t="s">
        <v>31</v>
      </c>
      <c r="I735" t="s">
        <v>22</v>
      </c>
      <c r="J735" t="s">
        <v>28</v>
      </c>
    </row>
    <row r="736" spans="1:10" x14ac:dyDescent="0.3">
      <c r="A736" t="s">
        <v>51</v>
      </c>
      <c r="B736">
        <v>50</v>
      </c>
      <c r="C736" s="6">
        <v>50000</v>
      </c>
      <c r="D736" t="s">
        <v>11</v>
      </c>
      <c r="E736" t="s">
        <v>19</v>
      </c>
      <c r="F736" t="s">
        <v>43</v>
      </c>
      <c r="G736" s="7">
        <v>43549</v>
      </c>
      <c r="H736" t="s">
        <v>31</v>
      </c>
      <c r="I736" t="s">
        <v>69</v>
      </c>
      <c r="J736" t="s">
        <v>28</v>
      </c>
    </row>
    <row r="737" spans="1:10" x14ac:dyDescent="0.3">
      <c r="A737" t="s">
        <v>51</v>
      </c>
      <c r="B737">
        <v>50</v>
      </c>
      <c r="C737" s="6" t="s">
        <v>68</v>
      </c>
      <c r="D737" t="s">
        <v>11</v>
      </c>
      <c r="E737" t="s">
        <v>30</v>
      </c>
      <c r="F737" t="s">
        <v>39</v>
      </c>
      <c r="G737" s="7">
        <v>43800</v>
      </c>
      <c r="H737" t="s">
        <v>14</v>
      </c>
      <c r="I737" t="s">
        <v>22</v>
      </c>
      <c r="J737" t="s">
        <v>69</v>
      </c>
    </row>
    <row r="738" spans="1:10" x14ac:dyDescent="0.3">
      <c r="A738" t="s">
        <v>57</v>
      </c>
      <c r="B738">
        <v>50</v>
      </c>
      <c r="C738" s="6">
        <v>60000</v>
      </c>
      <c r="D738" t="s">
        <v>36</v>
      </c>
      <c r="E738" t="s">
        <v>37</v>
      </c>
      <c r="F738" t="s">
        <v>39</v>
      </c>
      <c r="G738" s="7">
        <v>43549</v>
      </c>
      <c r="H738" t="s">
        <v>27</v>
      </c>
      <c r="I738" t="s">
        <v>22</v>
      </c>
      <c r="J738" t="s">
        <v>45</v>
      </c>
    </row>
    <row r="739" spans="1:10" x14ac:dyDescent="0.3">
      <c r="A739" t="s">
        <v>53</v>
      </c>
      <c r="B739">
        <v>36</v>
      </c>
      <c r="C739" s="6" t="s">
        <v>68</v>
      </c>
      <c r="D739" t="s">
        <v>11</v>
      </c>
      <c r="E739" t="s">
        <v>30</v>
      </c>
      <c r="F739" t="s">
        <v>39</v>
      </c>
      <c r="G739" s="7">
        <v>43549</v>
      </c>
      <c r="H739" t="s">
        <v>27</v>
      </c>
      <c r="I739" t="s">
        <v>15</v>
      </c>
      <c r="J739" t="s">
        <v>28</v>
      </c>
    </row>
    <row r="740" spans="1:10" x14ac:dyDescent="0.3">
      <c r="A740" t="s">
        <v>52</v>
      </c>
      <c r="B740">
        <v>36</v>
      </c>
      <c r="C740" s="6">
        <v>70000</v>
      </c>
      <c r="D740" t="s">
        <v>36</v>
      </c>
      <c r="E740" t="s">
        <v>37</v>
      </c>
      <c r="F740" t="s">
        <v>20</v>
      </c>
      <c r="G740" s="7">
        <v>43195</v>
      </c>
      <c r="H740" t="s">
        <v>27</v>
      </c>
      <c r="I740" t="s">
        <v>32</v>
      </c>
      <c r="J740" t="s">
        <v>69</v>
      </c>
    </row>
    <row r="741" spans="1:10" x14ac:dyDescent="0.3">
      <c r="A741" t="s">
        <v>53</v>
      </c>
      <c r="B741">
        <v>25</v>
      </c>
      <c r="C741" s="6">
        <v>65000</v>
      </c>
      <c r="D741" t="s">
        <v>11</v>
      </c>
      <c r="E741" t="s">
        <v>19</v>
      </c>
      <c r="F741" t="s">
        <v>39</v>
      </c>
      <c r="G741" s="7">
        <v>43549</v>
      </c>
      <c r="H741" t="s">
        <v>41</v>
      </c>
      <c r="I741" t="s">
        <v>69</v>
      </c>
      <c r="J741" t="s">
        <v>23</v>
      </c>
    </row>
    <row r="742" spans="1:10" x14ac:dyDescent="0.3">
      <c r="A742" t="s">
        <v>52</v>
      </c>
      <c r="B742">
        <v>30</v>
      </c>
      <c r="C742" s="6" t="s">
        <v>68</v>
      </c>
      <c r="D742" t="s">
        <v>18</v>
      </c>
      <c r="E742" t="s">
        <v>12</v>
      </c>
      <c r="F742" t="s">
        <v>20</v>
      </c>
      <c r="G742" s="7">
        <v>43800</v>
      </c>
      <c r="H742" t="s">
        <v>41</v>
      </c>
      <c r="I742" t="s">
        <v>15</v>
      </c>
      <c r="J742" t="s">
        <v>23</v>
      </c>
    </row>
    <row r="743" spans="1:10" x14ac:dyDescent="0.3">
      <c r="A743" t="s">
        <v>53</v>
      </c>
      <c r="B743">
        <v>30</v>
      </c>
      <c r="C743" s="6">
        <v>55000</v>
      </c>
      <c r="D743" t="s">
        <v>11</v>
      </c>
      <c r="E743" t="s">
        <v>30</v>
      </c>
      <c r="F743" t="s">
        <v>20</v>
      </c>
      <c r="G743" s="7">
        <v>43549</v>
      </c>
      <c r="H743" t="s">
        <v>21</v>
      </c>
      <c r="I743" t="s">
        <v>69</v>
      </c>
      <c r="J743" t="s">
        <v>45</v>
      </c>
    </row>
    <row r="744" spans="1:10" x14ac:dyDescent="0.3">
      <c r="A744" t="s">
        <v>60</v>
      </c>
      <c r="B744">
        <v>36</v>
      </c>
      <c r="C744" s="6" t="s">
        <v>68</v>
      </c>
      <c r="D744" t="s">
        <v>18</v>
      </c>
      <c r="E744" t="s">
        <v>30</v>
      </c>
      <c r="F744" t="s">
        <v>43</v>
      </c>
      <c r="G744" s="7">
        <v>43800</v>
      </c>
      <c r="H744" t="s">
        <v>41</v>
      </c>
      <c r="I744" t="s">
        <v>22</v>
      </c>
      <c r="J744" t="s">
        <v>69</v>
      </c>
    </row>
    <row r="745" spans="1:10" x14ac:dyDescent="0.3">
      <c r="A745" t="s">
        <v>56</v>
      </c>
      <c r="B745">
        <v>25</v>
      </c>
      <c r="C745" s="6">
        <v>70000</v>
      </c>
      <c r="D745" t="s">
        <v>18</v>
      </c>
      <c r="E745" t="s">
        <v>30</v>
      </c>
      <c r="F745" t="s">
        <v>13</v>
      </c>
      <c r="G745" s="7">
        <v>43549</v>
      </c>
      <c r="H745" t="s">
        <v>41</v>
      </c>
      <c r="I745" t="s">
        <v>69</v>
      </c>
      <c r="J745" t="s">
        <v>69</v>
      </c>
    </row>
    <row r="746" spans="1:10" x14ac:dyDescent="0.3">
      <c r="A746" t="s">
        <v>56</v>
      </c>
      <c r="B746">
        <v>30</v>
      </c>
      <c r="C746" s="6">
        <v>65000</v>
      </c>
      <c r="D746" t="s">
        <v>18</v>
      </c>
      <c r="E746" t="s">
        <v>37</v>
      </c>
      <c r="F746" t="s">
        <v>43</v>
      </c>
      <c r="G746" s="7">
        <v>43800</v>
      </c>
      <c r="H746" t="s">
        <v>41</v>
      </c>
      <c r="I746" t="s">
        <v>32</v>
      </c>
      <c r="J746" t="s">
        <v>45</v>
      </c>
    </row>
    <row r="747" spans="1:10" x14ac:dyDescent="0.3">
      <c r="A747" t="s">
        <v>58</v>
      </c>
      <c r="B747">
        <v>25</v>
      </c>
      <c r="C747" s="6">
        <v>60000</v>
      </c>
      <c r="D747" t="s">
        <v>18</v>
      </c>
      <c r="E747" t="s">
        <v>19</v>
      </c>
      <c r="F747" t="s">
        <v>43</v>
      </c>
      <c r="G747" s="7">
        <v>43549</v>
      </c>
      <c r="H747" t="s">
        <v>14</v>
      </c>
      <c r="I747" t="s">
        <v>15</v>
      </c>
      <c r="J747" t="s">
        <v>23</v>
      </c>
    </row>
    <row r="748" spans="1:10" x14ac:dyDescent="0.3">
      <c r="A748" t="s">
        <v>55</v>
      </c>
      <c r="B748">
        <v>25</v>
      </c>
      <c r="C748" s="6">
        <v>70000</v>
      </c>
      <c r="D748" t="s">
        <v>11</v>
      </c>
      <c r="E748" t="s">
        <v>30</v>
      </c>
      <c r="F748" t="s">
        <v>20</v>
      </c>
      <c r="G748" s="7">
        <v>43549</v>
      </c>
      <c r="H748" t="s">
        <v>41</v>
      </c>
      <c r="I748" t="s">
        <v>32</v>
      </c>
      <c r="J748" t="s">
        <v>45</v>
      </c>
    </row>
    <row r="749" spans="1:10" x14ac:dyDescent="0.3">
      <c r="A749" t="s">
        <v>56</v>
      </c>
      <c r="B749">
        <v>25</v>
      </c>
      <c r="C749" s="6">
        <v>65000</v>
      </c>
      <c r="D749" t="s">
        <v>36</v>
      </c>
      <c r="E749" t="s">
        <v>30</v>
      </c>
      <c r="F749" t="s">
        <v>20</v>
      </c>
      <c r="G749" s="7">
        <v>43881</v>
      </c>
      <c r="H749" t="s">
        <v>31</v>
      </c>
      <c r="I749" t="s">
        <v>32</v>
      </c>
      <c r="J749" t="s">
        <v>69</v>
      </c>
    </row>
    <row r="750" spans="1:10" x14ac:dyDescent="0.3">
      <c r="A750" t="s">
        <v>56</v>
      </c>
      <c r="B750">
        <v>40</v>
      </c>
      <c r="C750" s="6" t="s">
        <v>68</v>
      </c>
      <c r="D750" t="s">
        <v>18</v>
      </c>
      <c r="E750" t="s">
        <v>12</v>
      </c>
      <c r="F750" t="s">
        <v>39</v>
      </c>
      <c r="G750" s="7">
        <v>43800</v>
      </c>
      <c r="H750" t="s">
        <v>31</v>
      </c>
      <c r="I750" t="s">
        <v>15</v>
      </c>
      <c r="J750" t="s">
        <v>28</v>
      </c>
    </row>
    <row r="751" spans="1:10" x14ac:dyDescent="0.3">
      <c r="A751" t="s">
        <v>54</v>
      </c>
      <c r="B751">
        <v>50</v>
      </c>
      <c r="C751" s="6">
        <v>50000</v>
      </c>
      <c r="D751" t="s">
        <v>11</v>
      </c>
      <c r="E751" t="s">
        <v>12</v>
      </c>
      <c r="F751" t="s">
        <v>39</v>
      </c>
      <c r="G751" s="7">
        <v>43800</v>
      </c>
      <c r="H751" t="s">
        <v>21</v>
      </c>
      <c r="I751" t="s">
        <v>32</v>
      </c>
      <c r="J751" t="s">
        <v>69</v>
      </c>
    </row>
    <row r="752" spans="1:10" x14ac:dyDescent="0.3">
      <c r="A752" t="s">
        <v>54</v>
      </c>
      <c r="B752">
        <v>25</v>
      </c>
      <c r="C752" s="6">
        <v>50000</v>
      </c>
      <c r="D752" t="s">
        <v>18</v>
      </c>
      <c r="E752" t="s">
        <v>19</v>
      </c>
      <c r="F752" t="s">
        <v>43</v>
      </c>
      <c r="G752" s="7">
        <v>43800</v>
      </c>
      <c r="H752" t="s">
        <v>14</v>
      </c>
      <c r="I752" t="s">
        <v>69</v>
      </c>
      <c r="J752" t="s">
        <v>28</v>
      </c>
    </row>
    <row r="753" spans="1:10" x14ac:dyDescent="0.3">
      <c r="A753" t="s">
        <v>58</v>
      </c>
      <c r="B753">
        <v>40</v>
      </c>
      <c r="C753" s="6">
        <v>55000</v>
      </c>
      <c r="D753" t="s">
        <v>11</v>
      </c>
      <c r="E753" t="s">
        <v>19</v>
      </c>
      <c r="F753" t="s">
        <v>44</v>
      </c>
      <c r="G753" s="7">
        <v>43845</v>
      </c>
      <c r="H753" t="s">
        <v>31</v>
      </c>
      <c r="I753" t="s">
        <v>69</v>
      </c>
      <c r="J753" t="s">
        <v>28</v>
      </c>
    </row>
    <row r="754" spans="1:10" x14ac:dyDescent="0.3">
      <c r="A754" t="s">
        <v>55</v>
      </c>
      <c r="B754">
        <v>36</v>
      </c>
      <c r="C754" s="6">
        <v>65000</v>
      </c>
      <c r="D754" t="s">
        <v>11</v>
      </c>
      <c r="E754" t="s">
        <v>26</v>
      </c>
      <c r="F754" t="s">
        <v>44</v>
      </c>
      <c r="G754" s="7">
        <v>43549</v>
      </c>
      <c r="H754" t="s">
        <v>14</v>
      </c>
      <c r="I754" t="s">
        <v>69</v>
      </c>
      <c r="J754" t="s">
        <v>28</v>
      </c>
    </row>
    <row r="755" spans="1:10" x14ac:dyDescent="0.3">
      <c r="A755" t="s">
        <v>57</v>
      </c>
      <c r="B755">
        <v>30</v>
      </c>
      <c r="C755" s="6">
        <v>50000</v>
      </c>
      <c r="D755" t="s">
        <v>11</v>
      </c>
      <c r="E755" t="s">
        <v>12</v>
      </c>
      <c r="F755" t="s">
        <v>39</v>
      </c>
      <c r="G755" s="7">
        <v>43800</v>
      </c>
      <c r="H755" t="s">
        <v>14</v>
      </c>
      <c r="I755" t="s">
        <v>69</v>
      </c>
      <c r="J755" t="s">
        <v>45</v>
      </c>
    </row>
    <row r="756" spans="1:10" x14ac:dyDescent="0.3">
      <c r="A756" t="s">
        <v>54</v>
      </c>
      <c r="B756">
        <v>50</v>
      </c>
      <c r="C756" s="6">
        <v>60000</v>
      </c>
      <c r="D756" t="s">
        <v>36</v>
      </c>
      <c r="E756" t="s">
        <v>26</v>
      </c>
      <c r="F756" t="s">
        <v>44</v>
      </c>
      <c r="G756" s="7">
        <v>43845</v>
      </c>
      <c r="H756" t="s">
        <v>21</v>
      </c>
      <c r="I756" t="s">
        <v>32</v>
      </c>
      <c r="J756" t="s">
        <v>23</v>
      </c>
    </row>
    <row r="757" spans="1:10" x14ac:dyDescent="0.3">
      <c r="A757" t="s">
        <v>57</v>
      </c>
      <c r="B757">
        <v>30</v>
      </c>
      <c r="C757" s="6">
        <v>65000</v>
      </c>
      <c r="D757" t="s">
        <v>11</v>
      </c>
      <c r="E757" t="s">
        <v>37</v>
      </c>
      <c r="F757" t="s">
        <v>39</v>
      </c>
      <c r="G757" s="7">
        <v>43881</v>
      </c>
      <c r="H757" t="s">
        <v>14</v>
      </c>
      <c r="I757" t="s">
        <v>15</v>
      </c>
      <c r="J757" t="s">
        <v>45</v>
      </c>
    </row>
    <row r="758" spans="1:10" x14ac:dyDescent="0.3">
      <c r="A758" t="s">
        <v>59</v>
      </c>
      <c r="B758">
        <v>50</v>
      </c>
      <c r="C758" s="6">
        <v>60000</v>
      </c>
      <c r="D758" t="s">
        <v>11</v>
      </c>
      <c r="E758" t="s">
        <v>26</v>
      </c>
      <c r="F758" t="s">
        <v>20</v>
      </c>
      <c r="G758" s="7">
        <v>43800</v>
      </c>
      <c r="H758" t="s">
        <v>41</v>
      </c>
      <c r="I758" t="s">
        <v>15</v>
      </c>
      <c r="J758" t="s">
        <v>23</v>
      </c>
    </row>
    <row r="759" spans="1:10" x14ac:dyDescent="0.3">
      <c r="A759" t="s">
        <v>54</v>
      </c>
      <c r="B759">
        <v>30</v>
      </c>
      <c r="C759" s="6">
        <v>60000</v>
      </c>
      <c r="D759" t="s">
        <v>36</v>
      </c>
      <c r="E759" t="s">
        <v>30</v>
      </c>
      <c r="F759" t="s">
        <v>43</v>
      </c>
      <c r="G759" s="7">
        <v>43800</v>
      </c>
      <c r="H759" t="s">
        <v>14</v>
      </c>
      <c r="I759" t="s">
        <v>69</v>
      </c>
      <c r="J759" t="s">
        <v>69</v>
      </c>
    </row>
    <row r="760" spans="1:10" x14ac:dyDescent="0.3">
      <c r="A760" t="s">
        <v>60</v>
      </c>
      <c r="B760">
        <v>50</v>
      </c>
      <c r="C760" s="6">
        <v>50000</v>
      </c>
      <c r="D760" t="s">
        <v>36</v>
      </c>
      <c r="E760" t="s">
        <v>26</v>
      </c>
      <c r="F760" t="s">
        <v>13</v>
      </c>
      <c r="G760" s="7">
        <v>43845</v>
      </c>
      <c r="H760" t="s">
        <v>21</v>
      </c>
      <c r="I760" t="s">
        <v>15</v>
      </c>
      <c r="J760" t="s">
        <v>69</v>
      </c>
    </row>
    <row r="761" spans="1:10" x14ac:dyDescent="0.3">
      <c r="A761" t="s">
        <v>55</v>
      </c>
      <c r="B761">
        <v>30</v>
      </c>
      <c r="C761" s="6">
        <v>65000</v>
      </c>
      <c r="D761" t="s">
        <v>11</v>
      </c>
      <c r="E761" t="s">
        <v>19</v>
      </c>
      <c r="F761" t="s">
        <v>43</v>
      </c>
      <c r="G761" s="7">
        <v>43549</v>
      </c>
      <c r="H761" t="s">
        <v>21</v>
      </c>
      <c r="I761" t="s">
        <v>69</v>
      </c>
      <c r="J761" t="s">
        <v>69</v>
      </c>
    </row>
    <row r="762" spans="1:10" x14ac:dyDescent="0.3">
      <c r="A762" t="s">
        <v>58</v>
      </c>
      <c r="B762">
        <v>30</v>
      </c>
      <c r="C762" s="6" t="s">
        <v>68</v>
      </c>
      <c r="D762" t="s">
        <v>36</v>
      </c>
      <c r="E762" t="s">
        <v>37</v>
      </c>
      <c r="F762" t="s">
        <v>39</v>
      </c>
      <c r="G762" s="7">
        <v>43881</v>
      </c>
      <c r="H762" t="s">
        <v>21</v>
      </c>
      <c r="I762" t="s">
        <v>32</v>
      </c>
      <c r="J762" t="s">
        <v>45</v>
      </c>
    </row>
    <row r="763" spans="1:10" x14ac:dyDescent="0.3">
      <c r="A763" t="s">
        <v>59</v>
      </c>
      <c r="B763">
        <v>30</v>
      </c>
      <c r="C763" s="6">
        <v>70000</v>
      </c>
      <c r="D763" t="s">
        <v>18</v>
      </c>
      <c r="E763" t="s">
        <v>30</v>
      </c>
      <c r="F763" t="s">
        <v>39</v>
      </c>
      <c r="G763" s="7">
        <v>43800</v>
      </c>
      <c r="H763" t="s">
        <v>31</v>
      </c>
      <c r="I763" t="s">
        <v>15</v>
      </c>
      <c r="J763" t="s">
        <v>45</v>
      </c>
    </row>
    <row r="764" spans="1:10" x14ac:dyDescent="0.3">
      <c r="A764" t="s">
        <v>55</v>
      </c>
      <c r="B764">
        <v>30</v>
      </c>
      <c r="C764" s="6">
        <v>50000</v>
      </c>
      <c r="D764" t="s">
        <v>18</v>
      </c>
      <c r="E764" t="s">
        <v>26</v>
      </c>
      <c r="F764" t="s">
        <v>43</v>
      </c>
      <c r="G764" s="7">
        <v>43549</v>
      </c>
      <c r="H764" t="s">
        <v>41</v>
      </c>
      <c r="I764" t="s">
        <v>15</v>
      </c>
      <c r="J764" t="s">
        <v>23</v>
      </c>
    </row>
    <row r="765" spans="1:10" x14ac:dyDescent="0.3">
      <c r="A765" t="s">
        <v>60</v>
      </c>
      <c r="B765">
        <v>36</v>
      </c>
      <c r="C765" s="6">
        <v>50000</v>
      </c>
      <c r="D765" t="s">
        <v>36</v>
      </c>
      <c r="E765" t="s">
        <v>37</v>
      </c>
      <c r="F765" t="s">
        <v>39</v>
      </c>
      <c r="G765" s="7">
        <v>43881</v>
      </c>
      <c r="H765" t="s">
        <v>31</v>
      </c>
      <c r="I765" t="s">
        <v>22</v>
      </c>
      <c r="J765" t="s">
        <v>45</v>
      </c>
    </row>
    <row r="766" spans="1:10" x14ac:dyDescent="0.3">
      <c r="A766" t="s">
        <v>55</v>
      </c>
      <c r="B766">
        <v>25</v>
      </c>
      <c r="C766" s="6" t="s">
        <v>68</v>
      </c>
      <c r="D766" t="s">
        <v>36</v>
      </c>
      <c r="E766" t="s">
        <v>37</v>
      </c>
      <c r="F766" t="s">
        <v>44</v>
      </c>
      <c r="G766" s="7">
        <v>43195</v>
      </c>
      <c r="H766" t="s">
        <v>27</v>
      </c>
      <c r="I766" t="s">
        <v>22</v>
      </c>
      <c r="J766" t="s">
        <v>28</v>
      </c>
    </row>
    <row r="767" spans="1:10" x14ac:dyDescent="0.3">
      <c r="A767" t="s">
        <v>60</v>
      </c>
      <c r="B767">
        <v>35</v>
      </c>
      <c r="C767" s="6">
        <v>65000</v>
      </c>
      <c r="D767" t="s">
        <v>11</v>
      </c>
      <c r="E767" t="s">
        <v>30</v>
      </c>
      <c r="F767" t="s">
        <v>44</v>
      </c>
      <c r="G767" s="7">
        <v>43195</v>
      </c>
      <c r="H767" t="s">
        <v>41</v>
      </c>
      <c r="I767" t="s">
        <v>22</v>
      </c>
      <c r="J767" t="s">
        <v>45</v>
      </c>
    </row>
    <row r="768" spans="1:10" x14ac:dyDescent="0.3">
      <c r="A768" t="s">
        <v>60</v>
      </c>
      <c r="B768">
        <v>40</v>
      </c>
      <c r="C768" s="6">
        <v>65000</v>
      </c>
      <c r="D768" t="s">
        <v>36</v>
      </c>
      <c r="E768" t="s">
        <v>26</v>
      </c>
      <c r="F768" t="s">
        <v>39</v>
      </c>
      <c r="G768" s="7">
        <v>43881</v>
      </c>
      <c r="H768" t="s">
        <v>14</v>
      </c>
      <c r="I768" t="s">
        <v>32</v>
      </c>
      <c r="J768" t="s">
        <v>23</v>
      </c>
    </row>
    <row r="769" spans="1:10" x14ac:dyDescent="0.3">
      <c r="A769" t="s">
        <v>57</v>
      </c>
      <c r="B769">
        <v>35</v>
      </c>
      <c r="C769" s="6">
        <v>60000</v>
      </c>
      <c r="D769" t="s">
        <v>11</v>
      </c>
      <c r="E769" t="s">
        <v>37</v>
      </c>
      <c r="F769" t="s">
        <v>39</v>
      </c>
      <c r="G769" s="7">
        <v>43845</v>
      </c>
      <c r="H769" t="s">
        <v>21</v>
      </c>
      <c r="I769" t="s">
        <v>69</v>
      </c>
      <c r="J769" t="s">
        <v>23</v>
      </c>
    </row>
    <row r="770" spans="1:10" x14ac:dyDescent="0.3">
      <c r="A770" t="s">
        <v>53</v>
      </c>
      <c r="B770">
        <v>35</v>
      </c>
      <c r="C770" s="6" t="s">
        <v>68</v>
      </c>
      <c r="D770" t="s">
        <v>18</v>
      </c>
      <c r="E770" t="s">
        <v>37</v>
      </c>
      <c r="F770" t="s">
        <v>44</v>
      </c>
      <c r="G770" s="7">
        <v>43881</v>
      </c>
      <c r="H770" t="s">
        <v>27</v>
      </c>
      <c r="I770" t="s">
        <v>69</v>
      </c>
      <c r="J770" t="s">
        <v>28</v>
      </c>
    </row>
    <row r="771" spans="1:10" x14ac:dyDescent="0.3">
      <c r="A771" t="s">
        <v>59</v>
      </c>
      <c r="B771">
        <v>50</v>
      </c>
      <c r="C771" s="6" t="s">
        <v>68</v>
      </c>
      <c r="D771" t="s">
        <v>36</v>
      </c>
      <c r="E771" t="s">
        <v>12</v>
      </c>
      <c r="F771" t="s">
        <v>39</v>
      </c>
      <c r="G771" s="7">
        <v>43881</v>
      </c>
      <c r="H771" t="s">
        <v>41</v>
      </c>
      <c r="I771" t="s">
        <v>69</v>
      </c>
      <c r="J771" t="s">
        <v>23</v>
      </c>
    </row>
    <row r="772" spans="1:10" x14ac:dyDescent="0.3">
      <c r="A772" t="s">
        <v>55</v>
      </c>
      <c r="B772">
        <v>25</v>
      </c>
      <c r="C772" s="6">
        <v>65000</v>
      </c>
      <c r="D772" t="s">
        <v>11</v>
      </c>
      <c r="E772" t="s">
        <v>37</v>
      </c>
      <c r="F772" t="s">
        <v>39</v>
      </c>
      <c r="G772" s="7">
        <v>43845</v>
      </c>
      <c r="H772" t="s">
        <v>31</v>
      </c>
      <c r="I772" t="s">
        <v>32</v>
      </c>
      <c r="J772" t="s">
        <v>69</v>
      </c>
    </row>
    <row r="773" spans="1:10" x14ac:dyDescent="0.3">
      <c r="A773" t="s">
        <v>52</v>
      </c>
      <c r="B773">
        <v>50</v>
      </c>
      <c r="C773" s="6">
        <v>60000</v>
      </c>
      <c r="D773" t="s">
        <v>11</v>
      </c>
      <c r="E773" t="s">
        <v>12</v>
      </c>
      <c r="F773" t="s">
        <v>43</v>
      </c>
      <c r="G773" s="7">
        <v>43845</v>
      </c>
      <c r="H773" t="s">
        <v>21</v>
      </c>
      <c r="I773" t="s">
        <v>32</v>
      </c>
      <c r="J773" t="s">
        <v>69</v>
      </c>
    </row>
    <row r="774" spans="1:10" x14ac:dyDescent="0.3">
      <c r="A774" t="s">
        <v>59</v>
      </c>
      <c r="B774">
        <v>25</v>
      </c>
      <c r="C774" s="6">
        <v>50000</v>
      </c>
      <c r="D774" t="s">
        <v>18</v>
      </c>
      <c r="E774" t="s">
        <v>26</v>
      </c>
      <c r="F774" t="s">
        <v>13</v>
      </c>
      <c r="G774" s="7">
        <v>43549</v>
      </c>
      <c r="H774" t="s">
        <v>31</v>
      </c>
      <c r="I774" t="s">
        <v>22</v>
      </c>
      <c r="J774" t="s">
        <v>45</v>
      </c>
    </row>
    <row r="775" spans="1:10" x14ac:dyDescent="0.3">
      <c r="A775" t="s">
        <v>53</v>
      </c>
      <c r="B775">
        <v>25</v>
      </c>
      <c r="C775" s="6">
        <v>55000</v>
      </c>
      <c r="D775" t="s">
        <v>36</v>
      </c>
      <c r="E775" t="s">
        <v>26</v>
      </c>
      <c r="F775" t="s">
        <v>44</v>
      </c>
      <c r="G775" s="7">
        <v>43549</v>
      </c>
      <c r="H775" t="s">
        <v>41</v>
      </c>
      <c r="I775" t="s">
        <v>15</v>
      </c>
      <c r="J775" t="s">
        <v>69</v>
      </c>
    </row>
    <row r="776" spans="1:10" x14ac:dyDescent="0.3">
      <c r="A776" t="s">
        <v>59</v>
      </c>
      <c r="B776">
        <v>30</v>
      </c>
      <c r="C776" s="6">
        <v>70000</v>
      </c>
      <c r="D776" t="s">
        <v>18</v>
      </c>
      <c r="E776" t="s">
        <v>26</v>
      </c>
      <c r="F776" t="s">
        <v>43</v>
      </c>
      <c r="G776" s="7">
        <v>43845</v>
      </c>
      <c r="H776" t="s">
        <v>41</v>
      </c>
      <c r="I776" t="s">
        <v>69</v>
      </c>
      <c r="J776" t="s">
        <v>45</v>
      </c>
    </row>
    <row r="777" spans="1:10" x14ac:dyDescent="0.3">
      <c r="A777" t="s">
        <v>56</v>
      </c>
      <c r="B777">
        <v>36</v>
      </c>
      <c r="C777" s="6">
        <v>50000</v>
      </c>
      <c r="D777" t="s">
        <v>11</v>
      </c>
      <c r="E777" t="s">
        <v>19</v>
      </c>
      <c r="F777" t="s">
        <v>13</v>
      </c>
      <c r="G777" s="7">
        <v>43195</v>
      </c>
      <c r="H777" t="s">
        <v>27</v>
      </c>
      <c r="I777" t="s">
        <v>69</v>
      </c>
      <c r="J777" t="s">
        <v>69</v>
      </c>
    </row>
    <row r="778" spans="1:10" x14ac:dyDescent="0.3">
      <c r="A778" t="s">
        <v>52</v>
      </c>
      <c r="B778">
        <v>30</v>
      </c>
      <c r="C778" s="6">
        <v>65000</v>
      </c>
      <c r="D778" t="s">
        <v>11</v>
      </c>
      <c r="E778" t="s">
        <v>26</v>
      </c>
      <c r="F778" t="s">
        <v>39</v>
      </c>
      <c r="G778" s="7">
        <v>43195</v>
      </c>
      <c r="H778" t="s">
        <v>14</v>
      </c>
      <c r="I778" t="s">
        <v>15</v>
      </c>
      <c r="J778" t="s">
        <v>45</v>
      </c>
    </row>
    <row r="779" spans="1:10" x14ac:dyDescent="0.3">
      <c r="A779" t="s">
        <v>53</v>
      </c>
      <c r="B779">
        <v>36</v>
      </c>
      <c r="C779" s="6">
        <v>70000</v>
      </c>
      <c r="D779" t="s">
        <v>36</v>
      </c>
      <c r="E779" t="s">
        <v>37</v>
      </c>
      <c r="F779" t="s">
        <v>39</v>
      </c>
      <c r="G779" s="7">
        <v>43881</v>
      </c>
      <c r="H779" t="s">
        <v>31</v>
      </c>
      <c r="I779" t="s">
        <v>22</v>
      </c>
      <c r="J779" t="s">
        <v>28</v>
      </c>
    </row>
    <row r="780" spans="1:10" x14ac:dyDescent="0.3">
      <c r="A780" t="s">
        <v>57</v>
      </c>
      <c r="B780">
        <v>50</v>
      </c>
      <c r="C780" s="6">
        <v>55000</v>
      </c>
      <c r="D780" t="s">
        <v>11</v>
      </c>
      <c r="E780" t="s">
        <v>30</v>
      </c>
      <c r="F780" t="s">
        <v>43</v>
      </c>
      <c r="G780" s="7">
        <v>43800</v>
      </c>
      <c r="H780" t="s">
        <v>27</v>
      </c>
      <c r="I780" t="s">
        <v>15</v>
      </c>
      <c r="J780" t="s">
        <v>23</v>
      </c>
    </row>
    <row r="781" spans="1:10" x14ac:dyDescent="0.3">
      <c r="A781" t="s">
        <v>55</v>
      </c>
      <c r="B781">
        <v>36</v>
      </c>
      <c r="C781" s="6">
        <v>55000</v>
      </c>
      <c r="D781" t="s">
        <v>36</v>
      </c>
      <c r="E781" t="s">
        <v>12</v>
      </c>
      <c r="F781" t="s">
        <v>39</v>
      </c>
      <c r="G781" s="7">
        <v>43881</v>
      </c>
      <c r="H781" t="s">
        <v>21</v>
      </c>
      <c r="I781" t="s">
        <v>15</v>
      </c>
      <c r="J781" t="s">
        <v>23</v>
      </c>
    </row>
    <row r="782" spans="1:10" x14ac:dyDescent="0.3">
      <c r="A782" t="s">
        <v>51</v>
      </c>
      <c r="B782">
        <v>50</v>
      </c>
      <c r="C782" s="6">
        <v>60000</v>
      </c>
      <c r="D782" t="s">
        <v>18</v>
      </c>
      <c r="E782" t="s">
        <v>19</v>
      </c>
      <c r="F782" t="s">
        <v>20</v>
      </c>
      <c r="G782" s="7">
        <v>43881</v>
      </c>
      <c r="H782" t="s">
        <v>14</v>
      </c>
      <c r="I782" t="s">
        <v>69</v>
      </c>
      <c r="J782" t="s">
        <v>28</v>
      </c>
    </row>
    <row r="783" spans="1:10" x14ac:dyDescent="0.3">
      <c r="A783" t="s">
        <v>53</v>
      </c>
      <c r="B783">
        <v>35</v>
      </c>
      <c r="C783" s="6">
        <v>70000</v>
      </c>
      <c r="D783" t="s">
        <v>36</v>
      </c>
      <c r="E783" t="s">
        <v>26</v>
      </c>
      <c r="F783" t="s">
        <v>43</v>
      </c>
      <c r="G783" s="7">
        <v>43800</v>
      </c>
      <c r="H783" t="s">
        <v>27</v>
      </c>
      <c r="I783" t="s">
        <v>22</v>
      </c>
      <c r="J783" t="s">
        <v>69</v>
      </c>
    </row>
    <row r="784" spans="1:10" x14ac:dyDescent="0.3">
      <c r="A784" t="s">
        <v>58</v>
      </c>
      <c r="B784">
        <v>35</v>
      </c>
      <c r="C784" s="6">
        <v>60000</v>
      </c>
      <c r="D784" t="s">
        <v>36</v>
      </c>
      <c r="E784" t="s">
        <v>26</v>
      </c>
      <c r="F784" t="s">
        <v>13</v>
      </c>
      <c r="G784" s="7">
        <v>43845</v>
      </c>
      <c r="H784" t="s">
        <v>31</v>
      </c>
      <c r="I784" t="s">
        <v>32</v>
      </c>
      <c r="J784" t="s">
        <v>69</v>
      </c>
    </row>
    <row r="785" spans="1:10" x14ac:dyDescent="0.3">
      <c r="A785" t="s">
        <v>55</v>
      </c>
      <c r="B785">
        <v>36</v>
      </c>
      <c r="C785" s="6">
        <v>50000</v>
      </c>
      <c r="D785" t="s">
        <v>11</v>
      </c>
      <c r="E785" t="s">
        <v>30</v>
      </c>
      <c r="F785" t="s">
        <v>43</v>
      </c>
      <c r="G785" s="7">
        <v>43195</v>
      </c>
      <c r="H785" t="s">
        <v>41</v>
      </c>
      <c r="I785" t="s">
        <v>69</v>
      </c>
      <c r="J785" t="s">
        <v>69</v>
      </c>
    </row>
    <row r="786" spans="1:10" x14ac:dyDescent="0.3">
      <c r="A786" t="s">
        <v>53</v>
      </c>
      <c r="B786">
        <v>36</v>
      </c>
      <c r="C786" s="6" t="s">
        <v>68</v>
      </c>
      <c r="D786" t="s">
        <v>11</v>
      </c>
      <c r="E786" t="s">
        <v>30</v>
      </c>
      <c r="F786" t="s">
        <v>44</v>
      </c>
      <c r="G786" s="7">
        <v>43881</v>
      </c>
      <c r="H786" t="s">
        <v>21</v>
      </c>
      <c r="I786" t="s">
        <v>32</v>
      </c>
      <c r="J786" t="s">
        <v>23</v>
      </c>
    </row>
    <row r="787" spans="1:10" x14ac:dyDescent="0.3">
      <c r="A787" t="s">
        <v>56</v>
      </c>
      <c r="B787">
        <v>50</v>
      </c>
      <c r="C787" s="6" t="s">
        <v>68</v>
      </c>
      <c r="D787" t="s">
        <v>36</v>
      </c>
      <c r="E787" t="s">
        <v>19</v>
      </c>
      <c r="F787" t="s">
        <v>43</v>
      </c>
      <c r="G787" s="7">
        <v>43800</v>
      </c>
      <c r="H787" t="s">
        <v>31</v>
      </c>
      <c r="I787" t="s">
        <v>22</v>
      </c>
      <c r="J787" t="s">
        <v>69</v>
      </c>
    </row>
    <row r="788" spans="1:10" x14ac:dyDescent="0.3">
      <c r="A788" t="s">
        <v>51</v>
      </c>
      <c r="B788">
        <v>30</v>
      </c>
      <c r="C788" s="6" t="s">
        <v>68</v>
      </c>
      <c r="D788" t="s">
        <v>11</v>
      </c>
      <c r="E788" t="s">
        <v>12</v>
      </c>
      <c r="F788" t="s">
        <v>39</v>
      </c>
      <c r="G788" s="7">
        <v>43549</v>
      </c>
      <c r="H788" t="s">
        <v>14</v>
      </c>
      <c r="I788" t="s">
        <v>15</v>
      </c>
      <c r="J788" t="s">
        <v>45</v>
      </c>
    </row>
    <row r="789" spans="1:10" x14ac:dyDescent="0.3">
      <c r="A789" t="s">
        <v>56</v>
      </c>
      <c r="B789">
        <v>50</v>
      </c>
      <c r="C789" s="6">
        <v>70000</v>
      </c>
      <c r="D789" t="s">
        <v>11</v>
      </c>
      <c r="E789" t="s">
        <v>26</v>
      </c>
      <c r="F789" t="s">
        <v>39</v>
      </c>
      <c r="G789" s="7">
        <v>43881</v>
      </c>
      <c r="H789" t="s">
        <v>14</v>
      </c>
      <c r="I789" t="s">
        <v>69</v>
      </c>
      <c r="J789" t="s">
        <v>69</v>
      </c>
    </row>
    <row r="790" spans="1:10" x14ac:dyDescent="0.3">
      <c r="A790" t="s">
        <v>51</v>
      </c>
      <c r="B790">
        <v>30</v>
      </c>
      <c r="C790" s="6" t="s">
        <v>68</v>
      </c>
      <c r="D790" t="s">
        <v>11</v>
      </c>
      <c r="E790" t="s">
        <v>19</v>
      </c>
      <c r="F790" t="s">
        <v>20</v>
      </c>
      <c r="G790" s="7">
        <v>43195</v>
      </c>
      <c r="H790" t="s">
        <v>41</v>
      </c>
      <c r="I790" t="s">
        <v>69</v>
      </c>
      <c r="J790" t="s">
        <v>69</v>
      </c>
    </row>
    <row r="791" spans="1:10" x14ac:dyDescent="0.3">
      <c r="A791" t="s">
        <v>58</v>
      </c>
      <c r="B791">
        <v>35</v>
      </c>
      <c r="C791" s="6">
        <v>50000</v>
      </c>
      <c r="D791" t="s">
        <v>36</v>
      </c>
      <c r="E791" t="s">
        <v>37</v>
      </c>
      <c r="F791" t="s">
        <v>20</v>
      </c>
      <c r="G791" s="7">
        <v>43845</v>
      </c>
      <c r="H791" t="s">
        <v>41</v>
      </c>
      <c r="I791" t="s">
        <v>22</v>
      </c>
      <c r="J791" t="s">
        <v>28</v>
      </c>
    </row>
    <row r="792" spans="1:10" x14ac:dyDescent="0.3">
      <c r="A792" t="s">
        <v>55</v>
      </c>
      <c r="B792">
        <v>25</v>
      </c>
      <c r="C792" s="6">
        <v>60000</v>
      </c>
      <c r="D792" t="s">
        <v>11</v>
      </c>
      <c r="E792" t="s">
        <v>37</v>
      </c>
      <c r="F792" t="s">
        <v>20</v>
      </c>
      <c r="G792" s="7">
        <v>43881</v>
      </c>
      <c r="H792" t="s">
        <v>21</v>
      </c>
      <c r="I792" t="s">
        <v>69</v>
      </c>
      <c r="J792" t="s">
        <v>45</v>
      </c>
    </row>
    <row r="793" spans="1:10" x14ac:dyDescent="0.3">
      <c r="A793" t="s">
        <v>57</v>
      </c>
      <c r="B793">
        <v>36</v>
      </c>
      <c r="C793" s="6">
        <v>70000</v>
      </c>
      <c r="D793" t="s">
        <v>36</v>
      </c>
      <c r="E793" t="s">
        <v>19</v>
      </c>
      <c r="F793" t="s">
        <v>13</v>
      </c>
      <c r="G793" s="7">
        <v>43881</v>
      </c>
      <c r="H793" t="s">
        <v>21</v>
      </c>
      <c r="I793" t="s">
        <v>32</v>
      </c>
      <c r="J793" t="s">
        <v>69</v>
      </c>
    </row>
    <row r="794" spans="1:10" x14ac:dyDescent="0.3">
      <c r="A794" t="s">
        <v>56</v>
      </c>
      <c r="B794">
        <v>30</v>
      </c>
      <c r="C794" s="6">
        <v>60000</v>
      </c>
      <c r="D794" t="s">
        <v>11</v>
      </c>
      <c r="E794" t="s">
        <v>26</v>
      </c>
      <c r="F794" t="s">
        <v>20</v>
      </c>
      <c r="G794" s="7">
        <v>43800</v>
      </c>
      <c r="H794" t="s">
        <v>41</v>
      </c>
      <c r="I794" t="s">
        <v>69</v>
      </c>
      <c r="J794" t="s">
        <v>45</v>
      </c>
    </row>
    <row r="795" spans="1:10" x14ac:dyDescent="0.3">
      <c r="A795" t="s">
        <v>56</v>
      </c>
      <c r="B795">
        <v>50</v>
      </c>
      <c r="C795" s="6">
        <v>70000</v>
      </c>
      <c r="D795" t="s">
        <v>18</v>
      </c>
      <c r="E795" t="s">
        <v>19</v>
      </c>
      <c r="F795" t="s">
        <v>13</v>
      </c>
      <c r="G795" s="7">
        <v>43549</v>
      </c>
      <c r="H795" t="s">
        <v>41</v>
      </c>
      <c r="I795" t="s">
        <v>22</v>
      </c>
      <c r="J795" t="s">
        <v>69</v>
      </c>
    </row>
    <row r="796" spans="1:10" x14ac:dyDescent="0.3">
      <c r="A796" t="s">
        <v>60</v>
      </c>
      <c r="B796">
        <v>35</v>
      </c>
      <c r="C796" s="6">
        <v>60000</v>
      </c>
      <c r="D796" t="s">
        <v>11</v>
      </c>
      <c r="E796" t="s">
        <v>26</v>
      </c>
      <c r="F796" t="s">
        <v>20</v>
      </c>
      <c r="G796" s="7">
        <v>43549</v>
      </c>
      <c r="H796" t="s">
        <v>14</v>
      </c>
      <c r="I796" t="s">
        <v>22</v>
      </c>
      <c r="J796" t="s">
        <v>23</v>
      </c>
    </row>
    <row r="797" spans="1:10" x14ac:dyDescent="0.3">
      <c r="A797" t="s">
        <v>51</v>
      </c>
      <c r="B797">
        <v>30</v>
      </c>
      <c r="C797" s="6">
        <v>55000</v>
      </c>
      <c r="D797" t="s">
        <v>11</v>
      </c>
      <c r="E797" t="s">
        <v>30</v>
      </c>
      <c r="F797" t="s">
        <v>13</v>
      </c>
      <c r="G797" s="7">
        <v>43845</v>
      </c>
      <c r="H797" t="s">
        <v>41</v>
      </c>
      <c r="I797" t="s">
        <v>32</v>
      </c>
      <c r="J797" t="s">
        <v>69</v>
      </c>
    </row>
    <row r="798" spans="1:10" x14ac:dyDescent="0.3">
      <c r="A798" t="s">
        <v>54</v>
      </c>
      <c r="B798">
        <v>50</v>
      </c>
      <c r="C798" s="6">
        <v>60000</v>
      </c>
      <c r="D798" t="s">
        <v>36</v>
      </c>
      <c r="E798" t="s">
        <v>19</v>
      </c>
      <c r="F798" t="s">
        <v>43</v>
      </c>
      <c r="G798" s="7">
        <v>43195</v>
      </c>
      <c r="H798" t="s">
        <v>27</v>
      </c>
      <c r="I798" t="s">
        <v>69</v>
      </c>
      <c r="J798" t="s">
        <v>28</v>
      </c>
    </row>
    <row r="799" spans="1:10" x14ac:dyDescent="0.3">
      <c r="A799" t="s">
        <v>55</v>
      </c>
      <c r="B799">
        <v>36</v>
      </c>
      <c r="C799" s="6" t="s">
        <v>68</v>
      </c>
      <c r="D799" t="s">
        <v>36</v>
      </c>
      <c r="E799" t="s">
        <v>26</v>
      </c>
      <c r="F799" t="s">
        <v>43</v>
      </c>
      <c r="G799" s="7">
        <v>43845</v>
      </c>
      <c r="H799" t="s">
        <v>31</v>
      </c>
      <c r="I799" t="s">
        <v>69</v>
      </c>
      <c r="J799" t="s">
        <v>69</v>
      </c>
    </row>
    <row r="800" spans="1:10" x14ac:dyDescent="0.3">
      <c r="A800" t="s">
        <v>51</v>
      </c>
      <c r="B800">
        <v>36</v>
      </c>
      <c r="C800" s="6">
        <v>55000</v>
      </c>
      <c r="D800" t="s">
        <v>11</v>
      </c>
      <c r="E800" t="s">
        <v>19</v>
      </c>
      <c r="F800" t="s">
        <v>39</v>
      </c>
      <c r="G800" s="7">
        <v>43881</v>
      </c>
      <c r="H800" t="s">
        <v>41</v>
      </c>
      <c r="I800" t="s">
        <v>15</v>
      </c>
      <c r="J800" t="s">
        <v>69</v>
      </c>
    </row>
    <row r="801" spans="1:10" x14ac:dyDescent="0.3">
      <c r="A801" t="s">
        <v>60</v>
      </c>
      <c r="B801">
        <v>40</v>
      </c>
      <c r="C801" s="6">
        <v>60000</v>
      </c>
      <c r="D801" t="s">
        <v>18</v>
      </c>
      <c r="E801" t="s">
        <v>19</v>
      </c>
      <c r="F801" t="s">
        <v>13</v>
      </c>
      <c r="G801" s="7">
        <v>43881</v>
      </c>
      <c r="H801" t="s">
        <v>21</v>
      </c>
      <c r="I801" t="s">
        <v>69</v>
      </c>
      <c r="J801" t="s">
        <v>28</v>
      </c>
    </row>
    <row r="802" spans="1:10" x14ac:dyDescent="0.3">
      <c r="A802" t="s">
        <v>59</v>
      </c>
      <c r="B802">
        <v>25</v>
      </c>
      <c r="C802" s="6">
        <v>70000</v>
      </c>
      <c r="D802" t="s">
        <v>11</v>
      </c>
      <c r="E802" t="s">
        <v>26</v>
      </c>
      <c r="F802" t="s">
        <v>44</v>
      </c>
      <c r="G802" s="7">
        <v>43549</v>
      </c>
      <c r="H802" t="s">
        <v>27</v>
      </c>
      <c r="I802" t="s">
        <v>22</v>
      </c>
      <c r="J802" t="s">
        <v>69</v>
      </c>
    </row>
    <row r="803" spans="1:10" x14ac:dyDescent="0.3">
      <c r="A803" t="s">
        <v>51</v>
      </c>
      <c r="B803">
        <v>40</v>
      </c>
      <c r="C803" s="6">
        <v>70000</v>
      </c>
      <c r="D803" t="s">
        <v>11</v>
      </c>
      <c r="E803" t="s">
        <v>26</v>
      </c>
      <c r="F803" t="s">
        <v>39</v>
      </c>
      <c r="G803" s="7">
        <v>43195</v>
      </c>
      <c r="H803" t="s">
        <v>21</v>
      </c>
      <c r="I803" t="s">
        <v>15</v>
      </c>
      <c r="J803" t="s">
        <v>69</v>
      </c>
    </row>
    <row r="804" spans="1:10" x14ac:dyDescent="0.3">
      <c r="A804" t="s">
        <v>57</v>
      </c>
      <c r="B804">
        <v>35</v>
      </c>
      <c r="C804" s="6">
        <v>70000</v>
      </c>
      <c r="D804" t="s">
        <v>18</v>
      </c>
      <c r="E804" t="s">
        <v>12</v>
      </c>
      <c r="F804" t="s">
        <v>43</v>
      </c>
      <c r="G804" s="7">
        <v>43800</v>
      </c>
      <c r="H804" t="s">
        <v>27</v>
      </c>
      <c r="I804" t="s">
        <v>22</v>
      </c>
      <c r="J804" t="s">
        <v>69</v>
      </c>
    </row>
    <row r="805" spans="1:10" x14ac:dyDescent="0.3">
      <c r="A805" t="s">
        <v>55</v>
      </c>
      <c r="B805">
        <v>30</v>
      </c>
      <c r="C805" s="6">
        <v>65000</v>
      </c>
      <c r="D805" t="s">
        <v>36</v>
      </c>
      <c r="E805" t="s">
        <v>19</v>
      </c>
      <c r="F805" t="s">
        <v>13</v>
      </c>
      <c r="G805" s="7">
        <v>43195</v>
      </c>
      <c r="H805" t="s">
        <v>41</v>
      </c>
      <c r="I805" t="s">
        <v>15</v>
      </c>
      <c r="J805" t="s">
        <v>45</v>
      </c>
    </row>
    <row r="806" spans="1:10" x14ac:dyDescent="0.3">
      <c r="A806" t="s">
        <v>60</v>
      </c>
      <c r="B806">
        <v>35</v>
      </c>
      <c r="C806" s="6">
        <v>50000</v>
      </c>
      <c r="D806" t="s">
        <v>11</v>
      </c>
      <c r="E806" t="s">
        <v>37</v>
      </c>
      <c r="F806" t="s">
        <v>20</v>
      </c>
      <c r="G806" s="7">
        <v>43881</v>
      </c>
      <c r="H806" t="s">
        <v>31</v>
      </c>
      <c r="I806" t="s">
        <v>69</v>
      </c>
      <c r="J806" t="s">
        <v>69</v>
      </c>
    </row>
    <row r="807" spans="1:10" x14ac:dyDescent="0.3">
      <c r="A807" t="s">
        <v>59</v>
      </c>
      <c r="B807">
        <v>50</v>
      </c>
      <c r="C807" s="6">
        <v>70000</v>
      </c>
      <c r="D807" t="s">
        <v>36</v>
      </c>
      <c r="E807" t="s">
        <v>19</v>
      </c>
      <c r="F807" t="s">
        <v>44</v>
      </c>
      <c r="G807" s="7">
        <v>43800</v>
      </c>
      <c r="H807" t="s">
        <v>21</v>
      </c>
      <c r="I807" t="s">
        <v>15</v>
      </c>
      <c r="J807" t="s">
        <v>69</v>
      </c>
    </row>
    <row r="808" spans="1:10" x14ac:dyDescent="0.3">
      <c r="A808" t="s">
        <v>52</v>
      </c>
      <c r="B808">
        <v>36</v>
      </c>
      <c r="C808" s="6">
        <v>55000</v>
      </c>
      <c r="D808" t="s">
        <v>36</v>
      </c>
      <c r="E808" t="s">
        <v>19</v>
      </c>
      <c r="F808" t="s">
        <v>43</v>
      </c>
      <c r="G808" s="7">
        <v>43195</v>
      </c>
      <c r="H808" t="s">
        <v>27</v>
      </c>
      <c r="I808" t="s">
        <v>22</v>
      </c>
      <c r="J808" t="s">
        <v>23</v>
      </c>
    </row>
    <row r="809" spans="1:10" x14ac:dyDescent="0.3">
      <c r="A809" t="s">
        <v>60</v>
      </c>
      <c r="B809">
        <v>40</v>
      </c>
      <c r="C809" s="6">
        <v>70000</v>
      </c>
      <c r="D809" t="s">
        <v>18</v>
      </c>
      <c r="E809" t="s">
        <v>26</v>
      </c>
      <c r="F809" t="s">
        <v>39</v>
      </c>
      <c r="G809" s="7">
        <v>43195</v>
      </c>
      <c r="H809" t="s">
        <v>14</v>
      </c>
      <c r="I809" t="s">
        <v>69</v>
      </c>
      <c r="J809" t="s">
        <v>69</v>
      </c>
    </row>
    <row r="810" spans="1:10" x14ac:dyDescent="0.3">
      <c r="A810" t="s">
        <v>52</v>
      </c>
      <c r="B810">
        <v>40</v>
      </c>
      <c r="C810" s="6">
        <v>65000</v>
      </c>
      <c r="D810" t="s">
        <v>18</v>
      </c>
      <c r="E810" t="s">
        <v>19</v>
      </c>
      <c r="F810" t="s">
        <v>13</v>
      </c>
      <c r="G810" s="7">
        <v>43800</v>
      </c>
      <c r="H810" t="s">
        <v>41</v>
      </c>
      <c r="I810" t="s">
        <v>22</v>
      </c>
      <c r="J810" t="s">
        <v>45</v>
      </c>
    </row>
    <row r="811" spans="1:10" x14ac:dyDescent="0.3">
      <c r="A811" t="s">
        <v>55</v>
      </c>
      <c r="B811">
        <v>40</v>
      </c>
      <c r="C811" s="6" t="s">
        <v>68</v>
      </c>
      <c r="D811" t="s">
        <v>36</v>
      </c>
      <c r="E811" t="s">
        <v>19</v>
      </c>
      <c r="F811" t="s">
        <v>44</v>
      </c>
      <c r="G811" s="7">
        <v>43881</v>
      </c>
      <c r="H811" t="s">
        <v>31</v>
      </c>
      <c r="I811" t="s">
        <v>32</v>
      </c>
      <c r="J811" t="s">
        <v>28</v>
      </c>
    </row>
    <row r="812" spans="1:10" x14ac:dyDescent="0.3">
      <c r="A812" t="s">
        <v>56</v>
      </c>
      <c r="B812">
        <v>35</v>
      </c>
      <c r="C812" s="6">
        <v>55000</v>
      </c>
      <c r="D812" t="s">
        <v>11</v>
      </c>
      <c r="E812" t="s">
        <v>37</v>
      </c>
      <c r="F812" t="s">
        <v>13</v>
      </c>
      <c r="G812" s="7">
        <v>43195</v>
      </c>
      <c r="H812" t="s">
        <v>41</v>
      </c>
      <c r="I812" t="s">
        <v>32</v>
      </c>
      <c r="J812" t="s">
        <v>28</v>
      </c>
    </row>
    <row r="813" spans="1:10" x14ac:dyDescent="0.3">
      <c r="A813" t="s">
        <v>60</v>
      </c>
      <c r="B813">
        <v>36</v>
      </c>
      <c r="C813" s="6">
        <v>65000</v>
      </c>
      <c r="D813" t="s">
        <v>36</v>
      </c>
      <c r="E813" t="s">
        <v>26</v>
      </c>
      <c r="F813" t="s">
        <v>20</v>
      </c>
      <c r="G813" s="7">
        <v>43800</v>
      </c>
      <c r="H813" t="s">
        <v>14</v>
      </c>
      <c r="I813" t="s">
        <v>32</v>
      </c>
      <c r="J813" t="s">
        <v>28</v>
      </c>
    </row>
    <row r="814" spans="1:10" x14ac:dyDescent="0.3">
      <c r="A814" t="s">
        <v>58</v>
      </c>
      <c r="B814">
        <v>30</v>
      </c>
      <c r="C814" s="6" t="s">
        <v>68</v>
      </c>
      <c r="D814" t="s">
        <v>11</v>
      </c>
      <c r="E814" t="s">
        <v>19</v>
      </c>
      <c r="F814" t="s">
        <v>39</v>
      </c>
      <c r="G814" s="7">
        <v>43881</v>
      </c>
      <c r="H814" t="s">
        <v>31</v>
      </c>
      <c r="I814" t="s">
        <v>32</v>
      </c>
      <c r="J814" t="s">
        <v>23</v>
      </c>
    </row>
    <row r="815" spans="1:10" x14ac:dyDescent="0.3">
      <c r="A815" t="s">
        <v>52</v>
      </c>
      <c r="B815">
        <v>50</v>
      </c>
      <c r="C815" s="6">
        <v>55000</v>
      </c>
      <c r="D815" t="s">
        <v>11</v>
      </c>
      <c r="E815" t="s">
        <v>30</v>
      </c>
      <c r="F815" t="s">
        <v>13</v>
      </c>
      <c r="G815" s="7">
        <v>43800</v>
      </c>
      <c r="H815" t="s">
        <v>14</v>
      </c>
      <c r="I815" t="s">
        <v>69</v>
      </c>
      <c r="J815" t="s">
        <v>45</v>
      </c>
    </row>
    <row r="816" spans="1:10" x14ac:dyDescent="0.3">
      <c r="A816" t="s">
        <v>57</v>
      </c>
      <c r="B816">
        <v>30</v>
      </c>
      <c r="C816" s="6">
        <v>60000</v>
      </c>
      <c r="D816" t="s">
        <v>18</v>
      </c>
      <c r="E816" t="s">
        <v>12</v>
      </c>
      <c r="F816" t="s">
        <v>43</v>
      </c>
      <c r="G816" s="7">
        <v>43800</v>
      </c>
      <c r="H816" t="s">
        <v>41</v>
      </c>
      <c r="I816" t="s">
        <v>69</v>
      </c>
      <c r="J816" t="s">
        <v>69</v>
      </c>
    </row>
    <row r="817" spans="1:10" x14ac:dyDescent="0.3">
      <c r="A817" t="s">
        <v>58</v>
      </c>
      <c r="B817">
        <v>35</v>
      </c>
      <c r="C817" s="6">
        <v>50000</v>
      </c>
      <c r="D817" t="s">
        <v>11</v>
      </c>
      <c r="E817" t="s">
        <v>37</v>
      </c>
      <c r="F817" t="s">
        <v>39</v>
      </c>
      <c r="G817" s="7">
        <v>43195</v>
      </c>
      <c r="H817" t="s">
        <v>27</v>
      </c>
      <c r="I817" t="s">
        <v>69</v>
      </c>
      <c r="J817" t="s">
        <v>28</v>
      </c>
    </row>
    <row r="818" spans="1:10" x14ac:dyDescent="0.3">
      <c r="A818" t="s">
        <v>53</v>
      </c>
      <c r="B818">
        <v>50</v>
      </c>
      <c r="C818" s="6">
        <v>50000</v>
      </c>
      <c r="D818" t="s">
        <v>11</v>
      </c>
      <c r="E818" t="s">
        <v>19</v>
      </c>
      <c r="F818" t="s">
        <v>43</v>
      </c>
      <c r="G818" s="7">
        <v>43881</v>
      </c>
      <c r="H818" t="s">
        <v>41</v>
      </c>
      <c r="I818" t="s">
        <v>22</v>
      </c>
      <c r="J818" t="s">
        <v>45</v>
      </c>
    </row>
    <row r="819" spans="1:10" x14ac:dyDescent="0.3">
      <c r="A819" t="s">
        <v>53</v>
      </c>
      <c r="B819">
        <v>40</v>
      </c>
      <c r="C819" s="6">
        <v>65000</v>
      </c>
      <c r="D819" t="s">
        <v>36</v>
      </c>
      <c r="E819" t="s">
        <v>30</v>
      </c>
      <c r="F819" t="s">
        <v>13</v>
      </c>
      <c r="G819" s="7">
        <v>43195</v>
      </c>
      <c r="H819" t="s">
        <v>41</v>
      </c>
      <c r="I819" t="s">
        <v>15</v>
      </c>
      <c r="J819" t="s">
        <v>69</v>
      </c>
    </row>
    <row r="820" spans="1:10" x14ac:dyDescent="0.3">
      <c r="A820" t="s">
        <v>59</v>
      </c>
      <c r="B820">
        <v>25</v>
      </c>
      <c r="C820" s="6" t="s">
        <v>68</v>
      </c>
      <c r="D820" t="s">
        <v>18</v>
      </c>
      <c r="E820" t="s">
        <v>19</v>
      </c>
      <c r="F820" t="s">
        <v>39</v>
      </c>
      <c r="G820" s="7">
        <v>43845</v>
      </c>
      <c r="H820" t="s">
        <v>41</v>
      </c>
      <c r="I820" t="s">
        <v>22</v>
      </c>
      <c r="J820" t="s">
        <v>23</v>
      </c>
    </row>
    <row r="821" spans="1:10" x14ac:dyDescent="0.3">
      <c r="A821" t="s">
        <v>56</v>
      </c>
      <c r="B821">
        <v>35</v>
      </c>
      <c r="C821" s="6">
        <v>50000</v>
      </c>
      <c r="D821" t="s">
        <v>11</v>
      </c>
      <c r="E821" t="s">
        <v>19</v>
      </c>
      <c r="F821" t="s">
        <v>43</v>
      </c>
      <c r="G821" s="7">
        <v>43845</v>
      </c>
      <c r="H821" t="s">
        <v>21</v>
      </c>
      <c r="I821" t="s">
        <v>22</v>
      </c>
      <c r="J821" t="s">
        <v>45</v>
      </c>
    </row>
    <row r="822" spans="1:10" x14ac:dyDescent="0.3">
      <c r="A822" t="s">
        <v>55</v>
      </c>
      <c r="B822">
        <v>35</v>
      </c>
      <c r="C822" s="6" t="s">
        <v>68</v>
      </c>
      <c r="D822" t="s">
        <v>11</v>
      </c>
      <c r="E822" t="s">
        <v>26</v>
      </c>
      <c r="F822" t="s">
        <v>20</v>
      </c>
      <c r="G822" s="7">
        <v>43881</v>
      </c>
      <c r="H822" t="s">
        <v>14</v>
      </c>
      <c r="I822" t="s">
        <v>22</v>
      </c>
      <c r="J822" t="s">
        <v>45</v>
      </c>
    </row>
    <row r="823" spans="1:10" x14ac:dyDescent="0.3">
      <c r="A823" t="s">
        <v>60</v>
      </c>
      <c r="B823">
        <v>36</v>
      </c>
      <c r="C823" s="6" t="s">
        <v>68</v>
      </c>
      <c r="D823" t="s">
        <v>18</v>
      </c>
      <c r="E823" t="s">
        <v>26</v>
      </c>
      <c r="F823" t="s">
        <v>20</v>
      </c>
      <c r="G823" s="7">
        <v>43800</v>
      </c>
      <c r="H823" t="s">
        <v>14</v>
      </c>
      <c r="I823" t="s">
        <v>22</v>
      </c>
      <c r="J823" t="s">
        <v>69</v>
      </c>
    </row>
    <row r="824" spans="1:10" x14ac:dyDescent="0.3">
      <c r="A824" t="s">
        <v>54</v>
      </c>
      <c r="B824">
        <v>30</v>
      </c>
      <c r="C824" s="6">
        <v>65000</v>
      </c>
      <c r="D824" t="s">
        <v>36</v>
      </c>
      <c r="E824" t="s">
        <v>26</v>
      </c>
      <c r="F824" t="s">
        <v>13</v>
      </c>
      <c r="G824" s="7">
        <v>43195</v>
      </c>
      <c r="H824" t="s">
        <v>14</v>
      </c>
      <c r="I824" t="s">
        <v>69</v>
      </c>
      <c r="J824" t="s">
        <v>45</v>
      </c>
    </row>
    <row r="825" spans="1:10" x14ac:dyDescent="0.3">
      <c r="A825" t="s">
        <v>57</v>
      </c>
      <c r="B825">
        <v>35</v>
      </c>
      <c r="C825" s="6">
        <v>65000</v>
      </c>
      <c r="D825" t="s">
        <v>18</v>
      </c>
      <c r="E825" t="s">
        <v>30</v>
      </c>
      <c r="F825" t="s">
        <v>39</v>
      </c>
      <c r="G825" s="7">
        <v>43195</v>
      </c>
      <c r="H825" t="s">
        <v>21</v>
      </c>
      <c r="I825" t="s">
        <v>15</v>
      </c>
      <c r="J825" t="s">
        <v>69</v>
      </c>
    </row>
    <row r="826" spans="1:10" x14ac:dyDescent="0.3">
      <c r="A826" t="s">
        <v>52</v>
      </c>
      <c r="B826">
        <v>35</v>
      </c>
      <c r="C826" s="6">
        <v>65000</v>
      </c>
      <c r="D826" t="s">
        <v>18</v>
      </c>
      <c r="E826" t="s">
        <v>19</v>
      </c>
      <c r="F826" t="s">
        <v>44</v>
      </c>
      <c r="G826" s="7">
        <v>43881</v>
      </c>
      <c r="H826" t="s">
        <v>27</v>
      </c>
      <c r="I826" t="s">
        <v>22</v>
      </c>
      <c r="J826" t="s">
        <v>23</v>
      </c>
    </row>
    <row r="827" spans="1:10" x14ac:dyDescent="0.3">
      <c r="A827" t="s">
        <v>55</v>
      </c>
      <c r="B827">
        <v>40</v>
      </c>
      <c r="C827" s="6">
        <v>50000</v>
      </c>
      <c r="D827" t="s">
        <v>11</v>
      </c>
      <c r="E827" t="s">
        <v>12</v>
      </c>
      <c r="F827" t="s">
        <v>39</v>
      </c>
      <c r="G827" s="7">
        <v>43881</v>
      </c>
      <c r="H827" t="s">
        <v>41</v>
      </c>
      <c r="I827" t="s">
        <v>69</v>
      </c>
      <c r="J827" t="s">
        <v>23</v>
      </c>
    </row>
    <row r="828" spans="1:10" x14ac:dyDescent="0.3">
      <c r="A828" t="s">
        <v>58</v>
      </c>
      <c r="B828">
        <v>40</v>
      </c>
      <c r="C828" s="6">
        <v>65000</v>
      </c>
      <c r="D828" t="s">
        <v>11</v>
      </c>
      <c r="E828" t="s">
        <v>37</v>
      </c>
      <c r="F828" t="s">
        <v>20</v>
      </c>
      <c r="G828" s="7">
        <v>43845</v>
      </c>
      <c r="H828" t="s">
        <v>27</v>
      </c>
      <c r="I828" t="s">
        <v>22</v>
      </c>
      <c r="J828" t="s">
        <v>69</v>
      </c>
    </row>
    <row r="829" spans="1:10" x14ac:dyDescent="0.3">
      <c r="A829" t="s">
        <v>53</v>
      </c>
      <c r="B829">
        <v>50</v>
      </c>
      <c r="C829" s="6">
        <v>50000</v>
      </c>
      <c r="D829" t="s">
        <v>36</v>
      </c>
      <c r="E829" t="s">
        <v>26</v>
      </c>
      <c r="F829" t="s">
        <v>43</v>
      </c>
      <c r="G829" s="7">
        <v>43549</v>
      </c>
      <c r="H829" t="s">
        <v>21</v>
      </c>
      <c r="I829" t="s">
        <v>32</v>
      </c>
      <c r="J829" t="s">
        <v>69</v>
      </c>
    </row>
    <row r="830" spans="1:10" x14ac:dyDescent="0.3">
      <c r="A830" t="s">
        <v>57</v>
      </c>
      <c r="B830">
        <v>25</v>
      </c>
      <c r="C830" s="6">
        <v>65000</v>
      </c>
      <c r="D830" t="s">
        <v>11</v>
      </c>
      <c r="E830" t="s">
        <v>26</v>
      </c>
      <c r="F830" t="s">
        <v>44</v>
      </c>
      <c r="G830" s="7">
        <v>43881</v>
      </c>
      <c r="H830" t="s">
        <v>14</v>
      </c>
      <c r="I830" t="s">
        <v>22</v>
      </c>
      <c r="J830" t="s">
        <v>69</v>
      </c>
    </row>
    <row r="831" spans="1:10" x14ac:dyDescent="0.3">
      <c r="A831" t="s">
        <v>54</v>
      </c>
      <c r="B831">
        <v>36</v>
      </c>
      <c r="C831" s="6">
        <v>70000</v>
      </c>
      <c r="D831" t="s">
        <v>11</v>
      </c>
      <c r="E831" t="s">
        <v>19</v>
      </c>
      <c r="F831" t="s">
        <v>13</v>
      </c>
      <c r="G831" s="7">
        <v>43549</v>
      </c>
      <c r="H831" t="s">
        <v>41</v>
      </c>
      <c r="I831" t="s">
        <v>22</v>
      </c>
      <c r="J831" t="s">
        <v>28</v>
      </c>
    </row>
    <row r="832" spans="1:10" x14ac:dyDescent="0.3">
      <c r="A832" t="s">
        <v>60</v>
      </c>
      <c r="B832">
        <v>25</v>
      </c>
      <c r="C832" s="6" t="s">
        <v>68</v>
      </c>
      <c r="D832" t="s">
        <v>18</v>
      </c>
      <c r="E832" t="s">
        <v>19</v>
      </c>
      <c r="F832" t="s">
        <v>44</v>
      </c>
      <c r="G832" s="7">
        <v>43881</v>
      </c>
      <c r="H832" t="s">
        <v>31</v>
      </c>
      <c r="I832" t="s">
        <v>69</v>
      </c>
      <c r="J832" t="s">
        <v>28</v>
      </c>
    </row>
    <row r="833" spans="1:10" x14ac:dyDescent="0.3">
      <c r="A833" t="s">
        <v>59</v>
      </c>
      <c r="B833">
        <v>50</v>
      </c>
      <c r="C833" s="6">
        <v>65000</v>
      </c>
      <c r="D833" t="s">
        <v>11</v>
      </c>
      <c r="E833" t="s">
        <v>30</v>
      </c>
      <c r="F833" t="s">
        <v>13</v>
      </c>
      <c r="G833" s="7">
        <v>43800</v>
      </c>
      <c r="H833" t="s">
        <v>31</v>
      </c>
      <c r="I833" t="s">
        <v>32</v>
      </c>
      <c r="J833" t="s">
        <v>69</v>
      </c>
    </row>
    <row r="834" spans="1:10" x14ac:dyDescent="0.3">
      <c r="A834" t="s">
        <v>54</v>
      </c>
      <c r="B834">
        <v>40</v>
      </c>
      <c r="C834" s="6">
        <v>55000</v>
      </c>
      <c r="D834" t="s">
        <v>36</v>
      </c>
      <c r="E834" t="s">
        <v>30</v>
      </c>
      <c r="F834" t="s">
        <v>44</v>
      </c>
      <c r="G834" s="7">
        <v>43800</v>
      </c>
      <c r="H834" t="s">
        <v>27</v>
      </c>
      <c r="I834" t="s">
        <v>15</v>
      </c>
      <c r="J834" t="s">
        <v>23</v>
      </c>
    </row>
    <row r="835" spans="1:10" x14ac:dyDescent="0.3">
      <c r="A835" t="s">
        <v>57</v>
      </c>
      <c r="B835">
        <v>30</v>
      </c>
      <c r="C835" s="6" t="s">
        <v>68</v>
      </c>
      <c r="D835" t="s">
        <v>18</v>
      </c>
      <c r="E835" t="s">
        <v>26</v>
      </c>
      <c r="F835" t="s">
        <v>13</v>
      </c>
      <c r="G835" s="7">
        <v>43845</v>
      </c>
      <c r="H835" t="s">
        <v>14</v>
      </c>
      <c r="I835" t="s">
        <v>22</v>
      </c>
      <c r="J835" t="s">
        <v>28</v>
      </c>
    </row>
    <row r="836" spans="1:10" x14ac:dyDescent="0.3">
      <c r="A836" t="s">
        <v>54</v>
      </c>
      <c r="B836">
        <v>40</v>
      </c>
      <c r="C836" s="6" t="s">
        <v>68</v>
      </c>
      <c r="D836" t="s">
        <v>36</v>
      </c>
      <c r="E836" t="s">
        <v>19</v>
      </c>
      <c r="F836" t="s">
        <v>13</v>
      </c>
      <c r="G836" s="7">
        <v>43845</v>
      </c>
      <c r="H836" t="s">
        <v>31</v>
      </c>
      <c r="I836" t="s">
        <v>15</v>
      </c>
      <c r="J836" t="s">
        <v>45</v>
      </c>
    </row>
    <row r="837" spans="1:10" x14ac:dyDescent="0.3">
      <c r="A837" t="s">
        <v>57</v>
      </c>
      <c r="B837">
        <v>36</v>
      </c>
      <c r="C837" s="6">
        <v>65000</v>
      </c>
      <c r="D837" t="s">
        <v>18</v>
      </c>
      <c r="E837" t="s">
        <v>12</v>
      </c>
      <c r="F837" t="s">
        <v>44</v>
      </c>
      <c r="G837" s="7">
        <v>43549</v>
      </c>
      <c r="H837" t="s">
        <v>27</v>
      </c>
      <c r="I837" t="s">
        <v>32</v>
      </c>
      <c r="J837" t="s">
        <v>23</v>
      </c>
    </row>
    <row r="838" spans="1:10" x14ac:dyDescent="0.3">
      <c r="A838" t="s">
        <v>57</v>
      </c>
      <c r="B838">
        <v>40</v>
      </c>
      <c r="C838" s="6">
        <v>60000</v>
      </c>
      <c r="D838" t="s">
        <v>11</v>
      </c>
      <c r="E838" t="s">
        <v>37</v>
      </c>
      <c r="F838" t="s">
        <v>44</v>
      </c>
      <c r="G838" s="7">
        <v>43881</v>
      </c>
      <c r="H838" t="s">
        <v>21</v>
      </c>
      <c r="I838" t="s">
        <v>22</v>
      </c>
      <c r="J838" t="s">
        <v>45</v>
      </c>
    </row>
    <row r="839" spans="1:10" x14ac:dyDescent="0.3">
      <c r="A839" t="s">
        <v>51</v>
      </c>
      <c r="B839">
        <v>36</v>
      </c>
      <c r="C839" s="6">
        <v>65000</v>
      </c>
      <c r="D839" t="s">
        <v>18</v>
      </c>
      <c r="E839" t="s">
        <v>19</v>
      </c>
      <c r="F839" t="s">
        <v>13</v>
      </c>
      <c r="G839" s="7">
        <v>43195</v>
      </c>
      <c r="H839" t="s">
        <v>27</v>
      </c>
      <c r="I839" t="s">
        <v>69</v>
      </c>
      <c r="J839" t="s">
        <v>69</v>
      </c>
    </row>
    <row r="840" spans="1:10" x14ac:dyDescent="0.3">
      <c r="A840" t="s">
        <v>52</v>
      </c>
      <c r="B840">
        <v>36</v>
      </c>
      <c r="C840" s="6" t="s">
        <v>68</v>
      </c>
      <c r="D840" t="s">
        <v>18</v>
      </c>
      <c r="E840" t="s">
        <v>19</v>
      </c>
      <c r="F840" t="s">
        <v>20</v>
      </c>
      <c r="G840" s="7">
        <v>43845</v>
      </c>
      <c r="H840" t="s">
        <v>27</v>
      </c>
      <c r="I840" t="s">
        <v>69</v>
      </c>
      <c r="J840" t="s">
        <v>23</v>
      </c>
    </row>
    <row r="841" spans="1:10" x14ac:dyDescent="0.3">
      <c r="A841" t="s">
        <v>53</v>
      </c>
      <c r="B841">
        <v>36</v>
      </c>
      <c r="C841" s="6">
        <v>55000</v>
      </c>
      <c r="D841" t="s">
        <v>11</v>
      </c>
      <c r="E841" t="s">
        <v>30</v>
      </c>
      <c r="F841" t="s">
        <v>44</v>
      </c>
      <c r="G841" s="7">
        <v>43195</v>
      </c>
      <c r="H841" t="s">
        <v>27</v>
      </c>
      <c r="I841" t="s">
        <v>69</v>
      </c>
      <c r="J841" t="s">
        <v>69</v>
      </c>
    </row>
    <row r="842" spans="1:10" x14ac:dyDescent="0.3">
      <c r="A842" t="s">
        <v>51</v>
      </c>
      <c r="B842">
        <v>50</v>
      </c>
      <c r="C842" s="6" t="s">
        <v>68</v>
      </c>
      <c r="D842" t="s">
        <v>11</v>
      </c>
      <c r="E842" t="s">
        <v>37</v>
      </c>
      <c r="F842" t="s">
        <v>39</v>
      </c>
      <c r="G842" s="7">
        <v>43195</v>
      </c>
      <c r="H842" t="s">
        <v>41</v>
      </c>
      <c r="I842" t="s">
        <v>69</v>
      </c>
      <c r="J842" t="s">
        <v>69</v>
      </c>
    </row>
    <row r="843" spans="1:10" x14ac:dyDescent="0.3">
      <c r="A843" t="s">
        <v>60</v>
      </c>
      <c r="B843">
        <v>36</v>
      </c>
      <c r="C843" s="6">
        <v>55000</v>
      </c>
      <c r="D843" t="s">
        <v>36</v>
      </c>
      <c r="E843" t="s">
        <v>26</v>
      </c>
      <c r="F843" t="s">
        <v>43</v>
      </c>
      <c r="G843" s="7">
        <v>43881</v>
      </c>
      <c r="H843" t="s">
        <v>27</v>
      </c>
      <c r="I843" t="s">
        <v>69</v>
      </c>
      <c r="J843" t="s">
        <v>69</v>
      </c>
    </row>
    <row r="844" spans="1:10" x14ac:dyDescent="0.3">
      <c r="A844" t="s">
        <v>51</v>
      </c>
      <c r="B844">
        <v>36</v>
      </c>
      <c r="C844" s="6">
        <v>50000</v>
      </c>
      <c r="D844" t="s">
        <v>36</v>
      </c>
      <c r="E844" t="s">
        <v>19</v>
      </c>
      <c r="F844" t="s">
        <v>13</v>
      </c>
      <c r="G844" s="7">
        <v>43549</v>
      </c>
      <c r="H844" t="s">
        <v>27</v>
      </c>
      <c r="I844" t="s">
        <v>69</v>
      </c>
      <c r="J844" t="s">
        <v>45</v>
      </c>
    </row>
    <row r="845" spans="1:10" x14ac:dyDescent="0.3">
      <c r="A845" t="s">
        <v>56</v>
      </c>
      <c r="B845">
        <v>30</v>
      </c>
      <c r="C845" s="6">
        <v>70000</v>
      </c>
      <c r="D845" t="s">
        <v>11</v>
      </c>
      <c r="E845" t="s">
        <v>26</v>
      </c>
      <c r="F845" t="s">
        <v>13</v>
      </c>
      <c r="G845" s="7">
        <v>43881</v>
      </c>
      <c r="H845" t="s">
        <v>41</v>
      </c>
      <c r="I845" t="s">
        <v>69</v>
      </c>
      <c r="J845" t="s">
        <v>69</v>
      </c>
    </row>
    <row r="846" spans="1:10" x14ac:dyDescent="0.3">
      <c r="A846" t="s">
        <v>56</v>
      </c>
      <c r="B846">
        <v>25</v>
      </c>
      <c r="C846" s="6" t="s">
        <v>68</v>
      </c>
      <c r="D846" t="s">
        <v>11</v>
      </c>
      <c r="E846" t="s">
        <v>19</v>
      </c>
      <c r="F846" t="s">
        <v>43</v>
      </c>
      <c r="G846" s="7">
        <v>43845</v>
      </c>
      <c r="H846" t="s">
        <v>41</v>
      </c>
      <c r="I846" t="s">
        <v>22</v>
      </c>
      <c r="J846" t="s">
        <v>28</v>
      </c>
    </row>
    <row r="847" spans="1:10" x14ac:dyDescent="0.3">
      <c r="A847" t="s">
        <v>53</v>
      </c>
      <c r="B847">
        <v>35</v>
      </c>
      <c r="C847" s="6">
        <v>65000</v>
      </c>
      <c r="D847" t="s">
        <v>11</v>
      </c>
      <c r="E847" t="s">
        <v>26</v>
      </c>
      <c r="F847" t="s">
        <v>20</v>
      </c>
      <c r="G847" s="7">
        <v>43195</v>
      </c>
      <c r="H847" t="s">
        <v>21</v>
      </c>
      <c r="I847" t="s">
        <v>15</v>
      </c>
      <c r="J847" t="s">
        <v>23</v>
      </c>
    </row>
    <row r="848" spans="1:10" x14ac:dyDescent="0.3">
      <c r="A848" t="s">
        <v>54</v>
      </c>
      <c r="B848">
        <v>25</v>
      </c>
      <c r="C848" s="6">
        <v>50000</v>
      </c>
      <c r="D848" t="s">
        <v>18</v>
      </c>
      <c r="E848" t="s">
        <v>37</v>
      </c>
      <c r="F848" t="s">
        <v>43</v>
      </c>
      <c r="G848" s="7">
        <v>43881</v>
      </c>
      <c r="H848" t="s">
        <v>14</v>
      </c>
      <c r="I848" t="s">
        <v>15</v>
      </c>
      <c r="J848" t="s">
        <v>28</v>
      </c>
    </row>
    <row r="849" spans="1:10" x14ac:dyDescent="0.3">
      <c r="A849" t="s">
        <v>52</v>
      </c>
      <c r="B849">
        <v>36</v>
      </c>
      <c r="C849" s="6">
        <v>70000</v>
      </c>
      <c r="D849" t="s">
        <v>18</v>
      </c>
      <c r="E849" t="s">
        <v>30</v>
      </c>
      <c r="F849" t="s">
        <v>44</v>
      </c>
      <c r="G849" s="7">
        <v>43881</v>
      </c>
      <c r="H849" t="s">
        <v>31</v>
      </c>
      <c r="I849" t="s">
        <v>69</v>
      </c>
      <c r="J849" t="s">
        <v>45</v>
      </c>
    </row>
    <row r="850" spans="1:10" x14ac:dyDescent="0.3">
      <c r="A850" t="s">
        <v>53</v>
      </c>
      <c r="B850">
        <v>30</v>
      </c>
      <c r="C850" s="6">
        <v>65000</v>
      </c>
      <c r="D850" t="s">
        <v>18</v>
      </c>
      <c r="E850" t="s">
        <v>37</v>
      </c>
      <c r="F850" t="s">
        <v>43</v>
      </c>
      <c r="G850" s="7">
        <v>43881</v>
      </c>
      <c r="H850" t="s">
        <v>31</v>
      </c>
      <c r="I850" t="s">
        <v>69</v>
      </c>
      <c r="J850" t="s">
        <v>45</v>
      </c>
    </row>
    <row r="851" spans="1:10" x14ac:dyDescent="0.3">
      <c r="A851" t="s">
        <v>57</v>
      </c>
      <c r="B851">
        <v>40</v>
      </c>
      <c r="C851" s="6">
        <v>60000</v>
      </c>
      <c r="D851" t="s">
        <v>11</v>
      </c>
      <c r="E851" t="s">
        <v>12</v>
      </c>
      <c r="F851" t="s">
        <v>13</v>
      </c>
      <c r="G851" s="7">
        <v>43845</v>
      </c>
      <c r="H851" t="s">
        <v>27</v>
      </c>
      <c r="I851" t="s">
        <v>32</v>
      </c>
      <c r="J851" t="s">
        <v>23</v>
      </c>
    </row>
    <row r="852" spans="1:10" x14ac:dyDescent="0.3">
      <c r="A852" t="s">
        <v>58</v>
      </c>
      <c r="B852">
        <v>30</v>
      </c>
      <c r="C852" s="6">
        <v>65000</v>
      </c>
      <c r="D852" t="s">
        <v>36</v>
      </c>
      <c r="E852" t="s">
        <v>30</v>
      </c>
      <c r="F852" t="s">
        <v>43</v>
      </c>
      <c r="G852" s="7">
        <v>43549</v>
      </c>
      <c r="H852" t="s">
        <v>21</v>
      </c>
      <c r="I852" t="s">
        <v>69</v>
      </c>
      <c r="J852" t="s">
        <v>69</v>
      </c>
    </row>
    <row r="853" spans="1:10" x14ac:dyDescent="0.3">
      <c r="A853" t="s">
        <v>52</v>
      </c>
      <c r="B853">
        <v>36</v>
      </c>
      <c r="C853" s="6">
        <v>55000</v>
      </c>
      <c r="D853" t="s">
        <v>11</v>
      </c>
      <c r="E853" t="s">
        <v>37</v>
      </c>
      <c r="F853" t="s">
        <v>39</v>
      </c>
      <c r="G853" s="7">
        <v>43881</v>
      </c>
      <c r="H853" t="s">
        <v>27</v>
      </c>
      <c r="I853" t="s">
        <v>69</v>
      </c>
      <c r="J853" t="s">
        <v>69</v>
      </c>
    </row>
    <row r="854" spans="1:10" x14ac:dyDescent="0.3">
      <c r="A854" t="s">
        <v>52</v>
      </c>
      <c r="B854">
        <v>30</v>
      </c>
      <c r="C854" s="6">
        <v>55000</v>
      </c>
      <c r="D854" t="s">
        <v>18</v>
      </c>
      <c r="E854" t="s">
        <v>12</v>
      </c>
      <c r="F854" t="s">
        <v>44</v>
      </c>
      <c r="G854" s="7">
        <v>43845</v>
      </c>
      <c r="H854" t="s">
        <v>31</v>
      </c>
      <c r="I854" t="s">
        <v>69</v>
      </c>
      <c r="J854" t="s">
        <v>45</v>
      </c>
    </row>
    <row r="855" spans="1:10" x14ac:dyDescent="0.3">
      <c r="A855" t="s">
        <v>57</v>
      </c>
      <c r="B855">
        <v>30</v>
      </c>
      <c r="C855" s="6">
        <v>60000</v>
      </c>
      <c r="D855" t="s">
        <v>18</v>
      </c>
      <c r="E855" t="s">
        <v>19</v>
      </c>
      <c r="F855" t="s">
        <v>43</v>
      </c>
      <c r="G855" s="7">
        <v>43195</v>
      </c>
      <c r="H855" t="s">
        <v>41</v>
      </c>
      <c r="I855" t="s">
        <v>22</v>
      </c>
      <c r="J855" t="s">
        <v>23</v>
      </c>
    </row>
    <row r="856" spans="1:10" x14ac:dyDescent="0.3">
      <c r="A856" t="s">
        <v>57</v>
      </c>
      <c r="B856">
        <v>36</v>
      </c>
      <c r="C856" s="6">
        <v>50000</v>
      </c>
      <c r="D856" t="s">
        <v>11</v>
      </c>
      <c r="E856" t="s">
        <v>19</v>
      </c>
      <c r="F856" t="s">
        <v>13</v>
      </c>
      <c r="G856" s="7">
        <v>43800</v>
      </c>
      <c r="H856" t="s">
        <v>14</v>
      </c>
      <c r="I856" t="s">
        <v>22</v>
      </c>
      <c r="J856" t="s">
        <v>69</v>
      </c>
    </row>
    <row r="857" spans="1:10" x14ac:dyDescent="0.3">
      <c r="A857" t="s">
        <v>59</v>
      </c>
      <c r="B857">
        <v>50</v>
      </c>
      <c r="C857" s="6">
        <v>70000</v>
      </c>
      <c r="D857" t="s">
        <v>11</v>
      </c>
      <c r="E857" t="s">
        <v>26</v>
      </c>
      <c r="F857" t="s">
        <v>44</v>
      </c>
      <c r="G857" s="7">
        <v>43845</v>
      </c>
      <c r="H857" t="s">
        <v>21</v>
      </c>
      <c r="I857" t="s">
        <v>15</v>
      </c>
      <c r="J857" t="s">
        <v>69</v>
      </c>
    </row>
    <row r="858" spans="1:10" x14ac:dyDescent="0.3">
      <c r="A858" t="s">
        <v>53</v>
      </c>
      <c r="B858">
        <v>30</v>
      </c>
      <c r="C858" s="6">
        <v>65000</v>
      </c>
      <c r="D858" t="s">
        <v>18</v>
      </c>
      <c r="E858" t="s">
        <v>30</v>
      </c>
      <c r="F858" t="s">
        <v>13</v>
      </c>
      <c r="G858" s="7">
        <v>43800</v>
      </c>
      <c r="H858" t="s">
        <v>41</v>
      </c>
      <c r="I858" t="s">
        <v>15</v>
      </c>
      <c r="J858" t="s">
        <v>45</v>
      </c>
    </row>
    <row r="859" spans="1:10" x14ac:dyDescent="0.3">
      <c r="A859" t="s">
        <v>57</v>
      </c>
      <c r="B859">
        <v>35</v>
      </c>
      <c r="C859" s="6">
        <v>55000</v>
      </c>
      <c r="D859" t="s">
        <v>18</v>
      </c>
      <c r="E859" t="s">
        <v>19</v>
      </c>
      <c r="F859" t="s">
        <v>20</v>
      </c>
      <c r="G859" s="7">
        <v>43881</v>
      </c>
      <c r="H859" t="s">
        <v>14</v>
      </c>
      <c r="I859" t="s">
        <v>32</v>
      </c>
      <c r="J859" t="s">
        <v>23</v>
      </c>
    </row>
    <row r="860" spans="1:10" x14ac:dyDescent="0.3">
      <c r="A860" t="s">
        <v>56</v>
      </c>
      <c r="B860">
        <v>35</v>
      </c>
      <c r="C860" s="6">
        <v>50000</v>
      </c>
      <c r="D860" t="s">
        <v>18</v>
      </c>
      <c r="E860" t="s">
        <v>30</v>
      </c>
      <c r="F860" t="s">
        <v>39</v>
      </c>
      <c r="G860" s="7">
        <v>43881</v>
      </c>
      <c r="H860" t="s">
        <v>21</v>
      </c>
      <c r="I860" t="s">
        <v>32</v>
      </c>
      <c r="J860" t="s">
        <v>23</v>
      </c>
    </row>
    <row r="861" spans="1:10" x14ac:dyDescent="0.3">
      <c r="A861" t="s">
        <v>60</v>
      </c>
      <c r="B861">
        <v>30</v>
      </c>
      <c r="C861" s="6">
        <v>60000</v>
      </c>
      <c r="D861" t="s">
        <v>11</v>
      </c>
      <c r="E861" t="s">
        <v>19</v>
      </c>
      <c r="F861" t="s">
        <v>20</v>
      </c>
      <c r="G861" s="7">
        <v>43845</v>
      </c>
      <c r="H861" t="s">
        <v>21</v>
      </c>
      <c r="I861" t="s">
        <v>32</v>
      </c>
      <c r="J861" t="s">
        <v>23</v>
      </c>
    </row>
    <row r="862" spans="1:10" x14ac:dyDescent="0.3">
      <c r="A862" t="s">
        <v>58</v>
      </c>
      <c r="B862">
        <v>50</v>
      </c>
      <c r="C862" s="6" t="s">
        <v>68</v>
      </c>
      <c r="D862" t="s">
        <v>18</v>
      </c>
      <c r="E862" t="s">
        <v>26</v>
      </c>
      <c r="F862" t="s">
        <v>39</v>
      </c>
      <c r="G862" s="7">
        <v>43800</v>
      </c>
      <c r="H862" t="s">
        <v>31</v>
      </c>
      <c r="I862" t="s">
        <v>32</v>
      </c>
      <c r="J862" t="s">
        <v>45</v>
      </c>
    </row>
    <row r="863" spans="1:10" x14ac:dyDescent="0.3">
      <c r="A863" t="s">
        <v>53</v>
      </c>
      <c r="B863">
        <v>40</v>
      </c>
      <c r="C863" s="6">
        <v>55000</v>
      </c>
      <c r="D863" t="s">
        <v>18</v>
      </c>
      <c r="E863" t="s">
        <v>37</v>
      </c>
      <c r="F863" t="s">
        <v>43</v>
      </c>
      <c r="G863" s="7">
        <v>43881</v>
      </c>
      <c r="H863" t="s">
        <v>41</v>
      </c>
      <c r="I863" t="s">
        <v>69</v>
      </c>
      <c r="J863" t="s">
        <v>69</v>
      </c>
    </row>
    <row r="864" spans="1:10" x14ac:dyDescent="0.3">
      <c r="A864" t="s">
        <v>55</v>
      </c>
      <c r="B864">
        <v>36</v>
      </c>
      <c r="C864" s="6">
        <v>60000</v>
      </c>
      <c r="D864" t="s">
        <v>36</v>
      </c>
      <c r="E864" t="s">
        <v>26</v>
      </c>
      <c r="F864" t="s">
        <v>44</v>
      </c>
      <c r="G864" s="7">
        <v>43195</v>
      </c>
      <c r="H864" t="s">
        <v>21</v>
      </c>
      <c r="I864" t="s">
        <v>69</v>
      </c>
      <c r="J864" t="s">
        <v>23</v>
      </c>
    </row>
    <row r="865" spans="1:10" x14ac:dyDescent="0.3">
      <c r="A865" t="s">
        <v>56</v>
      </c>
      <c r="B865">
        <v>35</v>
      </c>
      <c r="C865" s="6">
        <v>65000</v>
      </c>
      <c r="D865" t="s">
        <v>11</v>
      </c>
      <c r="E865" t="s">
        <v>12</v>
      </c>
      <c r="F865" t="s">
        <v>43</v>
      </c>
      <c r="G865" s="7">
        <v>43549</v>
      </c>
      <c r="H865" t="s">
        <v>21</v>
      </c>
      <c r="I865" t="s">
        <v>15</v>
      </c>
      <c r="J865" t="s">
        <v>69</v>
      </c>
    </row>
    <row r="866" spans="1:10" x14ac:dyDescent="0.3">
      <c r="A866" t="s">
        <v>54</v>
      </c>
      <c r="B866">
        <v>40</v>
      </c>
      <c r="C866" s="6">
        <v>70000</v>
      </c>
      <c r="D866" t="s">
        <v>36</v>
      </c>
      <c r="E866" t="s">
        <v>19</v>
      </c>
      <c r="F866" t="s">
        <v>39</v>
      </c>
      <c r="G866" s="7">
        <v>43549</v>
      </c>
      <c r="H866" t="s">
        <v>14</v>
      </c>
      <c r="I866" t="s">
        <v>22</v>
      </c>
      <c r="J866" t="s">
        <v>23</v>
      </c>
    </row>
    <row r="867" spans="1:10" x14ac:dyDescent="0.3">
      <c r="A867" t="s">
        <v>57</v>
      </c>
      <c r="B867">
        <v>30</v>
      </c>
      <c r="C867" s="6">
        <v>55000</v>
      </c>
      <c r="D867" t="s">
        <v>36</v>
      </c>
      <c r="E867" t="s">
        <v>12</v>
      </c>
      <c r="F867" t="s">
        <v>39</v>
      </c>
      <c r="G867" s="7">
        <v>43881</v>
      </c>
      <c r="H867" t="s">
        <v>31</v>
      </c>
      <c r="I867" t="s">
        <v>22</v>
      </c>
      <c r="J867" t="s">
        <v>69</v>
      </c>
    </row>
    <row r="868" spans="1:10" x14ac:dyDescent="0.3">
      <c r="A868" t="s">
        <v>55</v>
      </c>
      <c r="B868">
        <v>40</v>
      </c>
      <c r="C868" s="6">
        <v>55000</v>
      </c>
      <c r="D868" t="s">
        <v>18</v>
      </c>
      <c r="E868" t="s">
        <v>12</v>
      </c>
      <c r="F868" t="s">
        <v>39</v>
      </c>
      <c r="G868" s="7">
        <v>43800</v>
      </c>
      <c r="H868" t="s">
        <v>27</v>
      </c>
      <c r="I868" t="s">
        <v>69</v>
      </c>
      <c r="J868" t="s">
        <v>45</v>
      </c>
    </row>
    <row r="869" spans="1:10" x14ac:dyDescent="0.3">
      <c r="A869" t="s">
        <v>57</v>
      </c>
      <c r="B869">
        <v>25</v>
      </c>
      <c r="C869" s="6">
        <v>65000</v>
      </c>
      <c r="D869" t="s">
        <v>11</v>
      </c>
      <c r="E869" t="s">
        <v>30</v>
      </c>
      <c r="F869" t="s">
        <v>13</v>
      </c>
      <c r="G869" s="7">
        <v>43881</v>
      </c>
      <c r="H869" t="s">
        <v>31</v>
      </c>
      <c r="I869" t="s">
        <v>69</v>
      </c>
      <c r="J869" t="s">
        <v>23</v>
      </c>
    </row>
    <row r="870" spans="1:10" x14ac:dyDescent="0.3">
      <c r="A870" t="s">
        <v>52</v>
      </c>
      <c r="B870">
        <v>35</v>
      </c>
      <c r="C870" s="6" t="s">
        <v>68</v>
      </c>
      <c r="D870" t="s">
        <v>18</v>
      </c>
      <c r="E870" t="s">
        <v>19</v>
      </c>
      <c r="F870" t="s">
        <v>44</v>
      </c>
      <c r="G870" s="7">
        <v>43800</v>
      </c>
      <c r="H870" t="s">
        <v>27</v>
      </c>
      <c r="I870" t="s">
        <v>32</v>
      </c>
      <c r="J870" t="s">
        <v>23</v>
      </c>
    </row>
    <row r="871" spans="1:10" x14ac:dyDescent="0.3">
      <c r="A871" t="s">
        <v>56</v>
      </c>
      <c r="B871">
        <v>30</v>
      </c>
      <c r="C871" s="6">
        <v>50000</v>
      </c>
      <c r="D871" t="s">
        <v>11</v>
      </c>
      <c r="E871" t="s">
        <v>12</v>
      </c>
      <c r="F871" t="s">
        <v>43</v>
      </c>
      <c r="G871" s="7">
        <v>43195</v>
      </c>
      <c r="H871" t="s">
        <v>41</v>
      </c>
      <c r="I871" t="s">
        <v>32</v>
      </c>
      <c r="J871" t="s">
        <v>69</v>
      </c>
    </row>
    <row r="872" spans="1:10" x14ac:dyDescent="0.3">
      <c r="A872" t="s">
        <v>52</v>
      </c>
      <c r="B872">
        <v>36</v>
      </c>
      <c r="C872" s="6">
        <v>70000</v>
      </c>
      <c r="D872" t="s">
        <v>36</v>
      </c>
      <c r="E872" t="s">
        <v>37</v>
      </c>
      <c r="F872" t="s">
        <v>43</v>
      </c>
      <c r="G872" s="7">
        <v>43800</v>
      </c>
      <c r="H872" t="s">
        <v>41</v>
      </c>
      <c r="I872" t="s">
        <v>69</v>
      </c>
      <c r="J872" t="s">
        <v>69</v>
      </c>
    </row>
    <row r="873" spans="1:10" x14ac:dyDescent="0.3">
      <c r="A873" t="s">
        <v>59</v>
      </c>
      <c r="B873">
        <v>50</v>
      </c>
      <c r="C873" s="6">
        <v>55000</v>
      </c>
      <c r="D873" t="s">
        <v>11</v>
      </c>
      <c r="E873" t="s">
        <v>12</v>
      </c>
      <c r="F873" t="s">
        <v>20</v>
      </c>
      <c r="G873" s="7">
        <v>43881</v>
      </c>
      <c r="H873" t="s">
        <v>21</v>
      </c>
      <c r="I873" t="s">
        <v>22</v>
      </c>
      <c r="J873" t="s">
        <v>23</v>
      </c>
    </row>
    <row r="874" spans="1:10" x14ac:dyDescent="0.3">
      <c r="A874" t="s">
        <v>52</v>
      </c>
      <c r="B874">
        <v>30</v>
      </c>
      <c r="C874" s="6">
        <v>70000</v>
      </c>
      <c r="D874" t="s">
        <v>18</v>
      </c>
      <c r="E874" t="s">
        <v>37</v>
      </c>
      <c r="F874" t="s">
        <v>39</v>
      </c>
      <c r="G874" s="7">
        <v>43195</v>
      </c>
      <c r="H874" t="s">
        <v>41</v>
      </c>
      <c r="I874" t="s">
        <v>32</v>
      </c>
      <c r="J874" t="s">
        <v>23</v>
      </c>
    </row>
    <row r="875" spans="1:10" x14ac:dyDescent="0.3">
      <c r="A875" t="s">
        <v>59</v>
      </c>
      <c r="B875">
        <v>36</v>
      </c>
      <c r="C875" s="6">
        <v>55000</v>
      </c>
      <c r="D875" t="s">
        <v>18</v>
      </c>
      <c r="E875" t="s">
        <v>30</v>
      </c>
      <c r="F875" t="s">
        <v>39</v>
      </c>
      <c r="G875" s="7">
        <v>43845</v>
      </c>
      <c r="H875" t="s">
        <v>21</v>
      </c>
      <c r="I875" t="s">
        <v>22</v>
      </c>
      <c r="J875" t="s">
        <v>69</v>
      </c>
    </row>
    <row r="876" spans="1:10" x14ac:dyDescent="0.3">
      <c r="A876" t="s">
        <v>59</v>
      </c>
      <c r="B876">
        <v>50</v>
      </c>
      <c r="C876" s="6">
        <v>70000</v>
      </c>
      <c r="D876" t="s">
        <v>18</v>
      </c>
      <c r="E876" t="s">
        <v>12</v>
      </c>
      <c r="F876" t="s">
        <v>39</v>
      </c>
      <c r="G876" s="7">
        <v>43549</v>
      </c>
      <c r="H876" t="s">
        <v>31</v>
      </c>
      <c r="I876" t="s">
        <v>69</v>
      </c>
      <c r="J876" t="s">
        <v>69</v>
      </c>
    </row>
    <row r="877" spans="1:10" x14ac:dyDescent="0.3">
      <c r="A877" t="s">
        <v>55</v>
      </c>
      <c r="B877">
        <v>50</v>
      </c>
      <c r="C877" s="6">
        <v>60000</v>
      </c>
      <c r="D877" t="s">
        <v>11</v>
      </c>
      <c r="E877" t="s">
        <v>26</v>
      </c>
      <c r="F877" t="s">
        <v>43</v>
      </c>
      <c r="G877" s="7">
        <v>43881</v>
      </c>
      <c r="H877" t="s">
        <v>41</v>
      </c>
      <c r="I877" t="s">
        <v>22</v>
      </c>
      <c r="J877" t="s">
        <v>28</v>
      </c>
    </row>
    <row r="878" spans="1:10" x14ac:dyDescent="0.3">
      <c r="A878" t="s">
        <v>57</v>
      </c>
      <c r="B878">
        <v>30</v>
      </c>
      <c r="C878" s="6">
        <v>55000</v>
      </c>
      <c r="D878" t="s">
        <v>36</v>
      </c>
      <c r="E878" t="s">
        <v>30</v>
      </c>
      <c r="F878" t="s">
        <v>20</v>
      </c>
      <c r="G878" s="7">
        <v>43881</v>
      </c>
      <c r="H878" t="s">
        <v>31</v>
      </c>
      <c r="I878" t="s">
        <v>22</v>
      </c>
      <c r="J878" t="s">
        <v>28</v>
      </c>
    </row>
    <row r="879" spans="1:10" x14ac:dyDescent="0.3">
      <c r="A879" t="s">
        <v>54</v>
      </c>
      <c r="B879">
        <v>40</v>
      </c>
      <c r="C879" s="6">
        <v>70000</v>
      </c>
      <c r="D879" t="s">
        <v>36</v>
      </c>
      <c r="E879" t="s">
        <v>37</v>
      </c>
      <c r="F879" t="s">
        <v>13</v>
      </c>
      <c r="G879" s="7">
        <v>43881</v>
      </c>
      <c r="H879" t="s">
        <v>31</v>
      </c>
      <c r="I879" t="s">
        <v>22</v>
      </c>
      <c r="J879" t="s">
        <v>23</v>
      </c>
    </row>
    <row r="880" spans="1:10" x14ac:dyDescent="0.3">
      <c r="A880" t="s">
        <v>52</v>
      </c>
      <c r="B880">
        <v>40</v>
      </c>
      <c r="C880" s="6">
        <v>50000</v>
      </c>
      <c r="D880" t="s">
        <v>11</v>
      </c>
      <c r="E880" t="s">
        <v>30</v>
      </c>
      <c r="F880" t="s">
        <v>44</v>
      </c>
      <c r="G880" s="7">
        <v>43195</v>
      </c>
      <c r="H880" t="s">
        <v>41</v>
      </c>
      <c r="I880" t="s">
        <v>32</v>
      </c>
      <c r="J880" t="s">
        <v>69</v>
      </c>
    </row>
    <row r="881" spans="1:10" x14ac:dyDescent="0.3">
      <c r="A881" t="s">
        <v>56</v>
      </c>
      <c r="B881">
        <v>50</v>
      </c>
      <c r="C881" s="6">
        <v>60000</v>
      </c>
      <c r="D881" t="s">
        <v>18</v>
      </c>
      <c r="E881" t="s">
        <v>12</v>
      </c>
      <c r="F881" t="s">
        <v>13</v>
      </c>
      <c r="G881" s="7">
        <v>43845</v>
      </c>
      <c r="H881" t="s">
        <v>31</v>
      </c>
      <c r="I881" t="s">
        <v>15</v>
      </c>
      <c r="J881" t="s">
        <v>45</v>
      </c>
    </row>
    <row r="882" spans="1:10" x14ac:dyDescent="0.3">
      <c r="A882" t="s">
        <v>59</v>
      </c>
      <c r="B882">
        <v>40</v>
      </c>
      <c r="C882" s="6">
        <v>60000</v>
      </c>
      <c r="D882" t="s">
        <v>36</v>
      </c>
      <c r="E882" t="s">
        <v>19</v>
      </c>
      <c r="F882" t="s">
        <v>43</v>
      </c>
      <c r="G882" s="7">
        <v>43800</v>
      </c>
      <c r="H882" t="s">
        <v>41</v>
      </c>
      <c r="I882" t="s">
        <v>69</v>
      </c>
      <c r="J882" t="s">
        <v>45</v>
      </c>
    </row>
    <row r="883" spans="1:10" x14ac:dyDescent="0.3">
      <c r="A883" t="s">
        <v>57</v>
      </c>
      <c r="B883">
        <v>25</v>
      </c>
      <c r="C883" s="6">
        <v>50000</v>
      </c>
      <c r="D883" t="s">
        <v>18</v>
      </c>
      <c r="E883" t="s">
        <v>19</v>
      </c>
      <c r="F883" t="s">
        <v>39</v>
      </c>
      <c r="G883" s="7">
        <v>43845</v>
      </c>
      <c r="H883" t="s">
        <v>41</v>
      </c>
      <c r="I883" t="s">
        <v>22</v>
      </c>
      <c r="J883" t="s">
        <v>28</v>
      </c>
    </row>
    <row r="884" spans="1:10" x14ac:dyDescent="0.3">
      <c r="A884" t="s">
        <v>58</v>
      </c>
      <c r="B884">
        <v>50</v>
      </c>
      <c r="C884" s="6">
        <v>70000</v>
      </c>
      <c r="D884" t="s">
        <v>11</v>
      </c>
      <c r="E884" t="s">
        <v>37</v>
      </c>
      <c r="F884" t="s">
        <v>44</v>
      </c>
      <c r="G884" s="7">
        <v>43195</v>
      </c>
      <c r="H884" t="s">
        <v>41</v>
      </c>
      <c r="I884" t="s">
        <v>22</v>
      </c>
      <c r="J884" t="s">
        <v>69</v>
      </c>
    </row>
    <row r="885" spans="1:10" x14ac:dyDescent="0.3">
      <c r="A885" t="s">
        <v>53</v>
      </c>
      <c r="B885">
        <v>50</v>
      </c>
      <c r="C885" s="6">
        <v>65000</v>
      </c>
      <c r="D885" t="s">
        <v>18</v>
      </c>
      <c r="E885" t="s">
        <v>37</v>
      </c>
      <c r="F885" t="s">
        <v>43</v>
      </c>
      <c r="G885" s="7">
        <v>43881</v>
      </c>
      <c r="H885" t="s">
        <v>27</v>
      </c>
      <c r="I885" t="s">
        <v>22</v>
      </c>
      <c r="J885" t="s">
        <v>28</v>
      </c>
    </row>
    <row r="886" spans="1:10" x14ac:dyDescent="0.3">
      <c r="A886" t="s">
        <v>55</v>
      </c>
      <c r="B886">
        <v>36</v>
      </c>
      <c r="C886" s="6">
        <v>50000</v>
      </c>
      <c r="D886" t="s">
        <v>36</v>
      </c>
      <c r="E886" t="s">
        <v>19</v>
      </c>
      <c r="F886" t="s">
        <v>43</v>
      </c>
      <c r="G886" s="7">
        <v>43549</v>
      </c>
      <c r="H886" t="s">
        <v>31</v>
      </c>
      <c r="I886" t="s">
        <v>15</v>
      </c>
      <c r="J886" t="s">
        <v>23</v>
      </c>
    </row>
    <row r="887" spans="1:10" x14ac:dyDescent="0.3">
      <c r="A887" t="s">
        <v>54</v>
      </c>
      <c r="B887">
        <v>40</v>
      </c>
      <c r="C887" s="6">
        <v>70000</v>
      </c>
      <c r="D887" t="s">
        <v>36</v>
      </c>
      <c r="E887" t="s">
        <v>37</v>
      </c>
      <c r="F887" t="s">
        <v>43</v>
      </c>
      <c r="G887" s="7">
        <v>43881</v>
      </c>
      <c r="H887" t="s">
        <v>14</v>
      </c>
      <c r="I887" t="s">
        <v>69</v>
      </c>
      <c r="J887" t="s">
        <v>69</v>
      </c>
    </row>
    <row r="888" spans="1:10" x14ac:dyDescent="0.3">
      <c r="A888" t="s">
        <v>51</v>
      </c>
      <c r="B888">
        <v>50</v>
      </c>
      <c r="C888" s="6">
        <v>50000</v>
      </c>
      <c r="D888" t="s">
        <v>18</v>
      </c>
      <c r="E888" t="s">
        <v>30</v>
      </c>
      <c r="F888" t="s">
        <v>44</v>
      </c>
      <c r="G888" s="7">
        <v>43800</v>
      </c>
      <c r="H888" t="s">
        <v>41</v>
      </c>
      <c r="I888" t="s">
        <v>32</v>
      </c>
      <c r="J888" t="s">
        <v>45</v>
      </c>
    </row>
    <row r="889" spans="1:10" x14ac:dyDescent="0.3">
      <c r="A889" t="s">
        <v>55</v>
      </c>
      <c r="B889">
        <v>25</v>
      </c>
      <c r="C889" s="6">
        <v>50000</v>
      </c>
      <c r="D889" t="s">
        <v>11</v>
      </c>
      <c r="E889" t="s">
        <v>26</v>
      </c>
      <c r="F889" t="s">
        <v>44</v>
      </c>
      <c r="G889" s="7">
        <v>43549</v>
      </c>
      <c r="H889" t="s">
        <v>31</v>
      </c>
      <c r="I889" t="s">
        <v>15</v>
      </c>
      <c r="J889" t="s">
        <v>69</v>
      </c>
    </row>
    <row r="890" spans="1:10" x14ac:dyDescent="0.3">
      <c r="A890" t="s">
        <v>58</v>
      </c>
      <c r="B890">
        <v>36</v>
      </c>
      <c r="C890" s="6">
        <v>55000</v>
      </c>
      <c r="D890" t="s">
        <v>18</v>
      </c>
      <c r="E890" t="s">
        <v>26</v>
      </c>
      <c r="F890" t="s">
        <v>20</v>
      </c>
      <c r="G890" s="7">
        <v>43881</v>
      </c>
      <c r="H890" t="s">
        <v>21</v>
      </c>
      <c r="I890" t="s">
        <v>22</v>
      </c>
      <c r="J890" t="s">
        <v>69</v>
      </c>
    </row>
    <row r="891" spans="1:10" x14ac:dyDescent="0.3">
      <c r="A891" t="s">
        <v>53</v>
      </c>
      <c r="B891">
        <v>30</v>
      </c>
      <c r="C891" s="6">
        <v>70000</v>
      </c>
      <c r="D891" t="s">
        <v>11</v>
      </c>
      <c r="E891" t="s">
        <v>30</v>
      </c>
      <c r="F891" t="s">
        <v>20</v>
      </c>
      <c r="G891" s="7">
        <v>43549</v>
      </c>
      <c r="H891" t="s">
        <v>41</v>
      </c>
      <c r="I891" t="s">
        <v>15</v>
      </c>
      <c r="J891" t="s">
        <v>23</v>
      </c>
    </row>
    <row r="892" spans="1:10" x14ac:dyDescent="0.3">
      <c r="A892" t="s">
        <v>58</v>
      </c>
      <c r="B892">
        <v>50</v>
      </c>
      <c r="C892" s="6">
        <v>65000</v>
      </c>
      <c r="D892" t="s">
        <v>18</v>
      </c>
      <c r="E892" t="s">
        <v>26</v>
      </c>
      <c r="F892" t="s">
        <v>13</v>
      </c>
      <c r="G892" s="7">
        <v>43845</v>
      </c>
      <c r="H892" t="s">
        <v>41</v>
      </c>
      <c r="I892" t="s">
        <v>15</v>
      </c>
      <c r="J892" t="s">
        <v>28</v>
      </c>
    </row>
    <row r="893" spans="1:10" x14ac:dyDescent="0.3">
      <c r="A893" t="s">
        <v>52</v>
      </c>
      <c r="B893">
        <v>25</v>
      </c>
      <c r="C893" s="6">
        <v>55000</v>
      </c>
      <c r="D893" t="s">
        <v>36</v>
      </c>
      <c r="E893" t="s">
        <v>12</v>
      </c>
      <c r="F893" t="s">
        <v>44</v>
      </c>
      <c r="G893" s="7">
        <v>43195</v>
      </c>
      <c r="H893" t="s">
        <v>14</v>
      </c>
      <c r="I893" t="s">
        <v>15</v>
      </c>
      <c r="J893" t="s">
        <v>23</v>
      </c>
    </row>
    <row r="894" spans="1:10" x14ac:dyDescent="0.3">
      <c r="A894" t="s">
        <v>59</v>
      </c>
      <c r="B894">
        <v>35</v>
      </c>
      <c r="C894" s="6">
        <v>50000</v>
      </c>
      <c r="D894" t="s">
        <v>11</v>
      </c>
      <c r="E894" t="s">
        <v>30</v>
      </c>
      <c r="F894" t="s">
        <v>44</v>
      </c>
      <c r="G894" s="7">
        <v>43881</v>
      </c>
      <c r="H894" t="s">
        <v>27</v>
      </c>
      <c r="I894" t="s">
        <v>69</v>
      </c>
      <c r="J894" t="s">
        <v>69</v>
      </c>
    </row>
    <row r="895" spans="1:10" x14ac:dyDescent="0.3">
      <c r="A895" t="s">
        <v>54</v>
      </c>
      <c r="B895">
        <v>25</v>
      </c>
      <c r="C895" s="6" t="s">
        <v>68</v>
      </c>
      <c r="D895" t="s">
        <v>11</v>
      </c>
      <c r="E895" t="s">
        <v>37</v>
      </c>
      <c r="F895" t="s">
        <v>44</v>
      </c>
      <c r="G895" s="7">
        <v>43800</v>
      </c>
      <c r="H895" t="s">
        <v>27</v>
      </c>
      <c r="I895" t="s">
        <v>69</v>
      </c>
      <c r="J895" t="s">
        <v>45</v>
      </c>
    </row>
    <row r="896" spans="1:10" x14ac:dyDescent="0.3">
      <c r="A896" t="s">
        <v>60</v>
      </c>
      <c r="B896">
        <v>25</v>
      </c>
      <c r="C896" s="6">
        <v>50000</v>
      </c>
      <c r="D896" t="s">
        <v>11</v>
      </c>
      <c r="E896" t="s">
        <v>30</v>
      </c>
      <c r="F896" t="s">
        <v>20</v>
      </c>
      <c r="G896" s="7">
        <v>43845</v>
      </c>
      <c r="H896" t="s">
        <v>41</v>
      </c>
      <c r="I896" t="s">
        <v>32</v>
      </c>
      <c r="J896" t="s">
        <v>69</v>
      </c>
    </row>
    <row r="897" spans="1:10" x14ac:dyDescent="0.3">
      <c r="A897" t="s">
        <v>59</v>
      </c>
      <c r="B897">
        <v>36</v>
      </c>
      <c r="C897" s="6">
        <v>50000</v>
      </c>
      <c r="D897" t="s">
        <v>36</v>
      </c>
      <c r="E897" t="s">
        <v>19</v>
      </c>
      <c r="F897" t="s">
        <v>43</v>
      </c>
      <c r="G897" s="7">
        <v>43881</v>
      </c>
      <c r="H897" t="s">
        <v>31</v>
      </c>
      <c r="I897" t="s">
        <v>69</v>
      </c>
      <c r="J897" t="s">
        <v>69</v>
      </c>
    </row>
    <row r="898" spans="1:10" x14ac:dyDescent="0.3">
      <c r="A898" t="s">
        <v>60</v>
      </c>
      <c r="B898">
        <v>30</v>
      </c>
      <c r="C898" s="6">
        <v>70000</v>
      </c>
      <c r="D898" t="s">
        <v>18</v>
      </c>
      <c r="E898" t="s">
        <v>37</v>
      </c>
      <c r="F898" t="s">
        <v>39</v>
      </c>
      <c r="G898" s="7">
        <v>43845</v>
      </c>
      <c r="H898" t="s">
        <v>21</v>
      </c>
      <c r="I898" t="s">
        <v>69</v>
      </c>
      <c r="J898" t="s">
        <v>69</v>
      </c>
    </row>
    <row r="899" spans="1:10" x14ac:dyDescent="0.3">
      <c r="A899" t="s">
        <v>53</v>
      </c>
      <c r="B899">
        <v>35</v>
      </c>
      <c r="C899" s="6">
        <v>70000</v>
      </c>
      <c r="D899" t="s">
        <v>36</v>
      </c>
      <c r="E899" t="s">
        <v>19</v>
      </c>
      <c r="F899" t="s">
        <v>20</v>
      </c>
      <c r="G899" s="7">
        <v>43800</v>
      </c>
      <c r="H899" t="s">
        <v>21</v>
      </c>
      <c r="I899" t="s">
        <v>69</v>
      </c>
      <c r="J899" t="s">
        <v>69</v>
      </c>
    </row>
    <row r="900" spans="1:10" x14ac:dyDescent="0.3">
      <c r="A900" t="s">
        <v>57</v>
      </c>
      <c r="B900">
        <v>40</v>
      </c>
      <c r="C900" s="6">
        <v>55000</v>
      </c>
      <c r="D900" t="s">
        <v>11</v>
      </c>
      <c r="E900" t="s">
        <v>37</v>
      </c>
      <c r="F900" t="s">
        <v>44</v>
      </c>
      <c r="G900" s="7">
        <v>43881</v>
      </c>
      <c r="H900" t="s">
        <v>31</v>
      </c>
      <c r="I900" t="s">
        <v>69</v>
      </c>
      <c r="J900" t="s">
        <v>69</v>
      </c>
    </row>
    <row r="901" spans="1:10" x14ac:dyDescent="0.3">
      <c r="A901" t="s">
        <v>51</v>
      </c>
      <c r="B901">
        <v>40</v>
      </c>
      <c r="C901" s="6">
        <v>65000</v>
      </c>
      <c r="D901" t="s">
        <v>18</v>
      </c>
      <c r="E901" t="s">
        <v>26</v>
      </c>
      <c r="F901" t="s">
        <v>20</v>
      </c>
      <c r="G901" s="7">
        <v>43800</v>
      </c>
      <c r="H901" t="s">
        <v>41</v>
      </c>
      <c r="I901" t="s">
        <v>15</v>
      </c>
      <c r="J901" t="s">
        <v>28</v>
      </c>
    </row>
    <row r="902" spans="1:10" x14ac:dyDescent="0.3">
      <c r="A902" t="s">
        <v>56</v>
      </c>
      <c r="B902">
        <v>25</v>
      </c>
      <c r="C902" s="6">
        <v>55000</v>
      </c>
      <c r="D902" t="s">
        <v>36</v>
      </c>
      <c r="E902" t="s">
        <v>30</v>
      </c>
      <c r="F902" t="s">
        <v>13</v>
      </c>
      <c r="G902" s="7">
        <v>43549</v>
      </c>
      <c r="H902" t="s">
        <v>21</v>
      </c>
      <c r="I902" t="s">
        <v>15</v>
      </c>
      <c r="J902" t="s">
        <v>69</v>
      </c>
    </row>
    <row r="903" spans="1:10" x14ac:dyDescent="0.3">
      <c r="A903" t="s">
        <v>59</v>
      </c>
      <c r="B903">
        <v>36</v>
      </c>
      <c r="C903" s="6">
        <v>60000</v>
      </c>
      <c r="D903" t="s">
        <v>11</v>
      </c>
      <c r="E903" t="s">
        <v>12</v>
      </c>
      <c r="F903" t="s">
        <v>44</v>
      </c>
      <c r="G903" s="7">
        <v>43800</v>
      </c>
      <c r="H903" t="s">
        <v>27</v>
      </c>
      <c r="I903" t="s">
        <v>22</v>
      </c>
      <c r="J903" t="s">
        <v>23</v>
      </c>
    </row>
    <row r="904" spans="1:10" x14ac:dyDescent="0.3">
      <c r="A904" t="s">
        <v>54</v>
      </c>
      <c r="B904">
        <v>36</v>
      </c>
      <c r="C904" s="6">
        <v>50000</v>
      </c>
      <c r="D904" t="s">
        <v>11</v>
      </c>
      <c r="E904" t="s">
        <v>37</v>
      </c>
      <c r="F904" t="s">
        <v>13</v>
      </c>
      <c r="G904" s="7">
        <v>43549</v>
      </c>
      <c r="H904" t="s">
        <v>31</v>
      </c>
      <c r="I904" t="s">
        <v>69</v>
      </c>
      <c r="J904" t="s">
        <v>69</v>
      </c>
    </row>
    <row r="905" spans="1:10" x14ac:dyDescent="0.3">
      <c r="A905" t="s">
        <v>58</v>
      </c>
      <c r="B905">
        <v>40</v>
      </c>
      <c r="C905" s="6" t="s">
        <v>68</v>
      </c>
      <c r="D905" t="s">
        <v>36</v>
      </c>
      <c r="E905" t="s">
        <v>37</v>
      </c>
      <c r="F905" t="s">
        <v>44</v>
      </c>
      <c r="G905" s="7">
        <v>43881</v>
      </c>
      <c r="H905" t="s">
        <v>14</v>
      </c>
      <c r="I905" t="s">
        <v>22</v>
      </c>
      <c r="J905" t="s">
        <v>23</v>
      </c>
    </row>
    <row r="906" spans="1:10" x14ac:dyDescent="0.3">
      <c r="A906" t="s">
        <v>54</v>
      </c>
      <c r="B906">
        <v>35</v>
      </c>
      <c r="C906" s="6">
        <v>50000</v>
      </c>
      <c r="D906" t="s">
        <v>36</v>
      </c>
      <c r="E906" t="s">
        <v>19</v>
      </c>
      <c r="F906" t="s">
        <v>20</v>
      </c>
      <c r="G906" s="7">
        <v>43549</v>
      </c>
      <c r="H906" t="s">
        <v>41</v>
      </c>
      <c r="I906" t="s">
        <v>32</v>
      </c>
      <c r="J906" t="s">
        <v>69</v>
      </c>
    </row>
    <row r="907" spans="1:10" x14ac:dyDescent="0.3">
      <c r="A907" t="s">
        <v>53</v>
      </c>
      <c r="B907">
        <v>30</v>
      </c>
      <c r="C907" s="6">
        <v>50000</v>
      </c>
      <c r="D907" t="s">
        <v>36</v>
      </c>
      <c r="E907" t="s">
        <v>26</v>
      </c>
      <c r="F907" t="s">
        <v>43</v>
      </c>
      <c r="G907" s="7">
        <v>43881</v>
      </c>
      <c r="H907" t="s">
        <v>31</v>
      </c>
      <c r="I907" t="s">
        <v>15</v>
      </c>
      <c r="J907" t="s">
        <v>69</v>
      </c>
    </row>
    <row r="908" spans="1:10" x14ac:dyDescent="0.3">
      <c r="A908" t="s">
        <v>60</v>
      </c>
      <c r="B908">
        <v>35</v>
      </c>
      <c r="C908" s="6">
        <v>55000</v>
      </c>
      <c r="D908" t="s">
        <v>11</v>
      </c>
      <c r="E908" t="s">
        <v>19</v>
      </c>
      <c r="F908" t="s">
        <v>39</v>
      </c>
      <c r="G908" s="7">
        <v>43881</v>
      </c>
      <c r="H908" t="s">
        <v>21</v>
      </c>
      <c r="I908" t="s">
        <v>32</v>
      </c>
      <c r="J908" t="s">
        <v>69</v>
      </c>
    </row>
    <row r="909" spans="1:10" x14ac:dyDescent="0.3">
      <c r="A909" t="s">
        <v>58</v>
      </c>
      <c r="B909">
        <v>50</v>
      </c>
      <c r="C909" s="6" t="s">
        <v>68</v>
      </c>
      <c r="D909" t="s">
        <v>36</v>
      </c>
      <c r="E909" t="s">
        <v>19</v>
      </c>
      <c r="F909" t="s">
        <v>13</v>
      </c>
      <c r="G909" s="7">
        <v>43195</v>
      </c>
      <c r="H909" t="s">
        <v>41</v>
      </c>
      <c r="I909" t="s">
        <v>69</v>
      </c>
      <c r="J909" t="s">
        <v>69</v>
      </c>
    </row>
    <row r="910" spans="1:10" x14ac:dyDescent="0.3">
      <c r="A910" t="s">
        <v>56</v>
      </c>
      <c r="B910">
        <v>50</v>
      </c>
      <c r="C910" s="6" t="s">
        <v>68</v>
      </c>
      <c r="D910" t="s">
        <v>11</v>
      </c>
      <c r="E910" t="s">
        <v>26</v>
      </c>
      <c r="F910" t="s">
        <v>20</v>
      </c>
      <c r="G910" s="7">
        <v>43881</v>
      </c>
      <c r="H910" t="s">
        <v>27</v>
      </c>
      <c r="I910" t="s">
        <v>15</v>
      </c>
      <c r="J910" t="s">
        <v>28</v>
      </c>
    </row>
    <row r="911" spans="1:10" x14ac:dyDescent="0.3">
      <c r="A911" t="s">
        <v>56</v>
      </c>
      <c r="B911">
        <v>30</v>
      </c>
      <c r="C911" s="6" t="s">
        <v>68</v>
      </c>
      <c r="D911" t="s">
        <v>36</v>
      </c>
      <c r="E911" t="s">
        <v>12</v>
      </c>
      <c r="F911" t="s">
        <v>43</v>
      </c>
      <c r="G911" s="7">
        <v>43549</v>
      </c>
      <c r="H911" t="s">
        <v>41</v>
      </c>
      <c r="I911" t="s">
        <v>32</v>
      </c>
      <c r="J911" t="s">
        <v>69</v>
      </c>
    </row>
    <row r="912" spans="1:10" x14ac:dyDescent="0.3">
      <c r="A912" t="s">
        <v>59</v>
      </c>
      <c r="B912">
        <v>40</v>
      </c>
      <c r="C912" s="6">
        <v>55000</v>
      </c>
      <c r="D912" t="s">
        <v>11</v>
      </c>
      <c r="E912" t="s">
        <v>19</v>
      </c>
      <c r="F912" t="s">
        <v>20</v>
      </c>
      <c r="G912" s="7">
        <v>43195</v>
      </c>
      <c r="H912" t="s">
        <v>41</v>
      </c>
      <c r="I912" t="s">
        <v>69</v>
      </c>
      <c r="J912" t="s">
        <v>23</v>
      </c>
    </row>
    <row r="913" spans="1:10" x14ac:dyDescent="0.3">
      <c r="A913" t="s">
        <v>53</v>
      </c>
      <c r="B913">
        <v>30</v>
      </c>
      <c r="C913" s="6">
        <v>50000</v>
      </c>
      <c r="D913" t="s">
        <v>11</v>
      </c>
      <c r="E913" t="s">
        <v>19</v>
      </c>
      <c r="F913" t="s">
        <v>13</v>
      </c>
      <c r="G913" s="7">
        <v>43195</v>
      </c>
      <c r="H913" t="s">
        <v>27</v>
      </c>
      <c r="I913" t="s">
        <v>32</v>
      </c>
      <c r="J913" t="s">
        <v>23</v>
      </c>
    </row>
    <row r="914" spans="1:10" x14ac:dyDescent="0.3">
      <c r="A914" t="s">
        <v>57</v>
      </c>
      <c r="B914">
        <v>36</v>
      </c>
      <c r="C914" s="6">
        <v>55000</v>
      </c>
      <c r="D914" t="s">
        <v>18</v>
      </c>
      <c r="E914" t="s">
        <v>37</v>
      </c>
      <c r="F914" t="s">
        <v>39</v>
      </c>
      <c r="G914" s="7">
        <v>43881</v>
      </c>
      <c r="H914" t="s">
        <v>27</v>
      </c>
      <c r="I914" t="s">
        <v>69</v>
      </c>
      <c r="J914" t="s">
        <v>69</v>
      </c>
    </row>
    <row r="915" spans="1:10" x14ac:dyDescent="0.3">
      <c r="A915" t="s">
        <v>53</v>
      </c>
      <c r="B915">
        <v>50</v>
      </c>
      <c r="C915" s="6">
        <v>70000</v>
      </c>
      <c r="D915" t="s">
        <v>36</v>
      </c>
      <c r="E915" t="s">
        <v>26</v>
      </c>
      <c r="F915" t="s">
        <v>20</v>
      </c>
      <c r="G915" s="7">
        <v>43800</v>
      </c>
      <c r="H915" t="s">
        <v>41</v>
      </c>
      <c r="I915" t="s">
        <v>69</v>
      </c>
      <c r="J915" t="s">
        <v>28</v>
      </c>
    </row>
    <row r="916" spans="1:10" x14ac:dyDescent="0.3">
      <c r="A916" t="s">
        <v>60</v>
      </c>
      <c r="B916">
        <v>25</v>
      </c>
      <c r="C916" s="6">
        <v>70000</v>
      </c>
      <c r="D916" t="s">
        <v>36</v>
      </c>
      <c r="E916" t="s">
        <v>30</v>
      </c>
      <c r="F916" t="s">
        <v>44</v>
      </c>
      <c r="G916" s="7">
        <v>43800</v>
      </c>
      <c r="H916" t="s">
        <v>27</v>
      </c>
      <c r="I916" t="s">
        <v>15</v>
      </c>
      <c r="J916" t="s">
        <v>28</v>
      </c>
    </row>
    <row r="917" spans="1:10" x14ac:dyDescent="0.3">
      <c r="A917" t="s">
        <v>54</v>
      </c>
      <c r="B917">
        <v>25</v>
      </c>
      <c r="C917" s="6">
        <v>55000</v>
      </c>
      <c r="D917" t="s">
        <v>11</v>
      </c>
      <c r="E917" t="s">
        <v>12</v>
      </c>
      <c r="F917" t="s">
        <v>43</v>
      </c>
      <c r="G917" s="7">
        <v>43195</v>
      </c>
      <c r="H917" t="s">
        <v>31</v>
      </c>
      <c r="I917" t="s">
        <v>22</v>
      </c>
      <c r="J917" t="s">
        <v>28</v>
      </c>
    </row>
    <row r="918" spans="1:10" x14ac:dyDescent="0.3">
      <c r="A918" t="s">
        <v>56</v>
      </c>
      <c r="B918">
        <v>40</v>
      </c>
      <c r="C918" s="6" t="s">
        <v>68</v>
      </c>
      <c r="D918" t="s">
        <v>11</v>
      </c>
      <c r="E918" t="s">
        <v>12</v>
      </c>
      <c r="F918" t="s">
        <v>20</v>
      </c>
      <c r="G918" s="7">
        <v>43881</v>
      </c>
      <c r="H918" t="s">
        <v>27</v>
      </c>
      <c r="I918" t="s">
        <v>69</v>
      </c>
      <c r="J918" t="s">
        <v>23</v>
      </c>
    </row>
    <row r="919" spans="1:10" x14ac:dyDescent="0.3">
      <c r="A919" t="s">
        <v>54</v>
      </c>
      <c r="B919">
        <v>36</v>
      </c>
      <c r="C919" s="6">
        <v>50000</v>
      </c>
      <c r="D919" t="s">
        <v>11</v>
      </c>
      <c r="E919" t="s">
        <v>26</v>
      </c>
      <c r="F919" t="s">
        <v>43</v>
      </c>
      <c r="G919" s="7">
        <v>43800</v>
      </c>
      <c r="H919" t="s">
        <v>27</v>
      </c>
      <c r="I919" t="s">
        <v>69</v>
      </c>
      <c r="J919" t="s">
        <v>69</v>
      </c>
    </row>
    <row r="920" spans="1:10" x14ac:dyDescent="0.3">
      <c r="A920" t="s">
        <v>54</v>
      </c>
      <c r="B920">
        <v>35</v>
      </c>
      <c r="C920" s="6">
        <v>55000</v>
      </c>
      <c r="D920" t="s">
        <v>18</v>
      </c>
      <c r="E920" t="s">
        <v>37</v>
      </c>
      <c r="F920" t="s">
        <v>44</v>
      </c>
      <c r="G920" s="7">
        <v>43881</v>
      </c>
      <c r="H920" t="s">
        <v>41</v>
      </c>
      <c r="I920" t="s">
        <v>15</v>
      </c>
      <c r="J920" t="s">
        <v>28</v>
      </c>
    </row>
    <row r="921" spans="1:10" x14ac:dyDescent="0.3">
      <c r="A921" t="s">
        <v>54</v>
      </c>
      <c r="B921">
        <v>36</v>
      </c>
      <c r="C921" s="6">
        <v>55000</v>
      </c>
      <c r="D921" t="s">
        <v>18</v>
      </c>
      <c r="E921" t="s">
        <v>37</v>
      </c>
      <c r="F921" t="s">
        <v>39</v>
      </c>
      <c r="G921" s="7">
        <v>43881</v>
      </c>
      <c r="H921" t="s">
        <v>31</v>
      </c>
      <c r="I921" t="s">
        <v>22</v>
      </c>
      <c r="J921" t="s">
        <v>23</v>
      </c>
    </row>
    <row r="922" spans="1:10" x14ac:dyDescent="0.3">
      <c r="A922" t="s">
        <v>56</v>
      </c>
      <c r="B922">
        <v>25</v>
      </c>
      <c r="C922" s="6">
        <v>55000</v>
      </c>
      <c r="D922" t="s">
        <v>11</v>
      </c>
      <c r="E922" t="s">
        <v>26</v>
      </c>
      <c r="F922" t="s">
        <v>39</v>
      </c>
      <c r="G922" s="7">
        <v>43195</v>
      </c>
      <c r="H922" t="s">
        <v>14</v>
      </c>
      <c r="I922" t="s">
        <v>69</v>
      </c>
      <c r="J922" t="s">
        <v>23</v>
      </c>
    </row>
    <row r="923" spans="1:10" x14ac:dyDescent="0.3">
      <c r="A923" t="s">
        <v>55</v>
      </c>
      <c r="B923">
        <v>25</v>
      </c>
      <c r="C923" s="6">
        <v>60000</v>
      </c>
      <c r="D923" t="s">
        <v>36</v>
      </c>
      <c r="E923" t="s">
        <v>37</v>
      </c>
      <c r="F923" t="s">
        <v>44</v>
      </c>
      <c r="G923" s="7">
        <v>43195</v>
      </c>
      <c r="H923" t="s">
        <v>14</v>
      </c>
      <c r="I923" t="s">
        <v>69</v>
      </c>
      <c r="J923" t="s">
        <v>69</v>
      </c>
    </row>
    <row r="924" spans="1:10" x14ac:dyDescent="0.3">
      <c r="A924" t="s">
        <v>52</v>
      </c>
      <c r="B924">
        <v>50</v>
      </c>
      <c r="C924" s="6">
        <v>70000</v>
      </c>
      <c r="D924" t="s">
        <v>36</v>
      </c>
      <c r="E924" t="s">
        <v>12</v>
      </c>
      <c r="F924" t="s">
        <v>43</v>
      </c>
      <c r="G924" s="7">
        <v>43845</v>
      </c>
      <c r="H924" t="s">
        <v>21</v>
      </c>
      <c r="I924" t="s">
        <v>22</v>
      </c>
      <c r="J924" t="s">
        <v>69</v>
      </c>
    </row>
    <row r="925" spans="1:10" x14ac:dyDescent="0.3">
      <c r="A925" t="s">
        <v>60</v>
      </c>
      <c r="B925">
        <v>36</v>
      </c>
      <c r="C925" s="6" t="s">
        <v>68</v>
      </c>
      <c r="D925" t="s">
        <v>18</v>
      </c>
      <c r="E925" t="s">
        <v>12</v>
      </c>
      <c r="F925" t="s">
        <v>20</v>
      </c>
      <c r="G925" s="7">
        <v>43800</v>
      </c>
      <c r="H925" t="s">
        <v>27</v>
      </c>
      <c r="I925" t="s">
        <v>32</v>
      </c>
      <c r="J925" t="s">
        <v>69</v>
      </c>
    </row>
    <row r="926" spans="1:10" x14ac:dyDescent="0.3">
      <c r="A926" t="s">
        <v>55</v>
      </c>
      <c r="B926">
        <v>36</v>
      </c>
      <c r="C926" s="6">
        <v>65000</v>
      </c>
      <c r="D926" t="s">
        <v>18</v>
      </c>
      <c r="E926" t="s">
        <v>30</v>
      </c>
      <c r="F926" t="s">
        <v>44</v>
      </c>
      <c r="G926" s="7">
        <v>43800</v>
      </c>
      <c r="H926" t="s">
        <v>27</v>
      </c>
      <c r="I926" t="s">
        <v>15</v>
      </c>
      <c r="J926" t="s">
        <v>28</v>
      </c>
    </row>
    <row r="927" spans="1:10" x14ac:dyDescent="0.3">
      <c r="A927" t="s">
        <v>60</v>
      </c>
      <c r="B927">
        <v>25</v>
      </c>
      <c r="C927" s="6" t="s">
        <v>68</v>
      </c>
      <c r="D927" t="s">
        <v>11</v>
      </c>
      <c r="E927" t="s">
        <v>26</v>
      </c>
      <c r="F927" t="s">
        <v>13</v>
      </c>
      <c r="G927" s="7">
        <v>43800</v>
      </c>
      <c r="H927" t="s">
        <v>31</v>
      </c>
      <c r="I927" t="s">
        <v>22</v>
      </c>
      <c r="J927" t="s">
        <v>28</v>
      </c>
    </row>
    <row r="928" spans="1:10" x14ac:dyDescent="0.3">
      <c r="A928" t="s">
        <v>58</v>
      </c>
      <c r="B928">
        <v>35</v>
      </c>
      <c r="C928" s="6">
        <v>65000</v>
      </c>
      <c r="D928" t="s">
        <v>36</v>
      </c>
      <c r="E928" t="s">
        <v>19</v>
      </c>
      <c r="F928" t="s">
        <v>43</v>
      </c>
      <c r="G928" s="7">
        <v>43549</v>
      </c>
      <c r="H928" t="s">
        <v>14</v>
      </c>
      <c r="I928" t="s">
        <v>69</v>
      </c>
      <c r="J928" t="s">
        <v>69</v>
      </c>
    </row>
    <row r="929" spans="1:10" x14ac:dyDescent="0.3">
      <c r="A929" t="s">
        <v>53</v>
      </c>
      <c r="B929">
        <v>40</v>
      </c>
      <c r="C929" s="6">
        <v>60000</v>
      </c>
      <c r="D929" t="s">
        <v>11</v>
      </c>
      <c r="E929" t="s">
        <v>19</v>
      </c>
      <c r="F929" t="s">
        <v>39</v>
      </c>
      <c r="G929" s="7">
        <v>43881</v>
      </c>
      <c r="H929" t="s">
        <v>21</v>
      </c>
      <c r="I929" t="s">
        <v>69</v>
      </c>
      <c r="J929" t="s">
        <v>28</v>
      </c>
    </row>
    <row r="930" spans="1:10" x14ac:dyDescent="0.3">
      <c r="A930" t="s">
        <v>53</v>
      </c>
      <c r="B930">
        <v>40</v>
      </c>
      <c r="C930" s="6">
        <v>55000</v>
      </c>
      <c r="D930" t="s">
        <v>18</v>
      </c>
      <c r="E930" t="s">
        <v>30</v>
      </c>
      <c r="F930" t="s">
        <v>44</v>
      </c>
      <c r="G930" s="7">
        <v>43195</v>
      </c>
      <c r="H930" t="s">
        <v>31</v>
      </c>
      <c r="I930" t="s">
        <v>69</v>
      </c>
      <c r="J930" t="s">
        <v>69</v>
      </c>
    </row>
    <row r="931" spans="1:10" x14ac:dyDescent="0.3">
      <c r="A931" t="s">
        <v>51</v>
      </c>
      <c r="B931">
        <v>36</v>
      </c>
      <c r="C931" s="6">
        <v>60000</v>
      </c>
      <c r="D931" t="s">
        <v>36</v>
      </c>
      <c r="E931" t="s">
        <v>30</v>
      </c>
      <c r="F931" t="s">
        <v>39</v>
      </c>
      <c r="G931" s="7">
        <v>43800</v>
      </c>
      <c r="H931" t="s">
        <v>27</v>
      </c>
      <c r="I931" t="s">
        <v>69</v>
      </c>
      <c r="J931" t="s">
        <v>23</v>
      </c>
    </row>
    <row r="932" spans="1:10" x14ac:dyDescent="0.3">
      <c r="A932" t="s">
        <v>53</v>
      </c>
      <c r="B932">
        <v>40</v>
      </c>
      <c r="C932" s="6">
        <v>60000</v>
      </c>
      <c r="D932" t="s">
        <v>36</v>
      </c>
      <c r="E932" t="s">
        <v>37</v>
      </c>
      <c r="F932" t="s">
        <v>43</v>
      </c>
      <c r="G932" s="7">
        <v>43845</v>
      </c>
      <c r="H932" t="s">
        <v>14</v>
      </c>
      <c r="I932" t="s">
        <v>15</v>
      </c>
      <c r="J932" t="s">
        <v>28</v>
      </c>
    </row>
    <row r="933" spans="1:10" x14ac:dyDescent="0.3">
      <c r="A933" t="s">
        <v>56</v>
      </c>
      <c r="B933">
        <v>25</v>
      </c>
      <c r="C933" s="6">
        <v>50000</v>
      </c>
      <c r="D933" t="s">
        <v>18</v>
      </c>
      <c r="E933" t="s">
        <v>30</v>
      </c>
      <c r="F933" t="s">
        <v>39</v>
      </c>
      <c r="G933" s="7">
        <v>43800</v>
      </c>
      <c r="H933" t="s">
        <v>21</v>
      </c>
      <c r="I933" t="s">
        <v>69</v>
      </c>
      <c r="J933" t="s">
        <v>23</v>
      </c>
    </row>
    <row r="934" spans="1:10" x14ac:dyDescent="0.3">
      <c r="A934" t="s">
        <v>57</v>
      </c>
      <c r="B934">
        <v>25</v>
      </c>
      <c r="C934" s="6">
        <v>70000</v>
      </c>
      <c r="D934" t="s">
        <v>11</v>
      </c>
      <c r="E934" t="s">
        <v>30</v>
      </c>
      <c r="F934" t="s">
        <v>44</v>
      </c>
      <c r="G934" s="7">
        <v>43881</v>
      </c>
      <c r="H934" t="s">
        <v>41</v>
      </c>
      <c r="I934" t="s">
        <v>22</v>
      </c>
      <c r="J934" t="s">
        <v>45</v>
      </c>
    </row>
    <row r="935" spans="1:10" x14ac:dyDescent="0.3">
      <c r="A935" t="s">
        <v>59</v>
      </c>
      <c r="B935">
        <v>36</v>
      </c>
      <c r="C935" s="6">
        <v>65000</v>
      </c>
      <c r="D935" t="s">
        <v>11</v>
      </c>
      <c r="E935" t="s">
        <v>19</v>
      </c>
      <c r="F935" t="s">
        <v>43</v>
      </c>
      <c r="G935" s="7">
        <v>43881</v>
      </c>
      <c r="H935" t="s">
        <v>14</v>
      </c>
      <c r="I935" t="s">
        <v>69</v>
      </c>
      <c r="J935" t="s">
        <v>69</v>
      </c>
    </row>
    <row r="936" spans="1:10" x14ac:dyDescent="0.3">
      <c r="A936" t="s">
        <v>51</v>
      </c>
      <c r="B936">
        <v>36</v>
      </c>
      <c r="C936" s="6">
        <v>55000</v>
      </c>
      <c r="D936" t="s">
        <v>36</v>
      </c>
      <c r="E936" t="s">
        <v>37</v>
      </c>
      <c r="F936" t="s">
        <v>13</v>
      </c>
      <c r="G936" s="7">
        <v>43195</v>
      </c>
      <c r="H936" t="s">
        <v>21</v>
      </c>
      <c r="I936" t="s">
        <v>32</v>
      </c>
      <c r="J936" t="s">
        <v>45</v>
      </c>
    </row>
    <row r="937" spans="1:10" x14ac:dyDescent="0.3">
      <c r="A937" t="s">
        <v>59</v>
      </c>
      <c r="B937">
        <v>50</v>
      </c>
      <c r="C937" s="6">
        <v>65000</v>
      </c>
      <c r="D937" t="s">
        <v>18</v>
      </c>
      <c r="E937" t="s">
        <v>30</v>
      </c>
      <c r="F937" t="s">
        <v>44</v>
      </c>
      <c r="G937" s="7">
        <v>43549</v>
      </c>
      <c r="H937" t="s">
        <v>31</v>
      </c>
      <c r="I937" t="s">
        <v>22</v>
      </c>
      <c r="J937" t="s">
        <v>28</v>
      </c>
    </row>
    <row r="938" spans="1:10" x14ac:dyDescent="0.3">
      <c r="A938" t="s">
        <v>60</v>
      </c>
      <c r="B938">
        <v>36</v>
      </c>
      <c r="C938" s="6" t="s">
        <v>68</v>
      </c>
      <c r="D938" t="s">
        <v>36</v>
      </c>
      <c r="E938" t="s">
        <v>30</v>
      </c>
      <c r="F938" t="s">
        <v>20</v>
      </c>
      <c r="G938" s="7">
        <v>43195</v>
      </c>
      <c r="H938" t="s">
        <v>41</v>
      </c>
      <c r="I938" t="s">
        <v>15</v>
      </c>
      <c r="J938" t="s">
        <v>23</v>
      </c>
    </row>
    <row r="939" spans="1:10" x14ac:dyDescent="0.3">
      <c r="A939" t="s">
        <v>59</v>
      </c>
      <c r="B939">
        <v>35</v>
      </c>
      <c r="C939" s="6">
        <v>65000</v>
      </c>
      <c r="D939" t="s">
        <v>18</v>
      </c>
      <c r="E939" t="s">
        <v>37</v>
      </c>
      <c r="F939" t="s">
        <v>44</v>
      </c>
      <c r="G939" s="7">
        <v>43800</v>
      </c>
      <c r="H939" t="s">
        <v>21</v>
      </c>
      <c r="I939" t="s">
        <v>22</v>
      </c>
      <c r="J939" t="s">
        <v>28</v>
      </c>
    </row>
    <row r="940" spans="1:10" x14ac:dyDescent="0.3">
      <c r="A940" t="s">
        <v>59</v>
      </c>
      <c r="B940">
        <v>40</v>
      </c>
      <c r="C940" s="6" t="s">
        <v>68</v>
      </c>
      <c r="D940" t="s">
        <v>11</v>
      </c>
      <c r="E940" t="s">
        <v>26</v>
      </c>
      <c r="F940" t="s">
        <v>43</v>
      </c>
      <c r="G940" s="7">
        <v>43845</v>
      </c>
      <c r="H940" t="s">
        <v>21</v>
      </c>
      <c r="I940" t="s">
        <v>32</v>
      </c>
      <c r="J940" t="s">
        <v>45</v>
      </c>
    </row>
    <row r="941" spans="1:10" x14ac:dyDescent="0.3">
      <c r="A941" t="s">
        <v>51</v>
      </c>
      <c r="B941">
        <v>36</v>
      </c>
      <c r="C941" s="6">
        <v>70000</v>
      </c>
      <c r="D941" t="s">
        <v>18</v>
      </c>
      <c r="E941" t="s">
        <v>37</v>
      </c>
      <c r="F941" t="s">
        <v>44</v>
      </c>
      <c r="G941" s="7">
        <v>43195</v>
      </c>
      <c r="H941" t="s">
        <v>27</v>
      </c>
      <c r="I941" t="s">
        <v>15</v>
      </c>
      <c r="J941" t="s">
        <v>28</v>
      </c>
    </row>
    <row r="942" spans="1:10" x14ac:dyDescent="0.3">
      <c r="A942" t="s">
        <v>58</v>
      </c>
      <c r="B942">
        <v>30</v>
      </c>
      <c r="C942" s="6" t="s">
        <v>68</v>
      </c>
      <c r="D942" t="s">
        <v>11</v>
      </c>
      <c r="E942" t="s">
        <v>19</v>
      </c>
      <c r="F942" t="s">
        <v>13</v>
      </c>
      <c r="G942" s="7">
        <v>43549</v>
      </c>
      <c r="H942" t="s">
        <v>14</v>
      </c>
      <c r="I942" t="s">
        <v>69</v>
      </c>
      <c r="J942" t="s">
        <v>69</v>
      </c>
    </row>
    <row r="943" spans="1:10" x14ac:dyDescent="0.3">
      <c r="A943" t="s">
        <v>54</v>
      </c>
      <c r="B943">
        <v>50</v>
      </c>
      <c r="C943" s="6">
        <v>65000</v>
      </c>
      <c r="D943" t="s">
        <v>18</v>
      </c>
      <c r="E943" t="s">
        <v>26</v>
      </c>
      <c r="F943" t="s">
        <v>13</v>
      </c>
      <c r="G943" s="7">
        <v>43195</v>
      </c>
      <c r="H943" t="s">
        <v>27</v>
      </c>
      <c r="I943" t="s">
        <v>32</v>
      </c>
      <c r="J943" t="s">
        <v>45</v>
      </c>
    </row>
    <row r="944" spans="1:10" x14ac:dyDescent="0.3">
      <c r="A944" t="s">
        <v>53</v>
      </c>
      <c r="B944">
        <v>30</v>
      </c>
      <c r="C944" s="6">
        <v>65000</v>
      </c>
      <c r="D944" t="s">
        <v>36</v>
      </c>
      <c r="E944" t="s">
        <v>12</v>
      </c>
      <c r="F944" t="s">
        <v>20</v>
      </c>
      <c r="G944" s="7">
        <v>43881</v>
      </c>
      <c r="H944" t="s">
        <v>41</v>
      </c>
      <c r="I944" t="s">
        <v>15</v>
      </c>
      <c r="J944" t="s">
        <v>28</v>
      </c>
    </row>
    <row r="945" spans="1:10" x14ac:dyDescent="0.3">
      <c r="A945" t="s">
        <v>53</v>
      </c>
      <c r="B945">
        <v>25</v>
      </c>
      <c r="C945" s="6" t="s">
        <v>68</v>
      </c>
      <c r="D945" t="s">
        <v>11</v>
      </c>
      <c r="E945" t="s">
        <v>37</v>
      </c>
      <c r="F945" t="s">
        <v>39</v>
      </c>
      <c r="G945" s="7">
        <v>43800</v>
      </c>
      <c r="H945" t="s">
        <v>21</v>
      </c>
      <c r="I945" t="s">
        <v>69</v>
      </c>
      <c r="J945" t="s">
        <v>23</v>
      </c>
    </row>
    <row r="946" spans="1:10" x14ac:dyDescent="0.3">
      <c r="A946" t="s">
        <v>56</v>
      </c>
      <c r="B946">
        <v>40</v>
      </c>
      <c r="C946" s="6">
        <v>60000</v>
      </c>
      <c r="D946" t="s">
        <v>36</v>
      </c>
      <c r="E946" t="s">
        <v>19</v>
      </c>
      <c r="F946" t="s">
        <v>43</v>
      </c>
      <c r="G946" s="7">
        <v>43800</v>
      </c>
      <c r="H946" t="s">
        <v>27</v>
      </c>
      <c r="I946" t="s">
        <v>22</v>
      </c>
      <c r="J946" t="s">
        <v>28</v>
      </c>
    </row>
    <row r="947" spans="1:10" x14ac:dyDescent="0.3">
      <c r="A947" t="s">
        <v>51</v>
      </c>
      <c r="B947">
        <v>36</v>
      </c>
      <c r="C947" s="6">
        <v>70000</v>
      </c>
      <c r="D947" t="s">
        <v>36</v>
      </c>
      <c r="E947" t="s">
        <v>26</v>
      </c>
      <c r="F947" t="s">
        <v>43</v>
      </c>
      <c r="G947" s="7">
        <v>43800</v>
      </c>
      <c r="H947" t="s">
        <v>14</v>
      </c>
      <c r="I947" t="s">
        <v>15</v>
      </c>
      <c r="J947" t="s">
        <v>23</v>
      </c>
    </row>
    <row r="948" spans="1:10" x14ac:dyDescent="0.3">
      <c r="A948" t="s">
        <v>56</v>
      </c>
      <c r="B948">
        <v>30</v>
      </c>
      <c r="C948" s="6">
        <v>50000</v>
      </c>
      <c r="D948" t="s">
        <v>11</v>
      </c>
      <c r="E948" t="s">
        <v>37</v>
      </c>
      <c r="F948" t="s">
        <v>39</v>
      </c>
      <c r="G948" s="7">
        <v>43800</v>
      </c>
      <c r="H948" t="s">
        <v>41</v>
      </c>
      <c r="I948" t="s">
        <v>22</v>
      </c>
      <c r="J948" t="s">
        <v>69</v>
      </c>
    </row>
    <row r="949" spans="1:10" x14ac:dyDescent="0.3">
      <c r="A949" t="s">
        <v>57</v>
      </c>
      <c r="B949">
        <v>40</v>
      </c>
      <c r="C949" s="6">
        <v>55000</v>
      </c>
      <c r="D949" t="s">
        <v>11</v>
      </c>
      <c r="E949" t="s">
        <v>30</v>
      </c>
      <c r="F949" t="s">
        <v>13</v>
      </c>
      <c r="G949" s="7">
        <v>43800</v>
      </c>
      <c r="H949" t="s">
        <v>31</v>
      </c>
      <c r="I949" t="s">
        <v>69</v>
      </c>
      <c r="J949" t="s">
        <v>28</v>
      </c>
    </row>
    <row r="950" spans="1:10" x14ac:dyDescent="0.3">
      <c r="A950" t="s">
        <v>57</v>
      </c>
      <c r="B950">
        <v>25</v>
      </c>
      <c r="C950" s="6">
        <v>65000</v>
      </c>
      <c r="D950" t="s">
        <v>36</v>
      </c>
      <c r="E950" t="s">
        <v>37</v>
      </c>
      <c r="F950" t="s">
        <v>13</v>
      </c>
      <c r="G950" s="7">
        <v>43800</v>
      </c>
      <c r="H950" t="s">
        <v>27</v>
      </c>
      <c r="I950" t="s">
        <v>15</v>
      </c>
      <c r="J950" t="s">
        <v>69</v>
      </c>
    </row>
    <row r="951" spans="1:10" x14ac:dyDescent="0.3">
      <c r="A951" t="s">
        <v>56</v>
      </c>
      <c r="B951">
        <v>35</v>
      </c>
      <c r="C951" s="6">
        <v>55000</v>
      </c>
      <c r="D951" t="s">
        <v>36</v>
      </c>
      <c r="E951" t="s">
        <v>12</v>
      </c>
      <c r="F951" t="s">
        <v>44</v>
      </c>
      <c r="G951" s="7">
        <v>43845</v>
      </c>
      <c r="H951" t="s">
        <v>41</v>
      </c>
      <c r="I951" t="s">
        <v>69</v>
      </c>
      <c r="J951" t="s">
        <v>45</v>
      </c>
    </row>
    <row r="952" spans="1:10" x14ac:dyDescent="0.3">
      <c r="A952" t="s">
        <v>51</v>
      </c>
      <c r="B952">
        <v>50</v>
      </c>
      <c r="C952" s="6">
        <v>50000</v>
      </c>
      <c r="D952" t="s">
        <v>36</v>
      </c>
      <c r="E952" t="s">
        <v>37</v>
      </c>
      <c r="F952" t="s">
        <v>20</v>
      </c>
      <c r="G952" s="7">
        <v>43549</v>
      </c>
      <c r="H952" t="s">
        <v>31</v>
      </c>
      <c r="I952" t="s">
        <v>32</v>
      </c>
      <c r="J952" t="s">
        <v>23</v>
      </c>
    </row>
    <row r="953" spans="1:10" x14ac:dyDescent="0.3">
      <c r="A953" t="s">
        <v>56</v>
      </c>
      <c r="B953">
        <v>40</v>
      </c>
      <c r="C953" s="6">
        <v>55000</v>
      </c>
      <c r="D953" t="s">
        <v>36</v>
      </c>
      <c r="E953" t="s">
        <v>26</v>
      </c>
      <c r="F953" t="s">
        <v>20</v>
      </c>
      <c r="G953" s="7">
        <v>43800</v>
      </c>
      <c r="H953" t="s">
        <v>27</v>
      </c>
      <c r="I953" t="s">
        <v>15</v>
      </c>
      <c r="J953" t="s">
        <v>45</v>
      </c>
    </row>
    <row r="954" spans="1:10" x14ac:dyDescent="0.3">
      <c r="A954" t="s">
        <v>53</v>
      </c>
      <c r="B954">
        <v>40</v>
      </c>
      <c r="C954" s="6">
        <v>50000</v>
      </c>
      <c r="D954" t="s">
        <v>11</v>
      </c>
      <c r="E954" t="s">
        <v>26</v>
      </c>
      <c r="F954" t="s">
        <v>20</v>
      </c>
      <c r="G954" s="7">
        <v>43549</v>
      </c>
      <c r="H954" t="s">
        <v>41</v>
      </c>
      <c r="I954" t="s">
        <v>69</v>
      </c>
      <c r="J954" t="s">
        <v>23</v>
      </c>
    </row>
    <row r="955" spans="1:10" x14ac:dyDescent="0.3">
      <c r="A955" t="s">
        <v>55</v>
      </c>
      <c r="B955">
        <v>35</v>
      </c>
      <c r="C955" s="6" t="s">
        <v>68</v>
      </c>
      <c r="D955" t="s">
        <v>11</v>
      </c>
      <c r="E955" t="s">
        <v>37</v>
      </c>
      <c r="F955" t="s">
        <v>44</v>
      </c>
      <c r="G955" s="7">
        <v>43800</v>
      </c>
      <c r="H955" t="s">
        <v>41</v>
      </c>
      <c r="I955" t="s">
        <v>15</v>
      </c>
      <c r="J955" t="s">
        <v>69</v>
      </c>
    </row>
    <row r="956" spans="1:10" x14ac:dyDescent="0.3">
      <c r="A956" t="s">
        <v>52</v>
      </c>
      <c r="B956">
        <v>40</v>
      </c>
      <c r="C956" s="6">
        <v>60000</v>
      </c>
      <c r="D956" t="s">
        <v>36</v>
      </c>
      <c r="E956" t="s">
        <v>26</v>
      </c>
      <c r="F956" t="s">
        <v>20</v>
      </c>
      <c r="G956" s="7">
        <v>43195</v>
      </c>
      <c r="H956" t="s">
        <v>27</v>
      </c>
      <c r="I956" t="s">
        <v>22</v>
      </c>
      <c r="J956" t="s">
        <v>69</v>
      </c>
    </row>
    <row r="957" spans="1:10" x14ac:dyDescent="0.3">
      <c r="A957" t="s">
        <v>59</v>
      </c>
      <c r="B957">
        <v>25</v>
      </c>
      <c r="C957" s="6">
        <v>65000</v>
      </c>
      <c r="D957" t="s">
        <v>18</v>
      </c>
      <c r="E957" t="s">
        <v>30</v>
      </c>
      <c r="F957" t="s">
        <v>39</v>
      </c>
      <c r="G957" s="7">
        <v>43800</v>
      </c>
      <c r="H957" t="s">
        <v>41</v>
      </c>
      <c r="I957" t="s">
        <v>15</v>
      </c>
      <c r="J957" t="s">
        <v>28</v>
      </c>
    </row>
    <row r="958" spans="1:10" x14ac:dyDescent="0.3">
      <c r="A958" t="s">
        <v>52</v>
      </c>
      <c r="B958">
        <v>25</v>
      </c>
      <c r="C958" s="6">
        <v>50000</v>
      </c>
      <c r="D958" t="s">
        <v>18</v>
      </c>
      <c r="E958" t="s">
        <v>37</v>
      </c>
      <c r="F958" t="s">
        <v>44</v>
      </c>
      <c r="G958" s="7">
        <v>43881</v>
      </c>
      <c r="H958" t="s">
        <v>21</v>
      </c>
      <c r="I958" t="s">
        <v>69</v>
      </c>
      <c r="J958" t="s">
        <v>69</v>
      </c>
    </row>
    <row r="959" spans="1:10" x14ac:dyDescent="0.3">
      <c r="A959" t="s">
        <v>51</v>
      </c>
      <c r="B959">
        <v>35</v>
      </c>
      <c r="C959" s="6">
        <v>55000</v>
      </c>
      <c r="D959" t="s">
        <v>11</v>
      </c>
      <c r="E959" t="s">
        <v>30</v>
      </c>
      <c r="F959" t="s">
        <v>39</v>
      </c>
      <c r="G959" s="7">
        <v>43845</v>
      </c>
      <c r="H959" t="s">
        <v>27</v>
      </c>
      <c r="I959" t="s">
        <v>15</v>
      </c>
      <c r="J959" t="s">
        <v>23</v>
      </c>
    </row>
    <row r="960" spans="1:10" x14ac:dyDescent="0.3">
      <c r="A960" t="s">
        <v>52</v>
      </c>
      <c r="B960">
        <v>50</v>
      </c>
      <c r="C960" s="6">
        <v>65000</v>
      </c>
      <c r="D960" t="s">
        <v>36</v>
      </c>
      <c r="E960" t="s">
        <v>30</v>
      </c>
      <c r="F960" t="s">
        <v>44</v>
      </c>
      <c r="G960" s="7">
        <v>43195</v>
      </c>
      <c r="H960" t="s">
        <v>41</v>
      </c>
      <c r="I960" t="s">
        <v>32</v>
      </c>
      <c r="J960" t="s">
        <v>23</v>
      </c>
    </row>
    <row r="961" spans="1:10" x14ac:dyDescent="0.3">
      <c r="A961" t="s">
        <v>57</v>
      </c>
      <c r="B961">
        <v>36</v>
      </c>
      <c r="C961" s="6">
        <v>60000</v>
      </c>
      <c r="D961" t="s">
        <v>36</v>
      </c>
      <c r="E961" t="s">
        <v>19</v>
      </c>
      <c r="F961" t="s">
        <v>20</v>
      </c>
      <c r="G961" s="7">
        <v>43195</v>
      </c>
      <c r="H961" t="s">
        <v>31</v>
      </c>
      <c r="I961" t="s">
        <v>15</v>
      </c>
      <c r="J961" t="s">
        <v>23</v>
      </c>
    </row>
    <row r="962" spans="1:10" x14ac:dyDescent="0.3">
      <c r="A962" t="s">
        <v>60</v>
      </c>
      <c r="B962">
        <v>30</v>
      </c>
      <c r="C962" s="6" t="s">
        <v>68</v>
      </c>
      <c r="D962" t="s">
        <v>11</v>
      </c>
      <c r="E962" t="s">
        <v>37</v>
      </c>
      <c r="F962" t="s">
        <v>39</v>
      </c>
      <c r="G962" s="7">
        <v>43881</v>
      </c>
      <c r="H962" t="s">
        <v>31</v>
      </c>
      <c r="I962" t="s">
        <v>22</v>
      </c>
      <c r="J962" t="s">
        <v>23</v>
      </c>
    </row>
    <row r="963" spans="1:10" x14ac:dyDescent="0.3">
      <c r="A963" t="s">
        <v>59</v>
      </c>
      <c r="B963">
        <v>36</v>
      </c>
      <c r="C963" s="6">
        <v>65000</v>
      </c>
      <c r="D963" t="s">
        <v>18</v>
      </c>
      <c r="E963" t="s">
        <v>26</v>
      </c>
      <c r="F963" t="s">
        <v>39</v>
      </c>
      <c r="G963" s="7">
        <v>43800</v>
      </c>
      <c r="H963" t="s">
        <v>21</v>
      </c>
      <c r="I963" t="s">
        <v>15</v>
      </c>
      <c r="J963" t="s">
        <v>28</v>
      </c>
    </row>
    <row r="964" spans="1:10" x14ac:dyDescent="0.3">
      <c r="A964" t="s">
        <v>54</v>
      </c>
      <c r="B964">
        <v>40</v>
      </c>
      <c r="C964" s="6">
        <v>50000</v>
      </c>
      <c r="D964" t="s">
        <v>18</v>
      </c>
      <c r="E964" t="s">
        <v>30</v>
      </c>
      <c r="F964" t="s">
        <v>39</v>
      </c>
      <c r="G964" s="7">
        <v>43845</v>
      </c>
      <c r="H964" t="s">
        <v>27</v>
      </c>
      <c r="I964" t="s">
        <v>69</v>
      </c>
      <c r="J964" t="s">
        <v>45</v>
      </c>
    </row>
    <row r="965" spans="1:10" x14ac:dyDescent="0.3">
      <c r="A965" t="s">
        <v>51</v>
      </c>
      <c r="B965">
        <v>30</v>
      </c>
      <c r="C965" s="6">
        <v>60000</v>
      </c>
      <c r="D965" t="s">
        <v>18</v>
      </c>
      <c r="E965" t="s">
        <v>19</v>
      </c>
      <c r="F965" t="s">
        <v>44</v>
      </c>
      <c r="G965" s="7">
        <v>43195</v>
      </c>
      <c r="H965" t="s">
        <v>41</v>
      </c>
      <c r="I965" t="s">
        <v>69</v>
      </c>
      <c r="J965" t="s">
        <v>69</v>
      </c>
    </row>
    <row r="966" spans="1:10" x14ac:dyDescent="0.3">
      <c r="A966" t="s">
        <v>59</v>
      </c>
      <c r="B966">
        <v>35</v>
      </c>
      <c r="C966" s="6">
        <v>55000</v>
      </c>
      <c r="D966" t="s">
        <v>11</v>
      </c>
      <c r="E966" t="s">
        <v>37</v>
      </c>
      <c r="F966" t="s">
        <v>43</v>
      </c>
      <c r="G966" s="7">
        <v>43845</v>
      </c>
      <c r="H966" t="s">
        <v>41</v>
      </c>
      <c r="I966" t="s">
        <v>15</v>
      </c>
      <c r="J966" t="s">
        <v>28</v>
      </c>
    </row>
    <row r="967" spans="1:10" x14ac:dyDescent="0.3">
      <c r="A967" t="s">
        <v>52</v>
      </c>
      <c r="B967">
        <v>35</v>
      </c>
      <c r="C967" s="6">
        <v>60000</v>
      </c>
      <c r="D967" t="s">
        <v>18</v>
      </c>
      <c r="E967" t="s">
        <v>37</v>
      </c>
      <c r="F967" t="s">
        <v>20</v>
      </c>
      <c r="G967" s="7">
        <v>43195</v>
      </c>
      <c r="H967" t="s">
        <v>31</v>
      </c>
      <c r="I967" t="s">
        <v>15</v>
      </c>
      <c r="J967" t="s">
        <v>23</v>
      </c>
    </row>
    <row r="968" spans="1:10" x14ac:dyDescent="0.3">
      <c r="A968" t="s">
        <v>57</v>
      </c>
      <c r="B968">
        <v>50</v>
      </c>
      <c r="C968" s="6">
        <v>60000</v>
      </c>
      <c r="D968" t="s">
        <v>11</v>
      </c>
      <c r="E968" t="s">
        <v>12</v>
      </c>
      <c r="F968" t="s">
        <v>39</v>
      </c>
      <c r="G968" s="7">
        <v>43800</v>
      </c>
      <c r="H968" t="s">
        <v>21</v>
      </c>
      <c r="I968" t="s">
        <v>32</v>
      </c>
      <c r="J968" t="s">
        <v>28</v>
      </c>
    </row>
    <row r="969" spans="1:10" x14ac:dyDescent="0.3">
      <c r="A969" t="s">
        <v>58</v>
      </c>
      <c r="B969">
        <v>30</v>
      </c>
      <c r="C969" s="6">
        <v>70000</v>
      </c>
      <c r="D969" t="s">
        <v>11</v>
      </c>
      <c r="E969" t="s">
        <v>12</v>
      </c>
      <c r="F969" t="s">
        <v>43</v>
      </c>
      <c r="G969" s="7">
        <v>43195</v>
      </c>
      <c r="H969" t="s">
        <v>31</v>
      </c>
      <c r="I969" t="s">
        <v>69</v>
      </c>
      <c r="J969" t="s">
        <v>69</v>
      </c>
    </row>
    <row r="970" spans="1:10" x14ac:dyDescent="0.3">
      <c r="A970" t="s">
        <v>55</v>
      </c>
      <c r="B970">
        <v>25</v>
      </c>
      <c r="C970" s="6">
        <v>60000</v>
      </c>
      <c r="D970" t="s">
        <v>36</v>
      </c>
      <c r="E970" t="s">
        <v>30</v>
      </c>
      <c r="F970" t="s">
        <v>20</v>
      </c>
      <c r="G970" s="7">
        <v>43195</v>
      </c>
      <c r="H970" t="s">
        <v>31</v>
      </c>
      <c r="I970" t="s">
        <v>69</v>
      </c>
      <c r="J970" t="s">
        <v>23</v>
      </c>
    </row>
    <row r="971" spans="1:10" x14ac:dyDescent="0.3">
      <c r="A971" t="s">
        <v>54</v>
      </c>
      <c r="B971">
        <v>30</v>
      </c>
      <c r="C971" s="6">
        <v>60000</v>
      </c>
      <c r="D971" t="s">
        <v>18</v>
      </c>
      <c r="E971" t="s">
        <v>12</v>
      </c>
      <c r="F971" t="s">
        <v>20</v>
      </c>
      <c r="G971" s="7">
        <v>43549</v>
      </c>
      <c r="H971" t="s">
        <v>21</v>
      </c>
      <c r="I971" t="s">
        <v>22</v>
      </c>
      <c r="J971" t="s">
        <v>69</v>
      </c>
    </row>
    <row r="972" spans="1:10" x14ac:dyDescent="0.3">
      <c r="A972" t="s">
        <v>55</v>
      </c>
      <c r="B972">
        <v>40</v>
      </c>
      <c r="C972" s="6">
        <v>65000</v>
      </c>
      <c r="D972" t="s">
        <v>11</v>
      </c>
      <c r="E972" t="s">
        <v>30</v>
      </c>
      <c r="F972" t="s">
        <v>39</v>
      </c>
      <c r="G972" s="7">
        <v>43800</v>
      </c>
      <c r="H972" t="s">
        <v>27</v>
      </c>
      <c r="I972" t="s">
        <v>15</v>
      </c>
      <c r="J972" t="s">
        <v>23</v>
      </c>
    </row>
    <row r="973" spans="1:10" x14ac:dyDescent="0.3">
      <c r="A973" t="s">
        <v>59</v>
      </c>
      <c r="B973">
        <v>25</v>
      </c>
      <c r="C973" s="6">
        <v>55000</v>
      </c>
      <c r="D973" t="s">
        <v>18</v>
      </c>
      <c r="E973" t="s">
        <v>26</v>
      </c>
      <c r="F973" t="s">
        <v>39</v>
      </c>
      <c r="G973" s="7">
        <v>43881</v>
      </c>
      <c r="H973" t="s">
        <v>41</v>
      </c>
      <c r="I973" t="s">
        <v>69</v>
      </c>
      <c r="J973" t="s">
        <v>69</v>
      </c>
    </row>
    <row r="974" spans="1:10" x14ac:dyDescent="0.3">
      <c r="A974" t="s">
        <v>57</v>
      </c>
      <c r="B974">
        <v>35</v>
      </c>
      <c r="C974" s="6">
        <v>65000</v>
      </c>
      <c r="D974" t="s">
        <v>18</v>
      </c>
      <c r="E974" t="s">
        <v>30</v>
      </c>
      <c r="F974" t="s">
        <v>44</v>
      </c>
      <c r="G974" s="7">
        <v>43881</v>
      </c>
      <c r="H974" t="s">
        <v>27</v>
      </c>
      <c r="I974" t="s">
        <v>22</v>
      </c>
      <c r="J974" t="s">
        <v>69</v>
      </c>
    </row>
    <row r="975" spans="1:10" x14ac:dyDescent="0.3">
      <c r="A975" t="s">
        <v>57</v>
      </c>
      <c r="B975">
        <v>30</v>
      </c>
      <c r="C975" s="6">
        <v>65000</v>
      </c>
      <c r="D975" t="s">
        <v>36</v>
      </c>
      <c r="E975" t="s">
        <v>12</v>
      </c>
      <c r="F975" t="s">
        <v>43</v>
      </c>
      <c r="G975" s="7">
        <v>43800</v>
      </c>
      <c r="H975" t="s">
        <v>14</v>
      </c>
      <c r="I975" t="s">
        <v>69</v>
      </c>
      <c r="J975" t="s">
        <v>45</v>
      </c>
    </row>
    <row r="976" spans="1:10" x14ac:dyDescent="0.3">
      <c r="A976" t="s">
        <v>52</v>
      </c>
      <c r="B976">
        <v>36</v>
      </c>
      <c r="C976" s="6">
        <v>50000</v>
      </c>
      <c r="D976" t="s">
        <v>18</v>
      </c>
      <c r="E976" t="s">
        <v>26</v>
      </c>
      <c r="F976" t="s">
        <v>43</v>
      </c>
      <c r="G976" s="7">
        <v>43881</v>
      </c>
      <c r="H976" t="s">
        <v>14</v>
      </c>
      <c r="I976" t="s">
        <v>69</v>
      </c>
      <c r="J976" t="s">
        <v>45</v>
      </c>
    </row>
    <row r="977" spans="1:10" x14ac:dyDescent="0.3">
      <c r="A977" t="s">
        <v>53</v>
      </c>
      <c r="B977">
        <v>50</v>
      </c>
      <c r="C977" s="6">
        <v>65000</v>
      </c>
      <c r="D977" t="s">
        <v>36</v>
      </c>
      <c r="E977" t="s">
        <v>12</v>
      </c>
      <c r="F977" t="s">
        <v>39</v>
      </c>
      <c r="G977" s="7">
        <v>43800</v>
      </c>
      <c r="H977" t="s">
        <v>14</v>
      </c>
      <c r="I977" t="s">
        <v>69</v>
      </c>
      <c r="J977" t="s">
        <v>28</v>
      </c>
    </row>
    <row r="978" spans="1:10" x14ac:dyDescent="0.3">
      <c r="A978" t="s">
        <v>52</v>
      </c>
      <c r="B978">
        <v>36</v>
      </c>
      <c r="C978" s="6">
        <v>70000</v>
      </c>
      <c r="D978" t="s">
        <v>11</v>
      </c>
      <c r="E978" t="s">
        <v>30</v>
      </c>
      <c r="F978" t="s">
        <v>20</v>
      </c>
      <c r="G978" s="7">
        <v>43881</v>
      </c>
      <c r="H978" t="s">
        <v>21</v>
      </c>
      <c r="I978" t="s">
        <v>22</v>
      </c>
      <c r="J978" t="s">
        <v>28</v>
      </c>
    </row>
    <row r="979" spans="1:10" x14ac:dyDescent="0.3">
      <c r="A979" t="s">
        <v>53</v>
      </c>
      <c r="B979">
        <v>50</v>
      </c>
      <c r="C979" s="6">
        <v>70000</v>
      </c>
      <c r="D979" t="s">
        <v>18</v>
      </c>
      <c r="E979" t="s">
        <v>19</v>
      </c>
      <c r="F979" t="s">
        <v>39</v>
      </c>
      <c r="G979" s="7">
        <v>43549</v>
      </c>
      <c r="H979" t="s">
        <v>31</v>
      </c>
      <c r="I979" t="s">
        <v>69</v>
      </c>
      <c r="J979" t="s">
        <v>69</v>
      </c>
    </row>
    <row r="980" spans="1:10" x14ac:dyDescent="0.3">
      <c r="A980" t="s">
        <v>53</v>
      </c>
      <c r="B980">
        <v>40</v>
      </c>
      <c r="C980" s="6">
        <v>50000</v>
      </c>
      <c r="D980" t="s">
        <v>11</v>
      </c>
      <c r="E980" t="s">
        <v>37</v>
      </c>
      <c r="F980" t="s">
        <v>20</v>
      </c>
      <c r="G980" s="7">
        <v>43881</v>
      </c>
      <c r="H980" t="s">
        <v>27</v>
      </c>
      <c r="I980" t="s">
        <v>69</v>
      </c>
      <c r="J980" t="s">
        <v>23</v>
      </c>
    </row>
    <row r="981" spans="1:10" x14ac:dyDescent="0.3">
      <c r="A981" t="s">
        <v>54</v>
      </c>
      <c r="B981">
        <v>36</v>
      </c>
      <c r="C981" s="6" t="s">
        <v>68</v>
      </c>
      <c r="D981" t="s">
        <v>18</v>
      </c>
      <c r="E981" t="s">
        <v>12</v>
      </c>
      <c r="F981" t="s">
        <v>20</v>
      </c>
      <c r="G981" s="7">
        <v>43195</v>
      </c>
      <c r="H981" t="s">
        <v>41</v>
      </c>
      <c r="I981" t="s">
        <v>69</v>
      </c>
      <c r="J981" t="s">
        <v>69</v>
      </c>
    </row>
    <row r="982" spans="1:10" x14ac:dyDescent="0.3">
      <c r="A982" t="s">
        <v>52</v>
      </c>
      <c r="B982">
        <v>30</v>
      </c>
      <c r="C982" s="6">
        <v>55000</v>
      </c>
      <c r="D982" t="s">
        <v>11</v>
      </c>
      <c r="E982" t="s">
        <v>30</v>
      </c>
      <c r="F982" t="s">
        <v>39</v>
      </c>
      <c r="G982" s="7">
        <v>43800</v>
      </c>
      <c r="H982" t="s">
        <v>14</v>
      </c>
      <c r="I982" t="s">
        <v>69</v>
      </c>
      <c r="J982" t="s">
        <v>69</v>
      </c>
    </row>
    <row r="983" spans="1:10" x14ac:dyDescent="0.3">
      <c r="A983" t="s">
        <v>58</v>
      </c>
      <c r="B983">
        <v>30</v>
      </c>
      <c r="C983" s="6">
        <v>55000</v>
      </c>
      <c r="D983" t="s">
        <v>18</v>
      </c>
      <c r="E983" t="s">
        <v>26</v>
      </c>
      <c r="F983" t="s">
        <v>13</v>
      </c>
      <c r="G983" s="7">
        <v>43845</v>
      </c>
      <c r="H983" t="s">
        <v>27</v>
      </c>
      <c r="I983" t="s">
        <v>69</v>
      </c>
      <c r="J983" t="s">
        <v>23</v>
      </c>
    </row>
    <row r="984" spans="1:10" x14ac:dyDescent="0.3">
      <c r="A984" t="s">
        <v>56</v>
      </c>
      <c r="B984">
        <v>36</v>
      </c>
      <c r="C984" s="6">
        <v>65000</v>
      </c>
      <c r="D984" t="s">
        <v>18</v>
      </c>
      <c r="E984" t="s">
        <v>12</v>
      </c>
      <c r="F984" t="s">
        <v>43</v>
      </c>
      <c r="G984" s="7">
        <v>43845</v>
      </c>
      <c r="H984" t="s">
        <v>14</v>
      </c>
      <c r="I984" t="s">
        <v>32</v>
      </c>
      <c r="J984" t="s">
        <v>23</v>
      </c>
    </row>
    <row r="985" spans="1:10" x14ac:dyDescent="0.3">
      <c r="A985" t="s">
        <v>56</v>
      </c>
      <c r="B985">
        <v>30</v>
      </c>
      <c r="C985" s="6">
        <v>65000</v>
      </c>
      <c r="D985" t="s">
        <v>18</v>
      </c>
      <c r="E985" t="s">
        <v>12</v>
      </c>
      <c r="F985" t="s">
        <v>20</v>
      </c>
      <c r="G985" s="7">
        <v>43800</v>
      </c>
      <c r="H985" t="s">
        <v>14</v>
      </c>
      <c r="I985" t="s">
        <v>22</v>
      </c>
      <c r="J985" t="s">
        <v>45</v>
      </c>
    </row>
    <row r="986" spans="1:10" x14ac:dyDescent="0.3">
      <c r="A986" t="s">
        <v>52</v>
      </c>
      <c r="B986">
        <v>40</v>
      </c>
      <c r="C986" s="6" t="s">
        <v>68</v>
      </c>
      <c r="D986" t="s">
        <v>18</v>
      </c>
      <c r="E986" t="s">
        <v>37</v>
      </c>
      <c r="F986" t="s">
        <v>20</v>
      </c>
      <c r="G986" s="7">
        <v>43549</v>
      </c>
      <c r="H986" t="s">
        <v>41</v>
      </c>
      <c r="I986" t="s">
        <v>69</v>
      </c>
      <c r="J986" t="s">
        <v>69</v>
      </c>
    </row>
    <row r="987" spans="1:10" x14ac:dyDescent="0.3">
      <c r="A987" t="s">
        <v>52</v>
      </c>
      <c r="B987">
        <v>25</v>
      </c>
      <c r="C987" s="6">
        <v>65000</v>
      </c>
      <c r="D987" t="s">
        <v>18</v>
      </c>
      <c r="E987" t="s">
        <v>30</v>
      </c>
      <c r="F987" t="s">
        <v>13</v>
      </c>
      <c r="G987" s="7">
        <v>43881</v>
      </c>
      <c r="H987" t="s">
        <v>21</v>
      </c>
      <c r="I987" t="s">
        <v>69</v>
      </c>
      <c r="J987" t="s">
        <v>69</v>
      </c>
    </row>
    <row r="988" spans="1:10" x14ac:dyDescent="0.3">
      <c r="A988" t="s">
        <v>55</v>
      </c>
      <c r="B988">
        <v>40</v>
      </c>
      <c r="C988" s="6">
        <v>55000</v>
      </c>
      <c r="D988" t="s">
        <v>18</v>
      </c>
      <c r="E988" t="s">
        <v>19</v>
      </c>
      <c r="F988" t="s">
        <v>44</v>
      </c>
      <c r="G988" s="7">
        <v>43549</v>
      </c>
      <c r="H988" t="s">
        <v>31</v>
      </c>
      <c r="I988" t="s">
        <v>22</v>
      </c>
      <c r="J988" t="s">
        <v>28</v>
      </c>
    </row>
    <row r="989" spans="1:10" x14ac:dyDescent="0.3">
      <c r="A989" t="s">
        <v>54</v>
      </c>
      <c r="B989">
        <v>50</v>
      </c>
      <c r="C989" s="6">
        <v>60000</v>
      </c>
      <c r="D989" t="s">
        <v>18</v>
      </c>
      <c r="E989" t="s">
        <v>26</v>
      </c>
      <c r="F989" t="s">
        <v>13</v>
      </c>
      <c r="G989" s="7">
        <v>43845</v>
      </c>
      <c r="H989" t="s">
        <v>21</v>
      </c>
      <c r="I989" t="s">
        <v>22</v>
      </c>
      <c r="J989" t="s">
        <v>45</v>
      </c>
    </row>
    <row r="990" spans="1:10" x14ac:dyDescent="0.3">
      <c r="A990" t="s">
        <v>52</v>
      </c>
      <c r="B990">
        <v>40</v>
      </c>
      <c r="C990" s="6">
        <v>70000</v>
      </c>
      <c r="D990" t="s">
        <v>18</v>
      </c>
      <c r="E990" t="s">
        <v>30</v>
      </c>
      <c r="F990" t="s">
        <v>13</v>
      </c>
      <c r="G990" s="7">
        <v>43800</v>
      </c>
      <c r="H990" t="s">
        <v>27</v>
      </c>
      <c r="I990" t="s">
        <v>22</v>
      </c>
      <c r="J990" t="s">
        <v>69</v>
      </c>
    </row>
    <row r="991" spans="1:10" x14ac:dyDescent="0.3">
      <c r="A991" t="s">
        <v>55</v>
      </c>
      <c r="B991">
        <v>50</v>
      </c>
      <c r="C991" s="6">
        <v>60000</v>
      </c>
      <c r="D991" t="s">
        <v>18</v>
      </c>
      <c r="E991" t="s">
        <v>26</v>
      </c>
      <c r="F991" t="s">
        <v>20</v>
      </c>
      <c r="G991" s="7">
        <v>43800</v>
      </c>
      <c r="H991" t="s">
        <v>21</v>
      </c>
      <c r="I991" t="s">
        <v>22</v>
      </c>
      <c r="J991" t="s">
        <v>23</v>
      </c>
    </row>
    <row r="992" spans="1:10" x14ac:dyDescent="0.3">
      <c r="A992" t="s">
        <v>53</v>
      </c>
      <c r="B992">
        <v>30</v>
      </c>
      <c r="C992" s="6">
        <v>60000</v>
      </c>
      <c r="D992" t="s">
        <v>11</v>
      </c>
      <c r="E992" t="s">
        <v>12</v>
      </c>
      <c r="F992" t="s">
        <v>43</v>
      </c>
      <c r="G992" s="7">
        <v>43549</v>
      </c>
      <c r="H992" t="s">
        <v>27</v>
      </c>
      <c r="I992" t="s">
        <v>15</v>
      </c>
      <c r="J992" t="s">
        <v>69</v>
      </c>
    </row>
    <row r="993" spans="1:10" x14ac:dyDescent="0.3">
      <c r="A993" t="s">
        <v>57</v>
      </c>
      <c r="B993">
        <v>25</v>
      </c>
      <c r="C993" s="6">
        <v>55000</v>
      </c>
      <c r="D993" t="s">
        <v>36</v>
      </c>
      <c r="E993" t="s">
        <v>37</v>
      </c>
      <c r="F993" t="s">
        <v>13</v>
      </c>
      <c r="G993" s="7">
        <v>43549</v>
      </c>
      <c r="H993" t="s">
        <v>27</v>
      </c>
      <c r="I993" t="s">
        <v>69</v>
      </c>
      <c r="J993" t="s">
        <v>69</v>
      </c>
    </row>
    <row r="994" spans="1:10" x14ac:dyDescent="0.3">
      <c r="A994" t="s">
        <v>57</v>
      </c>
      <c r="B994">
        <v>30</v>
      </c>
      <c r="C994" s="6">
        <v>60000</v>
      </c>
      <c r="D994" t="s">
        <v>18</v>
      </c>
      <c r="E994" t="s">
        <v>37</v>
      </c>
      <c r="F994" t="s">
        <v>44</v>
      </c>
      <c r="G994" s="7">
        <v>43881</v>
      </c>
      <c r="H994" t="s">
        <v>31</v>
      </c>
      <c r="I994" t="s">
        <v>15</v>
      </c>
      <c r="J994" t="s">
        <v>45</v>
      </c>
    </row>
    <row r="995" spans="1:10" x14ac:dyDescent="0.3">
      <c r="A995" t="s">
        <v>53</v>
      </c>
      <c r="B995">
        <v>35</v>
      </c>
      <c r="C995" s="6" t="s">
        <v>68</v>
      </c>
      <c r="D995" t="s">
        <v>36</v>
      </c>
      <c r="E995" t="s">
        <v>19</v>
      </c>
      <c r="F995" t="s">
        <v>39</v>
      </c>
      <c r="G995" s="7">
        <v>43195</v>
      </c>
      <c r="H995" t="s">
        <v>41</v>
      </c>
      <c r="I995" t="s">
        <v>69</v>
      </c>
      <c r="J995" t="s">
        <v>23</v>
      </c>
    </row>
    <row r="996" spans="1:10" x14ac:dyDescent="0.3">
      <c r="A996" t="s">
        <v>51</v>
      </c>
      <c r="B996">
        <v>30</v>
      </c>
      <c r="C996" s="6">
        <v>50000</v>
      </c>
      <c r="D996" t="s">
        <v>18</v>
      </c>
      <c r="E996" t="s">
        <v>37</v>
      </c>
      <c r="F996" t="s">
        <v>13</v>
      </c>
      <c r="G996" s="7">
        <v>43195</v>
      </c>
      <c r="H996" t="s">
        <v>31</v>
      </c>
      <c r="I996" t="s">
        <v>69</v>
      </c>
      <c r="J996" t="s">
        <v>69</v>
      </c>
    </row>
    <row r="997" spans="1:10" x14ac:dyDescent="0.3">
      <c r="A997" t="s">
        <v>55</v>
      </c>
      <c r="B997">
        <v>50</v>
      </c>
      <c r="C997" s="6">
        <v>65000</v>
      </c>
      <c r="D997" t="s">
        <v>18</v>
      </c>
      <c r="E997" t="s">
        <v>12</v>
      </c>
      <c r="F997" t="s">
        <v>13</v>
      </c>
      <c r="G997" s="7">
        <v>43881</v>
      </c>
      <c r="H997" t="s">
        <v>21</v>
      </c>
      <c r="I997" t="s">
        <v>69</v>
      </c>
      <c r="J997" t="s">
        <v>28</v>
      </c>
    </row>
    <row r="998" spans="1:10" x14ac:dyDescent="0.3">
      <c r="A998" t="s">
        <v>55</v>
      </c>
      <c r="B998">
        <v>30</v>
      </c>
      <c r="C998" s="6">
        <v>50000</v>
      </c>
      <c r="D998" t="s">
        <v>11</v>
      </c>
      <c r="E998" t="s">
        <v>19</v>
      </c>
      <c r="F998" t="s">
        <v>44</v>
      </c>
      <c r="G998" s="7">
        <v>43195</v>
      </c>
      <c r="H998" t="s">
        <v>27</v>
      </c>
      <c r="I998" t="s">
        <v>69</v>
      </c>
      <c r="J998" t="s">
        <v>45</v>
      </c>
    </row>
    <row r="999" spans="1:10" x14ac:dyDescent="0.3">
      <c r="A999" t="s">
        <v>53</v>
      </c>
      <c r="B999">
        <v>30</v>
      </c>
      <c r="C999" s="6">
        <v>70000</v>
      </c>
      <c r="D999" t="s">
        <v>11</v>
      </c>
      <c r="E999" t="s">
        <v>30</v>
      </c>
      <c r="F999" t="s">
        <v>43</v>
      </c>
      <c r="G999" s="7">
        <v>43845</v>
      </c>
      <c r="H999" t="s">
        <v>14</v>
      </c>
      <c r="I999" t="s">
        <v>22</v>
      </c>
      <c r="J999" t="s">
        <v>69</v>
      </c>
    </row>
    <row r="1000" spans="1:10" x14ac:dyDescent="0.3">
      <c r="A1000" t="s">
        <v>58</v>
      </c>
      <c r="B1000">
        <v>25</v>
      </c>
      <c r="C1000" s="6">
        <v>65000</v>
      </c>
      <c r="D1000" t="s">
        <v>36</v>
      </c>
      <c r="E1000" t="s">
        <v>37</v>
      </c>
      <c r="F1000" t="s">
        <v>13</v>
      </c>
      <c r="G1000" s="7">
        <v>43195</v>
      </c>
      <c r="H1000" t="s">
        <v>14</v>
      </c>
      <c r="I1000" t="s">
        <v>15</v>
      </c>
      <c r="J1000" t="s">
        <v>69</v>
      </c>
    </row>
    <row r="1001" spans="1:10" x14ac:dyDescent="0.3">
      <c r="A1001" t="s">
        <v>60</v>
      </c>
      <c r="B1001">
        <v>30</v>
      </c>
      <c r="C1001" s="6">
        <v>60000</v>
      </c>
      <c r="D1001" t="s">
        <v>11</v>
      </c>
      <c r="E1001" t="s">
        <v>19</v>
      </c>
      <c r="F1001" t="s">
        <v>13</v>
      </c>
      <c r="G1001" s="7">
        <v>43881</v>
      </c>
      <c r="H1001" t="s">
        <v>27</v>
      </c>
      <c r="I1001" t="s">
        <v>22</v>
      </c>
      <c r="J1001" t="s">
        <v>23</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7030A0"/>
  </sheetPr>
  <dimension ref="A1:B7"/>
  <sheetViews>
    <sheetView workbookViewId="0">
      <selection activeCell="D14" sqref="D14"/>
    </sheetView>
  </sheetViews>
  <sheetFormatPr defaultRowHeight="14.4" x14ac:dyDescent="0.3"/>
  <cols>
    <col min="1" max="1" width="14.5546875" customWidth="1"/>
    <col min="2" max="2" width="13.44140625" customWidth="1"/>
  </cols>
  <sheetData>
    <row r="1" spans="1:2" ht="23.4" customHeight="1" x14ac:dyDescent="0.3">
      <c r="A1" s="3" t="s">
        <v>61</v>
      </c>
      <c r="B1" s="3" t="s">
        <v>62</v>
      </c>
    </row>
    <row r="2" spans="1:2" x14ac:dyDescent="0.3">
      <c r="A2" s="4" t="s">
        <v>63</v>
      </c>
      <c r="B2" s="4">
        <v>20</v>
      </c>
    </row>
    <row r="3" spans="1:2" ht="18.600000000000001" customHeight="1" x14ac:dyDescent="0.3">
      <c r="A3" s="4" t="s">
        <v>64</v>
      </c>
      <c r="B3" s="4">
        <v>25</v>
      </c>
    </row>
    <row r="4" spans="1:2" x14ac:dyDescent="0.3">
      <c r="A4" s="4" t="s">
        <v>42</v>
      </c>
      <c r="B4" s="4">
        <v>30</v>
      </c>
    </row>
    <row r="5" spans="1:2" x14ac:dyDescent="0.3">
      <c r="A5" s="4" t="s">
        <v>65</v>
      </c>
      <c r="B5" s="4">
        <v>35</v>
      </c>
    </row>
    <row r="6" spans="1:2" x14ac:dyDescent="0.3">
      <c r="A6" s="4" t="s">
        <v>66</v>
      </c>
      <c r="B6" s="4">
        <v>40</v>
      </c>
    </row>
    <row r="7" spans="1:2" x14ac:dyDescent="0.3">
      <c r="A7" s="4" t="s">
        <v>67</v>
      </c>
      <c r="B7" s="4">
        <v>50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C000"/>
  </sheetPr>
  <dimension ref="A1:K1001"/>
  <sheetViews>
    <sheetView workbookViewId="0">
      <selection activeCell="O982" sqref="O982"/>
    </sheetView>
  </sheetViews>
  <sheetFormatPr defaultRowHeight="14.4" x14ac:dyDescent="0.3"/>
  <cols>
    <col min="7" max="7" width="16.77734375" customWidth="1"/>
    <col min="8" max="8" width="11.77734375" customWidth="1"/>
    <col min="9" max="9" width="16" customWidth="1"/>
    <col min="10" max="10" width="15.33203125" customWidth="1"/>
    <col min="11" max="11" width="2.77734375" customWidth="1"/>
  </cols>
  <sheetData>
    <row r="1" spans="1:11" ht="28.8" x14ac:dyDescent="0.3">
      <c r="A1" t="s">
        <v>0</v>
      </c>
      <c r="B1" t="s">
        <v>1</v>
      </c>
      <c r="C1" s="6" t="s">
        <v>2</v>
      </c>
      <c r="D1" t="s">
        <v>3</v>
      </c>
      <c r="E1" t="s">
        <v>4</v>
      </c>
      <c r="F1" t="s">
        <v>5</v>
      </c>
      <c r="G1" s="8" t="s">
        <v>6</v>
      </c>
      <c r="H1" s="8" t="s">
        <v>7</v>
      </c>
      <c r="I1" t="s">
        <v>8</v>
      </c>
      <c r="J1" t="s">
        <v>70</v>
      </c>
      <c r="K1" t="s">
        <v>50</v>
      </c>
    </row>
    <row r="2" spans="1:11" x14ac:dyDescent="0.3">
      <c r="A2" t="s">
        <v>51</v>
      </c>
      <c r="B2">
        <v>25</v>
      </c>
      <c r="C2" s="6">
        <v>50000</v>
      </c>
      <c r="D2" t="s">
        <v>11</v>
      </c>
      <c r="E2" t="s">
        <v>12</v>
      </c>
      <c r="F2" t="s">
        <v>13</v>
      </c>
      <c r="G2" s="7">
        <v>43195</v>
      </c>
      <c r="H2" t="s">
        <v>14</v>
      </c>
      <c r="I2" t="s">
        <v>15</v>
      </c>
      <c r="J2" t="s">
        <v>69</v>
      </c>
      <c r="K2">
        <f>IF(HR_Data4[[#This Row],[Phone]]="Missing",0,1)</f>
        <v>0</v>
      </c>
    </row>
    <row r="3" spans="1:11" x14ac:dyDescent="0.3">
      <c r="A3" t="s">
        <v>52</v>
      </c>
      <c r="B3">
        <v>36</v>
      </c>
      <c r="C3" s="6">
        <v>65000</v>
      </c>
      <c r="D3" t="s">
        <v>18</v>
      </c>
      <c r="E3" t="s">
        <v>19</v>
      </c>
      <c r="F3" t="s">
        <v>20</v>
      </c>
      <c r="G3" s="7">
        <v>43881</v>
      </c>
      <c r="H3" t="s">
        <v>21</v>
      </c>
      <c r="I3" t="s">
        <v>22</v>
      </c>
      <c r="J3" t="s">
        <v>23</v>
      </c>
      <c r="K3">
        <f>IF(HR_Data4[[#This Row],[Phone]]="Missing",0,1)</f>
        <v>1</v>
      </c>
    </row>
    <row r="4" spans="1:11" x14ac:dyDescent="0.3">
      <c r="A4" t="s">
        <v>53</v>
      </c>
      <c r="B4">
        <v>35</v>
      </c>
      <c r="C4" s="6">
        <v>60000</v>
      </c>
      <c r="D4" t="s">
        <v>18</v>
      </c>
      <c r="E4" t="s">
        <v>26</v>
      </c>
      <c r="F4" t="s">
        <v>20</v>
      </c>
      <c r="G4" s="7">
        <v>43845</v>
      </c>
      <c r="H4" t="s">
        <v>27</v>
      </c>
      <c r="I4" t="s">
        <v>15</v>
      </c>
      <c r="J4" t="s">
        <v>28</v>
      </c>
      <c r="K4">
        <f>IF(HR_Data4[[#This Row],[Phone]]="Missing",0,1)</f>
        <v>1</v>
      </c>
    </row>
    <row r="5" spans="1:11" x14ac:dyDescent="0.3">
      <c r="A5" t="s">
        <v>54</v>
      </c>
      <c r="B5">
        <v>36</v>
      </c>
      <c r="C5" s="6">
        <v>50000</v>
      </c>
      <c r="D5" t="s">
        <v>18</v>
      </c>
      <c r="E5" t="s">
        <v>30</v>
      </c>
      <c r="F5" t="s">
        <v>13</v>
      </c>
      <c r="G5" s="7">
        <v>43195</v>
      </c>
      <c r="H5" t="s">
        <v>31</v>
      </c>
      <c r="I5" t="s">
        <v>32</v>
      </c>
      <c r="J5" t="s">
        <v>69</v>
      </c>
      <c r="K5">
        <f>IF(HR_Data4[[#This Row],[Phone]]="Missing",0,1)</f>
        <v>0</v>
      </c>
    </row>
    <row r="6" spans="1:11" x14ac:dyDescent="0.3">
      <c r="A6" t="s">
        <v>51</v>
      </c>
      <c r="B6">
        <v>36</v>
      </c>
      <c r="C6" s="6" t="s">
        <v>68</v>
      </c>
      <c r="D6" t="s">
        <v>18</v>
      </c>
      <c r="E6" t="s">
        <v>19</v>
      </c>
      <c r="F6" t="s">
        <v>13</v>
      </c>
      <c r="G6" s="7">
        <v>43845</v>
      </c>
      <c r="H6" t="s">
        <v>21</v>
      </c>
      <c r="I6" t="s">
        <v>32</v>
      </c>
      <c r="J6" t="s">
        <v>28</v>
      </c>
      <c r="K6">
        <f>IF(HR_Data4[[#This Row],[Phone]]="Missing",0,1)</f>
        <v>1</v>
      </c>
    </row>
    <row r="7" spans="1:11" x14ac:dyDescent="0.3">
      <c r="A7" t="s">
        <v>55</v>
      </c>
      <c r="B7">
        <v>36</v>
      </c>
      <c r="C7" s="6">
        <v>65000</v>
      </c>
      <c r="D7" t="s">
        <v>36</v>
      </c>
      <c r="E7" t="s">
        <v>37</v>
      </c>
      <c r="F7" t="s">
        <v>20</v>
      </c>
      <c r="G7" s="7">
        <v>43549</v>
      </c>
      <c r="H7" t="s">
        <v>21</v>
      </c>
      <c r="I7" t="s">
        <v>22</v>
      </c>
      <c r="J7" t="s">
        <v>69</v>
      </c>
      <c r="K7">
        <f>IF(HR_Data4[[#This Row],[Phone]]="Missing",0,1)</f>
        <v>0</v>
      </c>
    </row>
    <row r="8" spans="1:11" x14ac:dyDescent="0.3">
      <c r="A8" t="s">
        <v>56</v>
      </c>
      <c r="B8">
        <v>36</v>
      </c>
      <c r="C8" s="6">
        <v>50000</v>
      </c>
      <c r="D8" t="s">
        <v>11</v>
      </c>
      <c r="E8" t="s">
        <v>37</v>
      </c>
      <c r="F8" t="s">
        <v>39</v>
      </c>
      <c r="G8" s="7">
        <v>43800</v>
      </c>
      <c r="H8" t="s">
        <v>41</v>
      </c>
      <c r="I8" t="s">
        <v>69</v>
      </c>
      <c r="J8" t="s">
        <v>23</v>
      </c>
      <c r="K8">
        <f>IF(HR_Data4[[#This Row],[Phone]]="Missing",0,1)</f>
        <v>1</v>
      </c>
    </row>
    <row r="9" spans="1:11" x14ac:dyDescent="0.3">
      <c r="A9" t="s">
        <v>51</v>
      </c>
      <c r="B9">
        <v>40</v>
      </c>
      <c r="C9" s="6">
        <v>50000</v>
      </c>
      <c r="D9" t="s">
        <v>36</v>
      </c>
      <c r="E9" t="s">
        <v>12</v>
      </c>
      <c r="F9" t="s">
        <v>20</v>
      </c>
      <c r="G9" s="7">
        <v>43549</v>
      </c>
      <c r="H9" t="s">
        <v>27</v>
      </c>
      <c r="I9" t="s">
        <v>69</v>
      </c>
      <c r="J9" t="s">
        <v>69</v>
      </c>
      <c r="K9">
        <f>IF(HR_Data4[[#This Row],[Phone]]="Missing",0,1)</f>
        <v>0</v>
      </c>
    </row>
    <row r="10" spans="1:11" x14ac:dyDescent="0.3">
      <c r="A10" t="s">
        <v>53</v>
      </c>
      <c r="B10">
        <v>40</v>
      </c>
      <c r="C10" s="6">
        <v>60000</v>
      </c>
      <c r="D10" t="s">
        <v>18</v>
      </c>
      <c r="E10" t="s">
        <v>12</v>
      </c>
      <c r="F10" t="s">
        <v>13</v>
      </c>
      <c r="G10" s="7">
        <v>43845</v>
      </c>
      <c r="H10" t="s">
        <v>27</v>
      </c>
      <c r="I10" t="s">
        <v>22</v>
      </c>
      <c r="J10" t="s">
        <v>23</v>
      </c>
      <c r="K10">
        <f>IF(HR_Data4[[#This Row],[Phone]]="Missing",0,1)</f>
        <v>1</v>
      </c>
    </row>
    <row r="11" spans="1:11" x14ac:dyDescent="0.3">
      <c r="A11" t="s">
        <v>54</v>
      </c>
      <c r="B11">
        <v>30</v>
      </c>
      <c r="C11" s="6" t="s">
        <v>68</v>
      </c>
      <c r="D11" t="s">
        <v>36</v>
      </c>
      <c r="E11" t="s">
        <v>19</v>
      </c>
      <c r="F11" t="s">
        <v>43</v>
      </c>
      <c r="G11" s="7">
        <v>43881</v>
      </c>
      <c r="H11" t="s">
        <v>31</v>
      </c>
      <c r="I11" t="s">
        <v>69</v>
      </c>
      <c r="J11" t="s">
        <v>69</v>
      </c>
      <c r="K11">
        <f>IF(HR_Data4[[#This Row],[Phone]]="Missing",0,1)</f>
        <v>0</v>
      </c>
    </row>
    <row r="12" spans="1:11" x14ac:dyDescent="0.3">
      <c r="A12" t="s">
        <v>52</v>
      </c>
      <c r="B12">
        <v>25</v>
      </c>
      <c r="C12" s="6">
        <v>70000</v>
      </c>
      <c r="D12" t="s">
        <v>11</v>
      </c>
      <c r="E12" t="s">
        <v>37</v>
      </c>
      <c r="F12" t="s">
        <v>44</v>
      </c>
      <c r="G12" s="7">
        <v>43800</v>
      </c>
      <c r="H12" t="s">
        <v>41</v>
      </c>
      <c r="I12" t="s">
        <v>69</v>
      </c>
      <c r="J12" t="s">
        <v>23</v>
      </c>
      <c r="K12">
        <f>IF(HR_Data4[[#This Row],[Phone]]="Missing",0,1)</f>
        <v>1</v>
      </c>
    </row>
    <row r="13" spans="1:11" x14ac:dyDescent="0.3">
      <c r="A13" t="s">
        <v>53</v>
      </c>
      <c r="B13">
        <v>36</v>
      </c>
      <c r="C13" s="6">
        <v>70000</v>
      </c>
      <c r="D13" t="s">
        <v>36</v>
      </c>
      <c r="E13" t="s">
        <v>19</v>
      </c>
      <c r="F13" t="s">
        <v>43</v>
      </c>
      <c r="G13" s="7">
        <v>43549</v>
      </c>
      <c r="H13" t="s">
        <v>31</v>
      </c>
      <c r="I13" t="s">
        <v>69</v>
      </c>
      <c r="J13" t="s">
        <v>69</v>
      </c>
      <c r="K13">
        <f>IF(HR_Data4[[#This Row],[Phone]]="Missing",0,1)</f>
        <v>0</v>
      </c>
    </row>
    <row r="14" spans="1:11" x14ac:dyDescent="0.3">
      <c r="A14" t="s">
        <v>53</v>
      </c>
      <c r="B14">
        <v>30</v>
      </c>
      <c r="C14" s="6">
        <v>50000</v>
      </c>
      <c r="D14" t="s">
        <v>11</v>
      </c>
      <c r="E14" t="s">
        <v>30</v>
      </c>
      <c r="F14" t="s">
        <v>43</v>
      </c>
      <c r="G14" s="7">
        <v>43195</v>
      </c>
      <c r="H14" t="s">
        <v>14</v>
      </c>
      <c r="I14" t="s">
        <v>69</v>
      </c>
      <c r="J14" t="s">
        <v>69</v>
      </c>
      <c r="K14">
        <f>IF(HR_Data4[[#This Row],[Phone]]="Missing",0,1)</f>
        <v>0</v>
      </c>
    </row>
    <row r="15" spans="1:11" x14ac:dyDescent="0.3">
      <c r="A15" t="s">
        <v>56</v>
      </c>
      <c r="B15">
        <v>25</v>
      </c>
      <c r="C15" s="6">
        <v>55000</v>
      </c>
      <c r="D15" t="s">
        <v>36</v>
      </c>
      <c r="E15" t="s">
        <v>12</v>
      </c>
      <c r="F15" t="s">
        <v>13</v>
      </c>
      <c r="G15" s="7">
        <v>43881</v>
      </c>
      <c r="H15" t="s">
        <v>21</v>
      </c>
      <c r="I15" t="s">
        <v>69</v>
      </c>
      <c r="J15" t="s">
        <v>45</v>
      </c>
      <c r="K15">
        <f>IF(HR_Data4[[#This Row],[Phone]]="Missing",0,1)</f>
        <v>1</v>
      </c>
    </row>
    <row r="16" spans="1:11" x14ac:dyDescent="0.3">
      <c r="A16" t="s">
        <v>57</v>
      </c>
      <c r="B16">
        <v>50</v>
      </c>
      <c r="C16" s="6" t="s">
        <v>68</v>
      </c>
      <c r="D16" t="s">
        <v>11</v>
      </c>
      <c r="E16" t="s">
        <v>37</v>
      </c>
      <c r="F16" t="s">
        <v>20</v>
      </c>
      <c r="G16" s="7">
        <v>43549</v>
      </c>
      <c r="H16" t="s">
        <v>31</v>
      </c>
      <c r="I16" t="s">
        <v>69</v>
      </c>
      <c r="J16" t="s">
        <v>23</v>
      </c>
      <c r="K16">
        <f>IF(HR_Data4[[#This Row],[Phone]]="Missing",0,1)</f>
        <v>1</v>
      </c>
    </row>
    <row r="17" spans="1:11" x14ac:dyDescent="0.3">
      <c r="A17" t="s">
        <v>54</v>
      </c>
      <c r="B17">
        <v>35</v>
      </c>
      <c r="C17" s="6">
        <v>65000</v>
      </c>
      <c r="D17" t="s">
        <v>11</v>
      </c>
      <c r="E17" t="s">
        <v>19</v>
      </c>
      <c r="F17" t="s">
        <v>39</v>
      </c>
      <c r="G17" s="7">
        <v>43195</v>
      </c>
      <c r="H17" t="s">
        <v>21</v>
      </c>
      <c r="I17" t="s">
        <v>69</v>
      </c>
      <c r="J17" t="s">
        <v>23</v>
      </c>
      <c r="K17">
        <f>IF(HR_Data4[[#This Row],[Phone]]="Missing",0,1)</f>
        <v>1</v>
      </c>
    </row>
    <row r="18" spans="1:11" x14ac:dyDescent="0.3">
      <c r="A18" t="s">
        <v>58</v>
      </c>
      <c r="B18">
        <v>40</v>
      </c>
      <c r="C18" s="6">
        <v>55000</v>
      </c>
      <c r="D18" t="s">
        <v>18</v>
      </c>
      <c r="E18" t="s">
        <v>26</v>
      </c>
      <c r="F18" t="s">
        <v>43</v>
      </c>
      <c r="G18" s="7">
        <v>43845</v>
      </c>
      <c r="H18" t="s">
        <v>41</v>
      </c>
      <c r="I18" t="s">
        <v>69</v>
      </c>
      <c r="J18" t="s">
        <v>28</v>
      </c>
      <c r="K18">
        <f>IF(HR_Data4[[#This Row],[Phone]]="Missing",0,1)</f>
        <v>1</v>
      </c>
    </row>
    <row r="19" spans="1:11" x14ac:dyDescent="0.3">
      <c r="A19" t="s">
        <v>53</v>
      </c>
      <c r="B19">
        <v>50</v>
      </c>
      <c r="C19" s="6">
        <v>55000</v>
      </c>
      <c r="D19" t="s">
        <v>11</v>
      </c>
      <c r="E19" t="s">
        <v>12</v>
      </c>
      <c r="F19" t="s">
        <v>20</v>
      </c>
      <c r="G19" s="7">
        <v>43195</v>
      </c>
      <c r="H19" t="s">
        <v>14</v>
      </c>
      <c r="I19" t="s">
        <v>22</v>
      </c>
      <c r="J19" t="s">
        <v>69</v>
      </c>
      <c r="K19">
        <f>IF(HR_Data4[[#This Row],[Phone]]="Missing",0,1)</f>
        <v>0</v>
      </c>
    </row>
    <row r="20" spans="1:11" x14ac:dyDescent="0.3">
      <c r="A20" t="s">
        <v>57</v>
      </c>
      <c r="B20">
        <v>25</v>
      </c>
      <c r="C20" s="6" t="s">
        <v>68</v>
      </c>
      <c r="D20" t="s">
        <v>18</v>
      </c>
      <c r="E20" t="s">
        <v>30</v>
      </c>
      <c r="F20" t="s">
        <v>39</v>
      </c>
      <c r="G20" s="7">
        <v>43549</v>
      </c>
      <c r="H20" t="s">
        <v>41</v>
      </c>
      <c r="I20" t="s">
        <v>15</v>
      </c>
      <c r="J20" t="s">
        <v>45</v>
      </c>
      <c r="K20">
        <f>IF(HR_Data4[[#This Row],[Phone]]="Missing",0,1)</f>
        <v>1</v>
      </c>
    </row>
    <row r="21" spans="1:11" x14ac:dyDescent="0.3">
      <c r="A21" t="s">
        <v>58</v>
      </c>
      <c r="B21">
        <v>50</v>
      </c>
      <c r="C21" s="6">
        <v>50000</v>
      </c>
      <c r="D21" t="s">
        <v>18</v>
      </c>
      <c r="E21" t="s">
        <v>19</v>
      </c>
      <c r="F21" t="s">
        <v>43</v>
      </c>
      <c r="G21" s="7">
        <v>43549</v>
      </c>
      <c r="H21" t="s">
        <v>14</v>
      </c>
      <c r="I21" t="s">
        <v>22</v>
      </c>
      <c r="J21" t="s">
        <v>69</v>
      </c>
      <c r="K21">
        <f>IF(HR_Data4[[#This Row],[Phone]]="Missing",0,1)</f>
        <v>0</v>
      </c>
    </row>
    <row r="22" spans="1:11" x14ac:dyDescent="0.3">
      <c r="A22" t="s">
        <v>54</v>
      </c>
      <c r="B22">
        <v>35</v>
      </c>
      <c r="C22" s="6">
        <v>50000</v>
      </c>
      <c r="D22" t="s">
        <v>18</v>
      </c>
      <c r="E22" t="s">
        <v>30</v>
      </c>
      <c r="F22" t="s">
        <v>39</v>
      </c>
      <c r="G22" s="7">
        <v>43845</v>
      </c>
      <c r="H22" t="s">
        <v>14</v>
      </c>
      <c r="I22" t="s">
        <v>15</v>
      </c>
      <c r="J22" t="s">
        <v>28</v>
      </c>
      <c r="K22">
        <f>IF(HR_Data4[[#This Row],[Phone]]="Missing",0,1)</f>
        <v>1</v>
      </c>
    </row>
    <row r="23" spans="1:11" x14ac:dyDescent="0.3">
      <c r="A23" t="s">
        <v>59</v>
      </c>
      <c r="B23">
        <v>25</v>
      </c>
      <c r="C23" s="6">
        <v>50000</v>
      </c>
      <c r="D23" t="s">
        <v>36</v>
      </c>
      <c r="E23" t="s">
        <v>30</v>
      </c>
      <c r="F23" t="s">
        <v>20</v>
      </c>
      <c r="G23" s="7">
        <v>43195</v>
      </c>
      <c r="H23" t="s">
        <v>21</v>
      </c>
      <c r="I23" t="s">
        <v>22</v>
      </c>
      <c r="J23" t="s">
        <v>45</v>
      </c>
      <c r="K23">
        <f>IF(HR_Data4[[#This Row],[Phone]]="Missing",0,1)</f>
        <v>1</v>
      </c>
    </row>
    <row r="24" spans="1:11" x14ac:dyDescent="0.3">
      <c r="A24" t="s">
        <v>55</v>
      </c>
      <c r="B24">
        <v>50</v>
      </c>
      <c r="C24" s="6">
        <v>50000</v>
      </c>
      <c r="D24" t="s">
        <v>36</v>
      </c>
      <c r="E24" t="s">
        <v>37</v>
      </c>
      <c r="F24" t="s">
        <v>44</v>
      </c>
      <c r="G24" s="7">
        <v>43195</v>
      </c>
      <c r="H24" t="s">
        <v>41</v>
      </c>
      <c r="I24" t="s">
        <v>15</v>
      </c>
      <c r="J24" t="s">
        <v>69</v>
      </c>
      <c r="K24">
        <f>IF(HR_Data4[[#This Row],[Phone]]="Missing",0,1)</f>
        <v>0</v>
      </c>
    </row>
    <row r="25" spans="1:11" x14ac:dyDescent="0.3">
      <c r="A25" t="s">
        <v>57</v>
      </c>
      <c r="B25">
        <v>40</v>
      </c>
      <c r="C25" s="6">
        <v>70000</v>
      </c>
      <c r="D25" t="s">
        <v>36</v>
      </c>
      <c r="E25" t="s">
        <v>37</v>
      </c>
      <c r="F25" t="s">
        <v>20</v>
      </c>
      <c r="G25" s="7">
        <v>43845</v>
      </c>
      <c r="H25" t="s">
        <v>41</v>
      </c>
      <c r="I25" t="s">
        <v>15</v>
      </c>
      <c r="J25" t="s">
        <v>45</v>
      </c>
      <c r="K25">
        <f>IF(HR_Data4[[#This Row],[Phone]]="Missing",0,1)</f>
        <v>1</v>
      </c>
    </row>
    <row r="26" spans="1:11" x14ac:dyDescent="0.3">
      <c r="A26" t="s">
        <v>60</v>
      </c>
      <c r="B26">
        <v>40</v>
      </c>
      <c r="C26" s="6">
        <v>50000</v>
      </c>
      <c r="D26" t="s">
        <v>36</v>
      </c>
      <c r="E26" t="s">
        <v>19</v>
      </c>
      <c r="F26" t="s">
        <v>13</v>
      </c>
      <c r="G26" s="7">
        <v>43195</v>
      </c>
      <c r="H26" t="s">
        <v>31</v>
      </c>
      <c r="I26" t="s">
        <v>32</v>
      </c>
      <c r="J26" t="s">
        <v>23</v>
      </c>
      <c r="K26">
        <f>IF(HR_Data4[[#This Row],[Phone]]="Missing",0,1)</f>
        <v>1</v>
      </c>
    </row>
    <row r="27" spans="1:11" x14ac:dyDescent="0.3">
      <c r="A27" t="s">
        <v>59</v>
      </c>
      <c r="B27">
        <v>30</v>
      </c>
      <c r="C27" s="6">
        <v>70000</v>
      </c>
      <c r="D27" t="s">
        <v>11</v>
      </c>
      <c r="E27" t="s">
        <v>26</v>
      </c>
      <c r="F27" t="s">
        <v>39</v>
      </c>
      <c r="G27" s="7">
        <v>43845</v>
      </c>
      <c r="H27" t="s">
        <v>41</v>
      </c>
      <c r="I27" t="s">
        <v>15</v>
      </c>
      <c r="J27" t="s">
        <v>23</v>
      </c>
      <c r="K27">
        <f>IF(HR_Data4[[#This Row],[Phone]]="Missing",0,1)</f>
        <v>1</v>
      </c>
    </row>
    <row r="28" spans="1:11" x14ac:dyDescent="0.3">
      <c r="A28" t="s">
        <v>55</v>
      </c>
      <c r="B28">
        <v>50</v>
      </c>
      <c r="C28" s="6">
        <v>70000</v>
      </c>
      <c r="D28" t="s">
        <v>11</v>
      </c>
      <c r="E28" t="s">
        <v>19</v>
      </c>
      <c r="F28" t="s">
        <v>44</v>
      </c>
      <c r="G28" s="7">
        <v>43881</v>
      </c>
      <c r="H28" t="s">
        <v>31</v>
      </c>
      <c r="I28" t="s">
        <v>15</v>
      </c>
      <c r="J28" t="s">
        <v>28</v>
      </c>
      <c r="K28">
        <f>IF(HR_Data4[[#This Row],[Phone]]="Missing",0,1)</f>
        <v>1</v>
      </c>
    </row>
    <row r="29" spans="1:11" x14ac:dyDescent="0.3">
      <c r="A29" t="s">
        <v>56</v>
      </c>
      <c r="B29">
        <v>36</v>
      </c>
      <c r="C29" s="6">
        <v>50000</v>
      </c>
      <c r="D29" t="s">
        <v>36</v>
      </c>
      <c r="E29" t="s">
        <v>26</v>
      </c>
      <c r="F29" t="s">
        <v>39</v>
      </c>
      <c r="G29" s="7">
        <v>43549</v>
      </c>
      <c r="H29" t="s">
        <v>27</v>
      </c>
      <c r="I29" t="s">
        <v>32</v>
      </c>
      <c r="J29" t="s">
        <v>69</v>
      </c>
      <c r="K29">
        <f>IF(HR_Data4[[#This Row],[Phone]]="Missing",0,1)</f>
        <v>0</v>
      </c>
    </row>
    <row r="30" spans="1:11" x14ac:dyDescent="0.3">
      <c r="A30" t="s">
        <v>51</v>
      </c>
      <c r="B30">
        <v>50</v>
      </c>
      <c r="C30" s="6">
        <v>60000</v>
      </c>
      <c r="D30" t="s">
        <v>11</v>
      </c>
      <c r="E30" t="s">
        <v>30</v>
      </c>
      <c r="F30" t="s">
        <v>39</v>
      </c>
      <c r="G30" s="7">
        <v>43881</v>
      </c>
      <c r="H30" t="s">
        <v>27</v>
      </c>
      <c r="I30" t="s">
        <v>69</v>
      </c>
      <c r="J30" t="s">
        <v>69</v>
      </c>
      <c r="K30">
        <f>IF(HR_Data4[[#This Row],[Phone]]="Missing",0,1)</f>
        <v>0</v>
      </c>
    </row>
    <row r="31" spans="1:11" x14ac:dyDescent="0.3">
      <c r="A31" t="s">
        <v>52</v>
      </c>
      <c r="B31">
        <v>25</v>
      </c>
      <c r="C31" s="6">
        <v>65000</v>
      </c>
      <c r="D31" t="s">
        <v>11</v>
      </c>
      <c r="E31" t="s">
        <v>12</v>
      </c>
      <c r="F31" t="s">
        <v>43</v>
      </c>
      <c r="G31" s="7">
        <v>43800</v>
      </c>
      <c r="H31" t="s">
        <v>27</v>
      </c>
      <c r="I31" t="s">
        <v>69</v>
      </c>
      <c r="J31" t="s">
        <v>45</v>
      </c>
      <c r="K31">
        <f>IF(HR_Data4[[#This Row],[Phone]]="Missing",0,1)</f>
        <v>1</v>
      </c>
    </row>
    <row r="32" spans="1:11" x14ac:dyDescent="0.3">
      <c r="A32" t="s">
        <v>60</v>
      </c>
      <c r="B32">
        <v>25</v>
      </c>
      <c r="C32" s="6">
        <v>55000</v>
      </c>
      <c r="D32" t="s">
        <v>18</v>
      </c>
      <c r="E32" t="s">
        <v>19</v>
      </c>
      <c r="F32" t="s">
        <v>13</v>
      </c>
      <c r="G32" s="7">
        <v>43800</v>
      </c>
      <c r="H32" t="s">
        <v>41</v>
      </c>
      <c r="I32" t="s">
        <v>32</v>
      </c>
      <c r="J32" t="s">
        <v>28</v>
      </c>
      <c r="K32">
        <f>IF(HR_Data4[[#This Row],[Phone]]="Missing",0,1)</f>
        <v>1</v>
      </c>
    </row>
    <row r="33" spans="1:11" x14ac:dyDescent="0.3">
      <c r="A33" t="s">
        <v>56</v>
      </c>
      <c r="B33">
        <v>50</v>
      </c>
      <c r="C33" s="6">
        <v>70000</v>
      </c>
      <c r="D33" t="s">
        <v>18</v>
      </c>
      <c r="E33" t="s">
        <v>19</v>
      </c>
      <c r="F33" t="s">
        <v>39</v>
      </c>
      <c r="G33" s="7">
        <v>43800</v>
      </c>
      <c r="H33" t="s">
        <v>41</v>
      </c>
      <c r="I33" t="s">
        <v>69</v>
      </c>
      <c r="J33" t="s">
        <v>69</v>
      </c>
      <c r="K33">
        <f>IF(HR_Data4[[#This Row],[Phone]]="Missing",0,1)</f>
        <v>0</v>
      </c>
    </row>
    <row r="34" spans="1:11" x14ac:dyDescent="0.3">
      <c r="A34" t="s">
        <v>54</v>
      </c>
      <c r="B34">
        <v>35</v>
      </c>
      <c r="C34" s="6" t="s">
        <v>68</v>
      </c>
      <c r="D34" t="s">
        <v>18</v>
      </c>
      <c r="E34" t="s">
        <v>26</v>
      </c>
      <c r="F34" t="s">
        <v>20</v>
      </c>
      <c r="G34" s="7">
        <v>43845</v>
      </c>
      <c r="H34" t="s">
        <v>31</v>
      </c>
      <c r="I34" t="s">
        <v>15</v>
      </c>
      <c r="J34" t="s">
        <v>23</v>
      </c>
      <c r="K34">
        <f>IF(HR_Data4[[#This Row],[Phone]]="Missing",0,1)</f>
        <v>1</v>
      </c>
    </row>
    <row r="35" spans="1:11" x14ac:dyDescent="0.3">
      <c r="A35" t="s">
        <v>56</v>
      </c>
      <c r="B35">
        <v>40</v>
      </c>
      <c r="C35" s="6" t="s">
        <v>68</v>
      </c>
      <c r="D35" t="s">
        <v>18</v>
      </c>
      <c r="E35" t="s">
        <v>30</v>
      </c>
      <c r="F35" t="s">
        <v>20</v>
      </c>
      <c r="G35" s="7">
        <v>43195</v>
      </c>
      <c r="H35" t="s">
        <v>14</v>
      </c>
      <c r="I35" t="s">
        <v>15</v>
      </c>
      <c r="J35" t="s">
        <v>45</v>
      </c>
      <c r="K35">
        <f>IF(HR_Data4[[#This Row],[Phone]]="Missing",0,1)</f>
        <v>1</v>
      </c>
    </row>
    <row r="36" spans="1:11" x14ac:dyDescent="0.3">
      <c r="A36" t="s">
        <v>51</v>
      </c>
      <c r="B36">
        <v>25</v>
      </c>
      <c r="C36" s="6">
        <v>65000</v>
      </c>
      <c r="D36" t="s">
        <v>11</v>
      </c>
      <c r="E36" t="s">
        <v>30</v>
      </c>
      <c r="F36" t="s">
        <v>43</v>
      </c>
      <c r="G36" s="7">
        <v>43881</v>
      </c>
      <c r="H36" t="s">
        <v>31</v>
      </c>
      <c r="I36" t="s">
        <v>32</v>
      </c>
      <c r="J36" t="s">
        <v>69</v>
      </c>
      <c r="K36">
        <f>IF(HR_Data4[[#This Row],[Phone]]="Missing",0,1)</f>
        <v>0</v>
      </c>
    </row>
    <row r="37" spans="1:11" x14ac:dyDescent="0.3">
      <c r="A37" t="s">
        <v>54</v>
      </c>
      <c r="B37">
        <v>40</v>
      </c>
      <c r="C37" s="6" t="s">
        <v>68</v>
      </c>
      <c r="D37" t="s">
        <v>36</v>
      </c>
      <c r="E37" t="s">
        <v>26</v>
      </c>
      <c r="F37" t="s">
        <v>13</v>
      </c>
      <c r="G37" s="7">
        <v>43881</v>
      </c>
      <c r="H37" t="s">
        <v>27</v>
      </c>
      <c r="I37" t="s">
        <v>32</v>
      </c>
      <c r="J37" t="s">
        <v>23</v>
      </c>
      <c r="K37">
        <f>IF(HR_Data4[[#This Row],[Phone]]="Missing",0,1)</f>
        <v>1</v>
      </c>
    </row>
    <row r="38" spans="1:11" x14ac:dyDescent="0.3">
      <c r="A38" t="s">
        <v>60</v>
      </c>
      <c r="B38">
        <v>25</v>
      </c>
      <c r="C38" s="6">
        <v>60000</v>
      </c>
      <c r="D38" t="s">
        <v>11</v>
      </c>
      <c r="E38" t="s">
        <v>30</v>
      </c>
      <c r="F38" t="s">
        <v>13</v>
      </c>
      <c r="G38" s="7">
        <v>43881</v>
      </c>
      <c r="H38" t="s">
        <v>31</v>
      </c>
      <c r="I38" t="s">
        <v>69</v>
      </c>
      <c r="J38" t="s">
        <v>28</v>
      </c>
      <c r="K38">
        <f>IF(HR_Data4[[#This Row],[Phone]]="Missing",0,1)</f>
        <v>1</v>
      </c>
    </row>
    <row r="39" spans="1:11" x14ac:dyDescent="0.3">
      <c r="A39" t="s">
        <v>51</v>
      </c>
      <c r="B39">
        <v>30</v>
      </c>
      <c r="C39" s="6" t="s">
        <v>68</v>
      </c>
      <c r="D39" t="s">
        <v>11</v>
      </c>
      <c r="E39" t="s">
        <v>37</v>
      </c>
      <c r="F39" t="s">
        <v>20</v>
      </c>
      <c r="G39" s="7">
        <v>43881</v>
      </c>
      <c r="H39" t="s">
        <v>14</v>
      </c>
      <c r="I39" t="s">
        <v>69</v>
      </c>
      <c r="J39" t="s">
        <v>69</v>
      </c>
      <c r="K39">
        <f>IF(HR_Data4[[#This Row],[Phone]]="Missing",0,1)</f>
        <v>0</v>
      </c>
    </row>
    <row r="40" spans="1:11" x14ac:dyDescent="0.3">
      <c r="A40" t="s">
        <v>58</v>
      </c>
      <c r="B40">
        <v>36</v>
      </c>
      <c r="C40" s="6">
        <v>55000</v>
      </c>
      <c r="D40" t="s">
        <v>11</v>
      </c>
      <c r="E40" t="s">
        <v>12</v>
      </c>
      <c r="F40" t="s">
        <v>44</v>
      </c>
      <c r="G40" s="7">
        <v>43800</v>
      </c>
      <c r="H40" t="s">
        <v>41</v>
      </c>
      <c r="I40" t="s">
        <v>22</v>
      </c>
      <c r="J40" t="s">
        <v>23</v>
      </c>
      <c r="K40">
        <f>IF(HR_Data4[[#This Row],[Phone]]="Missing",0,1)</f>
        <v>1</v>
      </c>
    </row>
    <row r="41" spans="1:11" x14ac:dyDescent="0.3">
      <c r="A41" t="s">
        <v>52</v>
      </c>
      <c r="B41">
        <v>25</v>
      </c>
      <c r="C41" s="6">
        <v>55000</v>
      </c>
      <c r="D41" t="s">
        <v>18</v>
      </c>
      <c r="E41" t="s">
        <v>19</v>
      </c>
      <c r="F41" t="s">
        <v>43</v>
      </c>
      <c r="G41" s="7">
        <v>43881</v>
      </c>
      <c r="H41" t="s">
        <v>31</v>
      </c>
      <c r="I41" t="s">
        <v>69</v>
      </c>
      <c r="J41" t="s">
        <v>69</v>
      </c>
      <c r="K41">
        <f>IF(HR_Data4[[#This Row],[Phone]]="Missing",0,1)</f>
        <v>0</v>
      </c>
    </row>
    <row r="42" spans="1:11" x14ac:dyDescent="0.3">
      <c r="A42" t="s">
        <v>60</v>
      </c>
      <c r="B42">
        <v>40</v>
      </c>
      <c r="C42" s="6">
        <v>70000</v>
      </c>
      <c r="D42" t="s">
        <v>18</v>
      </c>
      <c r="E42" t="s">
        <v>12</v>
      </c>
      <c r="F42" t="s">
        <v>43</v>
      </c>
      <c r="G42" s="7">
        <v>43195</v>
      </c>
      <c r="H42" t="s">
        <v>27</v>
      </c>
      <c r="I42" t="s">
        <v>15</v>
      </c>
      <c r="J42" t="s">
        <v>69</v>
      </c>
      <c r="K42">
        <f>IF(HR_Data4[[#This Row],[Phone]]="Missing",0,1)</f>
        <v>0</v>
      </c>
    </row>
    <row r="43" spans="1:11" x14ac:dyDescent="0.3">
      <c r="A43" t="s">
        <v>58</v>
      </c>
      <c r="B43">
        <v>30</v>
      </c>
      <c r="C43" s="6">
        <v>50000</v>
      </c>
      <c r="D43" t="s">
        <v>18</v>
      </c>
      <c r="E43" t="s">
        <v>19</v>
      </c>
      <c r="F43" t="s">
        <v>20</v>
      </c>
      <c r="G43" s="7">
        <v>43800</v>
      </c>
      <c r="H43" t="s">
        <v>27</v>
      </c>
      <c r="I43" t="s">
        <v>32</v>
      </c>
      <c r="J43" t="s">
        <v>28</v>
      </c>
      <c r="K43">
        <f>IF(HR_Data4[[#This Row],[Phone]]="Missing",0,1)</f>
        <v>1</v>
      </c>
    </row>
    <row r="44" spans="1:11" x14ac:dyDescent="0.3">
      <c r="A44" t="s">
        <v>55</v>
      </c>
      <c r="B44">
        <v>25</v>
      </c>
      <c r="C44" s="6">
        <v>60000</v>
      </c>
      <c r="D44" t="s">
        <v>36</v>
      </c>
      <c r="E44" t="s">
        <v>37</v>
      </c>
      <c r="F44" t="s">
        <v>20</v>
      </c>
      <c r="G44" s="7">
        <v>43881</v>
      </c>
      <c r="H44" t="s">
        <v>41</v>
      </c>
      <c r="I44" t="s">
        <v>69</v>
      </c>
      <c r="J44" t="s">
        <v>23</v>
      </c>
      <c r="K44">
        <f>IF(HR_Data4[[#This Row],[Phone]]="Missing",0,1)</f>
        <v>1</v>
      </c>
    </row>
    <row r="45" spans="1:11" x14ac:dyDescent="0.3">
      <c r="A45" t="s">
        <v>60</v>
      </c>
      <c r="B45">
        <v>35</v>
      </c>
      <c r="C45" s="6">
        <v>70000</v>
      </c>
      <c r="D45" t="s">
        <v>11</v>
      </c>
      <c r="E45" t="s">
        <v>30</v>
      </c>
      <c r="F45" t="s">
        <v>44</v>
      </c>
      <c r="G45" s="7">
        <v>43845</v>
      </c>
      <c r="H45" t="s">
        <v>31</v>
      </c>
      <c r="I45" t="s">
        <v>69</v>
      </c>
      <c r="J45" t="s">
        <v>45</v>
      </c>
      <c r="K45">
        <f>IF(HR_Data4[[#This Row],[Phone]]="Missing",0,1)</f>
        <v>1</v>
      </c>
    </row>
    <row r="46" spans="1:11" x14ac:dyDescent="0.3">
      <c r="A46" t="s">
        <v>55</v>
      </c>
      <c r="B46">
        <v>36</v>
      </c>
      <c r="C46" s="6">
        <v>60000</v>
      </c>
      <c r="D46" t="s">
        <v>36</v>
      </c>
      <c r="E46" t="s">
        <v>26</v>
      </c>
      <c r="F46" t="s">
        <v>44</v>
      </c>
      <c r="G46" s="7">
        <v>43549</v>
      </c>
      <c r="H46" t="s">
        <v>14</v>
      </c>
      <c r="I46" t="s">
        <v>69</v>
      </c>
      <c r="J46" t="s">
        <v>23</v>
      </c>
      <c r="K46">
        <f>IF(HR_Data4[[#This Row],[Phone]]="Missing",0,1)</f>
        <v>1</v>
      </c>
    </row>
    <row r="47" spans="1:11" x14ac:dyDescent="0.3">
      <c r="A47" t="s">
        <v>54</v>
      </c>
      <c r="B47">
        <v>25</v>
      </c>
      <c r="C47" s="6">
        <v>50000</v>
      </c>
      <c r="D47" t="s">
        <v>18</v>
      </c>
      <c r="E47" t="s">
        <v>37</v>
      </c>
      <c r="F47" t="s">
        <v>13</v>
      </c>
      <c r="G47" s="7">
        <v>43549</v>
      </c>
      <c r="H47" t="s">
        <v>41</v>
      </c>
      <c r="I47" t="s">
        <v>69</v>
      </c>
      <c r="J47" t="s">
        <v>69</v>
      </c>
      <c r="K47">
        <f>IF(HR_Data4[[#This Row],[Phone]]="Missing",0,1)</f>
        <v>0</v>
      </c>
    </row>
    <row r="48" spans="1:11" x14ac:dyDescent="0.3">
      <c r="A48" t="s">
        <v>58</v>
      </c>
      <c r="B48">
        <v>30</v>
      </c>
      <c r="C48" s="6" t="s">
        <v>68</v>
      </c>
      <c r="D48" t="s">
        <v>36</v>
      </c>
      <c r="E48" t="s">
        <v>12</v>
      </c>
      <c r="F48" t="s">
        <v>43</v>
      </c>
      <c r="G48" s="7">
        <v>43549</v>
      </c>
      <c r="H48" t="s">
        <v>31</v>
      </c>
      <c r="I48" t="s">
        <v>15</v>
      </c>
      <c r="J48" t="s">
        <v>28</v>
      </c>
      <c r="K48">
        <f>IF(HR_Data4[[#This Row],[Phone]]="Missing",0,1)</f>
        <v>1</v>
      </c>
    </row>
    <row r="49" spans="1:11" x14ac:dyDescent="0.3">
      <c r="A49" t="s">
        <v>52</v>
      </c>
      <c r="B49">
        <v>35</v>
      </c>
      <c r="C49" s="6" t="s">
        <v>68</v>
      </c>
      <c r="D49" t="s">
        <v>11</v>
      </c>
      <c r="E49" t="s">
        <v>26</v>
      </c>
      <c r="F49" t="s">
        <v>43</v>
      </c>
      <c r="G49" s="7">
        <v>43800</v>
      </c>
      <c r="H49" t="s">
        <v>21</v>
      </c>
      <c r="I49" t="s">
        <v>22</v>
      </c>
      <c r="J49" t="s">
        <v>28</v>
      </c>
      <c r="K49">
        <f>IF(HR_Data4[[#This Row],[Phone]]="Missing",0,1)</f>
        <v>1</v>
      </c>
    </row>
    <row r="50" spans="1:11" x14ac:dyDescent="0.3">
      <c r="A50" t="s">
        <v>51</v>
      </c>
      <c r="B50">
        <v>50</v>
      </c>
      <c r="C50" s="6">
        <v>50000</v>
      </c>
      <c r="D50" t="s">
        <v>11</v>
      </c>
      <c r="E50" t="s">
        <v>30</v>
      </c>
      <c r="F50" t="s">
        <v>20</v>
      </c>
      <c r="G50" s="7">
        <v>43881</v>
      </c>
      <c r="H50" t="s">
        <v>27</v>
      </c>
      <c r="I50" t="s">
        <v>69</v>
      </c>
      <c r="J50" t="s">
        <v>45</v>
      </c>
      <c r="K50">
        <f>IF(HR_Data4[[#This Row],[Phone]]="Missing",0,1)</f>
        <v>1</v>
      </c>
    </row>
    <row r="51" spans="1:11" x14ac:dyDescent="0.3">
      <c r="A51" t="s">
        <v>53</v>
      </c>
      <c r="B51">
        <v>30</v>
      </c>
      <c r="C51" s="6">
        <v>70000</v>
      </c>
      <c r="D51" t="s">
        <v>18</v>
      </c>
      <c r="E51" t="s">
        <v>37</v>
      </c>
      <c r="F51" t="s">
        <v>13</v>
      </c>
      <c r="G51" s="7">
        <v>43800</v>
      </c>
      <c r="H51" t="s">
        <v>14</v>
      </c>
      <c r="I51" t="s">
        <v>69</v>
      </c>
      <c r="J51" t="s">
        <v>28</v>
      </c>
      <c r="K51">
        <f>IF(HR_Data4[[#This Row],[Phone]]="Missing",0,1)</f>
        <v>1</v>
      </c>
    </row>
    <row r="52" spans="1:11" x14ac:dyDescent="0.3">
      <c r="A52" t="s">
        <v>56</v>
      </c>
      <c r="B52">
        <v>30</v>
      </c>
      <c r="C52" s="6">
        <v>50000</v>
      </c>
      <c r="D52" t="s">
        <v>18</v>
      </c>
      <c r="E52" t="s">
        <v>26</v>
      </c>
      <c r="F52" t="s">
        <v>43</v>
      </c>
      <c r="G52" s="7">
        <v>43195</v>
      </c>
      <c r="H52" t="s">
        <v>14</v>
      </c>
      <c r="I52" t="s">
        <v>22</v>
      </c>
      <c r="J52" t="s">
        <v>28</v>
      </c>
      <c r="K52">
        <f>IF(HR_Data4[[#This Row],[Phone]]="Missing",0,1)</f>
        <v>1</v>
      </c>
    </row>
    <row r="53" spans="1:11" x14ac:dyDescent="0.3">
      <c r="A53" t="s">
        <v>59</v>
      </c>
      <c r="B53">
        <v>35</v>
      </c>
      <c r="C53" s="6">
        <v>65000</v>
      </c>
      <c r="D53" t="s">
        <v>36</v>
      </c>
      <c r="E53" t="s">
        <v>37</v>
      </c>
      <c r="F53" t="s">
        <v>13</v>
      </c>
      <c r="G53" s="7">
        <v>43845</v>
      </c>
      <c r="H53" t="s">
        <v>14</v>
      </c>
      <c r="I53" t="s">
        <v>69</v>
      </c>
      <c r="J53" t="s">
        <v>28</v>
      </c>
      <c r="K53">
        <f>IF(HR_Data4[[#This Row],[Phone]]="Missing",0,1)</f>
        <v>1</v>
      </c>
    </row>
    <row r="54" spans="1:11" x14ac:dyDescent="0.3">
      <c r="A54" t="s">
        <v>52</v>
      </c>
      <c r="B54">
        <v>30</v>
      </c>
      <c r="C54" s="6">
        <v>55000</v>
      </c>
      <c r="D54" t="s">
        <v>18</v>
      </c>
      <c r="E54" t="s">
        <v>37</v>
      </c>
      <c r="F54" t="s">
        <v>13</v>
      </c>
      <c r="G54" s="7">
        <v>43845</v>
      </c>
      <c r="H54" t="s">
        <v>27</v>
      </c>
      <c r="I54" t="s">
        <v>69</v>
      </c>
      <c r="J54" t="s">
        <v>28</v>
      </c>
      <c r="K54">
        <f>IF(HR_Data4[[#This Row],[Phone]]="Missing",0,1)</f>
        <v>1</v>
      </c>
    </row>
    <row r="55" spans="1:11" x14ac:dyDescent="0.3">
      <c r="A55" t="s">
        <v>58</v>
      </c>
      <c r="B55">
        <v>35</v>
      </c>
      <c r="C55" s="6">
        <v>70000</v>
      </c>
      <c r="D55" t="s">
        <v>18</v>
      </c>
      <c r="E55" t="s">
        <v>30</v>
      </c>
      <c r="F55" t="s">
        <v>20</v>
      </c>
      <c r="G55" s="7">
        <v>43549</v>
      </c>
      <c r="H55" t="s">
        <v>31</v>
      </c>
      <c r="I55" t="s">
        <v>69</v>
      </c>
      <c r="J55" t="s">
        <v>28</v>
      </c>
      <c r="K55">
        <f>IF(HR_Data4[[#This Row],[Phone]]="Missing",0,1)</f>
        <v>1</v>
      </c>
    </row>
    <row r="56" spans="1:11" x14ac:dyDescent="0.3">
      <c r="A56" t="s">
        <v>53</v>
      </c>
      <c r="B56">
        <v>25</v>
      </c>
      <c r="C56" s="6">
        <v>60000</v>
      </c>
      <c r="D56" t="s">
        <v>11</v>
      </c>
      <c r="E56" t="s">
        <v>19</v>
      </c>
      <c r="F56" t="s">
        <v>13</v>
      </c>
      <c r="G56" s="7">
        <v>43549</v>
      </c>
      <c r="H56" t="s">
        <v>41</v>
      </c>
      <c r="I56" t="s">
        <v>69</v>
      </c>
      <c r="J56" t="s">
        <v>69</v>
      </c>
      <c r="K56">
        <f>IF(HR_Data4[[#This Row],[Phone]]="Missing",0,1)</f>
        <v>0</v>
      </c>
    </row>
    <row r="57" spans="1:11" x14ac:dyDescent="0.3">
      <c r="A57" t="s">
        <v>52</v>
      </c>
      <c r="B57">
        <v>35</v>
      </c>
      <c r="C57" s="6">
        <v>65000</v>
      </c>
      <c r="D57" t="s">
        <v>18</v>
      </c>
      <c r="E57" t="s">
        <v>26</v>
      </c>
      <c r="F57" t="s">
        <v>44</v>
      </c>
      <c r="G57" s="7">
        <v>43549</v>
      </c>
      <c r="H57" t="s">
        <v>31</v>
      </c>
      <c r="I57" t="s">
        <v>22</v>
      </c>
      <c r="J57" t="s">
        <v>23</v>
      </c>
      <c r="K57">
        <f>IF(HR_Data4[[#This Row],[Phone]]="Missing",0,1)</f>
        <v>1</v>
      </c>
    </row>
    <row r="58" spans="1:11" x14ac:dyDescent="0.3">
      <c r="A58" t="s">
        <v>58</v>
      </c>
      <c r="B58">
        <v>35</v>
      </c>
      <c r="C58" s="6">
        <v>70000</v>
      </c>
      <c r="D58" t="s">
        <v>18</v>
      </c>
      <c r="E58" t="s">
        <v>30</v>
      </c>
      <c r="F58" t="s">
        <v>44</v>
      </c>
      <c r="G58" s="7">
        <v>43881</v>
      </c>
      <c r="H58" t="s">
        <v>41</v>
      </c>
      <c r="I58" t="s">
        <v>15</v>
      </c>
      <c r="J58" t="s">
        <v>69</v>
      </c>
      <c r="K58">
        <f>IF(HR_Data4[[#This Row],[Phone]]="Missing",0,1)</f>
        <v>0</v>
      </c>
    </row>
    <row r="59" spans="1:11" x14ac:dyDescent="0.3">
      <c r="A59" t="s">
        <v>57</v>
      </c>
      <c r="B59">
        <v>36</v>
      </c>
      <c r="C59" s="6">
        <v>50000</v>
      </c>
      <c r="D59" t="s">
        <v>11</v>
      </c>
      <c r="E59" t="s">
        <v>37</v>
      </c>
      <c r="F59" t="s">
        <v>39</v>
      </c>
      <c r="G59" s="7">
        <v>43195</v>
      </c>
      <c r="H59" t="s">
        <v>14</v>
      </c>
      <c r="I59" t="s">
        <v>69</v>
      </c>
      <c r="J59" t="s">
        <v>28</v>
      </c>
      <c r="K59">
        <f>IF(HR_Data4[[#This Row],[Phone]]="Missing",0,1)</f>
        <v>1</v>
      </c>
    </row>
    <row r="60" spans="1:11" x14ac:dyDescent="0.3">
      <c r="A60" t="s">
        <v>57</v>
      </c>
      <c r="B60">
        <v>35</v>
      </c>
      <c r="C60" s="6">
        <v>50000</v>
      </c>
      <c r="D60" t="s">
        <v>11</v>
      </c>
      <c r="E60" t="s">
        <v>30</v>
      </c>
      <c r="F60" t="s">
        <v>20</v>
      </c>
      <c r="G60" s="7">
        <v>43195</v>
      </c>
      <c r="H60" t="s">
        <v>31</v>
      </c>
      <c r="I60" t="s">
        <v>15</v>
      </c>
      <c r="J60" t="s">
        <v>69</v>
      </c>
      <c r="K60">
        <f>IF(HR_Data4[[#This Row],[Phone]]="Missing",0,1)</f>
        <v>0</v>
      </c>
    </row>
    <row r="61" spans="1:11" x14ac:dyDescent="0.3">
      <c r="A61" t="s">
        <v>55</v>
      </c>
      <c r="B61">
        <v>35</v>
      </c>
      <c r="C61" s="6">
        <v>50000</v>
      </c>
      <c r="D61" t="s">
        <v>36</v>
      </c>
      <c r="E61" t="s">
        <v>19</v>
      </c>
      <c r="F61" t="s">
        <v>39</v>
      </c>
      <c r="G61" s="7">
        <v>43195</v>
      </c>
      <c r="H61" t="s">
        <v>14</v>
      </c>
      <c r="I61" t="s">
        <v>22</v>
      </c>
      <c r="J61" t="s">
        <v>69</v>
      </c>
      <c r="K61">
        <f>IF(HR_Data4[[#This Row],[Phone]]="Missing",0,1)</f>
        <v>0</v>
      </c>
    </row>
    <row r="62" spans="1:11" x14ac:dyDescent="0.3">
      <c r="A62" t="s">
        <v>52</v>
      </c>
      <c r="B62">
        <v>50</v>
      </c>
      <c r="C62" s="6">
        <v>50000</v>
      </c>
      <c r="D62" t="s">
        <v>18</v>
      </c>
      <c r="E62" t="s">
        <v>26</v>
      </c>
      <c r="F62" t="s">
        <v>44</v>
      </c>
      <c r="G62" s="7">
        <v>43195</v>
      </c>
      <c r="H62" t="s">
        <v>21</v>
      </c>
      <c r="I62" t="s">
        <v>22</v>
      </c>
      <c r="J62" t="s">
        <v>69</v>
      </c>
      <c r="K62">
        <f>IF(HR_Data4[[#This Row],[Phone]]="Missing",0,1)</f>
        <v>0</v>
      </c>
    </row>
    <row r="63" spans="1:11" x14ac:dyDescent="0.3">
      <c r="A63" t="s">
        <v>57</v>
      </c>
      <c r="B63">
        <v>25</v>
      </c>
      <c r="C63" s="6">
        <v>60000</v>
      </c>
      <c r="D63" t="s">
        <v>11</v>
      </c>
      <c r="E63" t="s">
        <v>19</v>
      </c>
      <c r="F63" t="s">
        <v>39</v>
      </c>
      <c r="G63" s="7">
        <v>43549</v>
      </c>
      <c r="H63" t="s">
        <v>14</v>
      </c>
      <c r="I63" t="s">
        <v>69</v>
      </c>
      <c r="J63" t="s">
        <v>28</v>
      </c>
      <c r="K63">
        <f>IF(HR_Data4[[#This Row],[Phone]]="Missing",0,1)</f>
        <v>1</v>
      </c>
    </row>
    <row r="64" spans="1:11" x14ac:dyDescent="0.3">
      <c r="A64" t="s">
        <v>58</v>
      </c>
      <c r="B64">
        <v>36</v>
      </c>
      <c r="C64" s="6">
        <v>65000</v>
      </c>
      <c r="D64" t="s">
        <v>36</v>
      </c>
      <c r="E64" t="s">
        <v>12</v>
      </c>
      <c r="F64" t="s">
        <v>20</v>
      </c>
      <c r="G64" s="7">
        <v>43845</v>
      </c>
      <c r="H64" t="s">
        <v>14</v>
      </c>
      <c r="I64" t="s">
        <v>69</v>
      </c>
      <c r="J64" t="s">
        <v>69</v>
      </c>
      <c r="K64">
        <f>IF(HR_Data4[[#This Row],[Phone]]="Missing",0,1)</f>
        <v>0</v>
      </c>
    </row>
    <row r="65" spans="1:11" x14ac:dyDescent="0.3">
      <c r="A65" t="s">
        <v>55</v>
      </c>
      <c r="B65">
        <v>50</v>
      </c>
      <c r="C65" s="6" t="s">
        <v>68</v>
      </c>
      <c r="D65" t="s">
        <v>36</v>
      </c>
      <c r="E65" t="s">
        <v>26</v>
      </c>
      <c r="F65" t="s">
        <v>20</v>
      </c>
      <c r="G65" s="7">
        <v>43549</v>
      </c>
      <c r="H65" t="s">
        <v>41</v>
      </c>
      <c r="I65" t="s">
        <v>32</v>
      </c>
      <c r="J65" t="s">
        <v>28</v>
      </c>
      <c r="K65">
        <f>IF(HR_Data4[[#This Row],[Phone]]="Missing",0,1)</f>
        <v>1</v>
      </c>
    </row>
    <row r="66" spans="1:11" x14ac:dyDescent="0.3">
      <c r="A66" t="s">
        <v>58</v>
      </c>
      <c r="B66">
        <v>40</v>
      </c>
      <c r="C66" s="6">
        <v>55000</v>
      </c>
      <c r="D66" t="s">
        <v>18</v>
      </c>
      <c r="E66" t="s">
        <v>19</v>
      </c>
      <c r="F66" t="s">
        <v>13</v>
      </c>
      <c r="G66" s="7">
        <v>43195</v>
      </c>
      <c r="H66" t="s">
        <v>21</v>
      </c>
      <c r="I66" t="s">
        <v>22</v>
      </c>
      <c r="J66" t="s">
        <v>45</v>
      </c>
      <c r="K66">
        <f>IF(HR_Data4[[#This Row],[Phone]]="Missing",0,1)</f>
        <v>1</v>
      </c>
    </row>
    <row r="67" spans="1:11" x14ac:dyDescent="0.3">
      <c r="A67" t="s">
        <v>55</v>
      </c>
      <c r="B67">
        <v>25</v>
      </c>
      <c r="C67" s="6">
        <v>60000</v>
      </c>
      <c r="D67" t="s">
        <v>18</v>
      </c>
      <c r="E67" t="s">
        <v>37</v>
      </c>
      <c r="F67" t="s">
        <v>43</v>
      </c>
      <c r="G67" s="7">
        <v>43549</v>
      </c>
      <c r="H67" t="s">
        <v>14</v>
      </c>
      <c r="I67" t="s">
        <v>69</v>
      </c>
      <c r="J67" t="s">
        <v>45</v>
      </c>
      <c r="K67">
        <f>IF(HR_Data4[[#This Row],[Phone]]="Missing",0,1)</f>
        <v>1</v>
      </c>
    </row>
    <row r="68" spans="1:11" x14ac:dyDescent="0.3">
      <c r="A68" t="s">
        <v>52</v>
      </c>
      <c r="B68">
        <v>25</v>
      </c>
      <c r="C68" s="6">
        <v>60000</v>
      </c>
      <c r="D68" t="s">
        <v>36</v>
      </c>
      <c r="E68" t="s">
        <v>26</v>
      </c>
      <c r="F68" t="s">
        <v>13</v>
      </c>
      <c r="G68" s="7">
        <v>43195</v>
      </c>
      <c r="H68" t="s">
        <v>14</v>
      </c>
      <c r="I68" t="s">
        <v>15</v>
      </c>
      <c r="J68" t="s">
        <v>45</v>
      </c>
      <c r="K68">
        <f>IF(HR_Data4[[#This Row],[Phone]]="Missing",0,1)</f>
        <v>1</v>
      </c>
    </row>
    <row r="69" spans="1:11" x14ac:dyDescent="0.3">
      <c r="A69" t="s">
        <v>53</v>
      </c>
      <c r="B69">
        <v>40</v>
      </c>
      <c r="C69" s="6" t="s">
        <v>68</v>
      </c>
      <c r="D69" t="s">
        <v>11</v>
      </c>
      <c r="E69" t="s">
        <v>26</v>
      </c>
      <c r="F69" t="s">
        <v>20</v>
      </c>
      <c r="G69" s="7">
        <v>43800</v>
      </c>
      <c r="H69" t="s">
        <v>21</v>
      </c>
      <c r="I69" t="s">
        <v>69</v>
      </c>
      <c r="J69" t="s">
        <v>69</v>
      </c>
      <c r="K69">
        <f>IF(HR_Data4[[#This Row],[Phone]]="Missing",0,1)</f>
        <v>0</v>
      </c>
    </row>
    <row r="70" spans="1:11" x14ac:dyDescent="0.3">
      <c r="A70" t="s">
        <v>51</v>
      </c>
      <c r="B70">
        <v>35</v>
      </c>
      <c r="C70" s="6" t="s">
        <v>68</v>
      </c>
      <c r="D70" t="s">
        <v>36</v>
      </c>
      <c r="E70" t="s">
        <v>30</v>
      </c>
      <c r="F70" t="s">
        <v>44</v>
      </c>
      <c r="G70" s="7">
        <v>43845</v>
      </c>
      <c r="H70" t="s">
        <v>21</v>
      </c>
      <c r="I70" t="s">
        <v>15</v>
      </c>
      <c r="J70" t="s">
        <v>45</v>
      </c>
      <c r="K70">
        <f>IF(HR_Data4[[#This Row],[Phone]]="Missing",0,1)</f>
        <v>1</v>
      </c>
    </row>
    <row r="71" spans="1:11" x14ac:dyDescent="0.3">
      <c r="A71" t="s">
        <v>60</v>
      </c>
      <c r="B71">
        <v>50</v>
      </c>
      <c r="C71" s="6">
        <v>55000</v>
      </c>
      <c r="D71" t="s">
        <v>18</v>
      </c>
      <c r="E71" t="s">
        <v>37</v>
      </c>
      <c r="F71" t="s">
        <v>44</v>
      </c>
      <c r="G71" s="7">
        <v>43800</v>
      </c>
      <c r="H71" t="s">
        <v>31</v>
      </c>
      <c r="I71" t="s">
        <v>22</v>
      </c>
      <c r="J71" t="s">
        <v>69</v>
      </c>
      <c r="K71">
        <f>IF(HR_Data4[[#This Row],[Phone]]="Missing",0,1)</f>
        <v>0</v>
      </c>
    </row>
    <row r="72" spans="1:11" x14ac:dyDescent="0.3">
      <c r="A72" t="s">
        <v>53</v>
      </c>
      <c r="B72">
        <v>30</v>
      </c>
      <c r="C72" s="6">
        <v>55000</v>
      </c>
      <c r="D72" t="s">
        <v>11</v>
      </c>
      <c r="E72" t="s">
        <v>12</v>
      </c>
      <c r="F72" t="s">
        <v>13</v>
      </c>
      <c r="G72" s="7">
        <v>43881</v>
      </c>
      <c r="H72" t="s">
        <v>41</v>
      </c>
      <c r="I72" t="s">
        <v>22</v>
      </c>
      <c r="J72" t="s">
        <v>69</v>
      </c>
      <c r="K72">
        <f>IF(HR_Data4[[#This Row],[Phone]]="Missing",0,1)</f>
        <v>0</v>
      </c>
    </row>
    <row r="73" spans="1:11" x14ac:dyDescent="0.3">
      <c r="A73" t="s">
        <v>54</v>
      </c>
      <c r="B73">
        <v>36</v>
      </c>
      <c r="C73" s="6" t="s">
        <v>68</v>
      </c>
      <c r="D73" t="s">
        <v>11</v>
      </c>
      <c r="E73" t="s">
        <v>19</v>
      </c>
      <c r="F73" t="s">
        <v>20</v>
      </c>
      <c r="G73" s="7">
        <v>43549</v>
      </c>
      <c r="H73" t="s">
        <v>21</v>
      </c>
      <c r="I73" t="s">
        <v>15</v>
      </c>
      <c r="J73" t="s">
        <v>69</v>
      </c>
      <c r="K73">
        <f>IF(HR_Data4[[#This Row],[Phone]]="Missing",0,1)</f>
        <v>0</v>
      </c>
    </row>
    <row r="74" spans="1:11" x14ac:dyDescent="0.3">
      <c r="A74" t="s">
        <v>58</v>
      </c>
      <c r="B74">
        <v>30</v>
      </c>
      <c r="C74" s="6">
        <v>50000</v>
      </c>
      <c r="D74" t="s">
        <v>36</v>
      </c>
      <c r="E74" t="s">
        <v>30</v>
      </c>
      <c r="F74" t="s">
        <v>44</v>
      </c>
      <c r="G74" s="7">
        <v>43881</v>
      </c>
      <c r="H74" t="s">
        <v>21</v>
      </c>
      <c r="I74" t="s">
        <v>22</v>
      </c>
      <c r="J74" t="s">
        <v>28</v>
      </c>
      <c r="K74">
        <f>IF(HR_Data4[[#This Row],[Phone]]="Missing",0,1)</f>
        <v>1</v>
      </c>
    </row>
    <row r="75" spans="1:11" x14ac:dyDescent="0.3">
      <c r="A75" t="s">
        <v>54</v>
      </c>
      <c r="B75">
        <v>40</v>
      </c>
      <c r="C75" s="6">
        <v>60000</v>
      </c>
      <c r="D75" t="s">
        <v>18</v>
      </c>
      <c r="E75" t="s">
        <v>19</v>
      </c>
      <c r="F75" t="s">
        <v>20</v>
      </c>
      <c r="G75" s="7">
        <v>43549</v>
      </c>
      <c r="H75" t="s">
        <v>27</v>
      </c>
      <c r="I75" t="s">
        <v>69</v>
      </c>
      <c r="J75" t="s">
        <v>23</v>
      </c>
      <c r="K75">
        <f>IF(HR_Data4[[#This Row],[Phone]]="Missing",0,1)</f>
        <v>1</v>
      </c>
    </row>
    <row r="76" spans="1:11" x14ac:dyDescent="0.3">
      <c r="A76" t="s">
        <v>53</v>
      </c>
      <c r="B76">
        <v>25</v>
      </c>
      <c r="C76" s="6">
        <v>70000</v>
      </c>
      <c r="D76" t="s">
        <v>36</v>
      </c>
      <c r="E76" t="s">
        <v>12</v>
      </c>
      <c r="F76" t="s">
        <v>44</v>
      </c>
      <c r="G76" s="7">
        <v>43800</v>
      </c>
      <c r="H76" t="s">
        <v>21</v>
      </c>
      <c r="I76" t="s">
        <v>22</v>
      </c>
      <c r="J76" t="s">
        <v>28</v>
      </c>
      <c r="K76">
        <f>IF(HR_Data4[[#This Row],[Phone]]="Missing",0,1)</f>
        <v>1</v>
      </c>
    </row>
    <row r="77" spans="1:11" x14ac:dyDescent="0.3">
      <c r="A77" t="s">
        <v>55</v>
      </c>
      <c r="B77">
        <v>25</v>
      </c>
      <c r="C77" s="6">
        <v>55000</v>
      </c>
      <c r="D77" t="s">
        <v>36</v>
      </c>
      <c r="E77" t="s">
        <v>12</v>
      </c>
      <c r="F77" t="s">
        <v>20</v>
      </c>
      <c r="G77" s="7">
        <v>43195</v>
      </c>
      <c r="H77" t="s">
        <v>41</v>
      </c>
      <c r="I77" t="s">
        <v>69</v>
      </c>
      <c r="J77" t="s">
        <v>28</v>
      </c>
      <c r="K77">
        <f>IF(HR_Data4[[#This Row],[Phone]]="Missing",0,1)</f>
        <v>1</v>
      </c>
    </row>
    <row r="78" spans="1:11" x14ac:dyDescent="0.3">
      <c r="A78" t="s">
        <v>60</v>
      </c>
      <c r="B78">
        <v>36</v>
      </c>
      <c r="C78" s="6">
        <v>55000</v>
      </c>
      <c r="D78" t="s">
        <v>36</v>
      </c>
      <c r="E78" t="s">
        <v>26</v>
      </c>
      <c r="F78" t="s">
        <v>39</v>
      </c>
      <c r="G78" s="7">
        <v>43195</v>
      </c>
      <c r="H78" t="s">
        <v>14</v>
      </c>
      <c r="I78" t="s">
        <v>69</v>
      </c>
      <c r="J78" t="s">
        <v>28</v>
      </c>
      <c r="K78">
        <f>IF(HR_Data4[[#This Row],[Phone]]="Missing",0,1)</f>
        <v>1</v>
      </c>
    </row>
    <row r="79" spans="1:11" x14ac:dyDescent="0.3">
      <c r="A79" t="s">
        <v>60</v>
      </c>
      <c r="B79">
        <v>25</v>
      </c>
      <c r="C79" s="6" t="s">
        <v>68</v>
      </c>
      <c r="D79" t="s">
        <v>11</v>
      </c>
      <c r="E79" t="s">
        <v>12</v>
      </c>
      <c r="F79" t="s">
        <v>20</v>
      </c>
      <c r="G79" s="7">
        <v>43549</v>
      </c>
      <c r="H79" t="s">
        <v>14</v>
      </c>
      <c r="I79" t="s">
        <v>32</v>
      </c>
      <c r="J79" t="s">
        <v>28</v>
      </c>
      <c r="K79">
        <f>IF(HR_Data4[[#This Row],[Phone]]="Missing",0,1)</f>
        <v>1</v>
      </c>
    </row>
    <row r="80" spans="1:11" x14ac:dyDescent="0.3">
      <c r="A80" t="s">
        <v>59</v>
      </c>
      <c r="B80">
        <v>25</v>
      </c>
      <c r="C80" s="6">
        <v>65000</v>
      </c>
      <c r="D80" t="s">
        <v>11</v>
      </c>
      <c r="E80" t="s">
        <v>19</v>
      </c>
      <c r="F80" t="s">
        <v>20</v>
      </c>
      <c r="G80" s="7">
        <v>43195</v>
      </c>
      <c r="H80" t="s">
        <v>14</v>
      </c>
      <c r="I80" t="s">
        <v>22</v>
      </c>
      <c r="J80" t="s">
        <v>23</v>
      </c>
      <c r="K80">
        <f>IF(HR_Data4[[#This Row],[Phone]]="Missing",0,1)</f>
        <v>1</v>
      </c>
    </row>
    <row r="81" spans="1:11" x14ac:dyDescent="0.3">
      <c r="A81" t="s">
        <v>60</v>
      </c>
      <c r="B81">
        <v>36</v>
      </c>
      <c r="C81" s="6">
        <v>70000</v>
      </c>
      <c r="D81" t="s">
        <v>18</v>
      </c>
      <c r="E81" t="s">
        <v>37</v>
      </c>
      <c r="F81" t="s">
        <v>13</v>
      </c>
      <c r="G81" s="7">
        <v>43800</v>
      </c>
      <c r="H81" t="s">
        <v>14</v>
      </c>
      <c r="I81" t="s">
        <v>22</v>
      </c>
      <c r="J81" t="s">
        <v>45</v>
      </c>
      <c r="K81">
        <f>IF(HR_Data4[[#This Row],[Phone]]="Missing",0,1)</f>
        <v>1</v>
      </c>
    </row>
    <row r="82" spans="1:11" x14ac:dyDescent="0.3">
      <c r="A82" t="s">
        <v>51</v>
      </c>
      <c r="B82">
        <v>50</v>
      </c>
      <c r="C82" s="6">
        <v>70000</v>
      </c>
      <c r="D82" t="s">
        <v>18</v>
      </c>
      <c r="E82" t="s">
        <v>37</v>
      </c>
      <c r="F82" t="s">
        <v>39</v>
      </c>
      <c r="G82" s="7">
        <v>43195</v>
      </c>
      <c r="H82" t="s">
        <v>27</v>
      </c>
      <c r="I82" t="s">
        <v>69</v>
      </c>
      <c r="J82" t="s">
        <v>28</v>
      </c>
      <c r="K82">
        <f>IF(HR_Data4[[#This Row],[Phone]]="Missing",0,1)</f>
        <v>1</v>
      </c>
    </row>
    <row r="83" spans="1:11" x14ac:dyDescent="0.3">
      <c r="A83" t="s">
        <v>60</v>
      </c>
      <c r="B83">
        <v>50</v>
      </c>
      <c r="C83" s="6">
        <v>55000</v>
      </c>
      <c r="D83" t="s">
        <v>36</v>
      </c>
      <c r="E83" t="s">
        <v>26</v>
      </c>
      <c r="F83" t="s">
        <v>43</v>
      </c>
      <c r="G83" s="7">
        <v>43800</v>
      </c>
      <c r="H83" t="s">
        <v>21</v>
      </c>
      <c r="I83" t="s">
        <v>69</v>
      </c>
      <c r="J83" t="s">
        <v>69</v>
      </c>
      <c r="K83">
        <f>IF(HR_Data4[[#This Row],[Phone]]="Missing",0,1)</f>
        <v>0</v>
      </c>
    </row>
    <row r="84" spans="1:11" x14ac:dyDescent="0.3">
      <c r="A84" t="s">
        <v>53</v>
      </c>
      <c r="B84">
        <v>36</v>
      </c>
      <c r="C84" s="6">
        <v>50000</v>
      </c>
      <c r="D84" t="s">
        <v>36</v>
      </c>
      <c r="E84" t="s">
        <v>19</v>
      </c>
      <c r="F84" t="s">
        <v>13</v>
      </c>
      <c r="G84" s="7">
        <v>43881</v>
      </c>
      <c r="H84" t="s">
        <v>14</v>
      </c>
      <c r="I84" t="s">
        <v>15</v>
      </c>
      <c r="J84" t="s">
        <v>69</v>
      </c>
      <c r="K84">
        <f>IF(HR_Data4[[#This Row],[Phone]]="Missing",0,1)</f>
        <v>0</v>
      </c>
    </row>
    <row r="85" spans="1:11" x14ac:dyDescent="0.3">
      <c r="A85" t="s">
        <v>59</v>
      </c>
      <c r="B85">
        <v>40</v>
      </c>
      <c r="C85" s="6">
        <v>65000</v>
      </c>
      <c r="D85" t="s">
        <v>36</v>
      </c>
      <c r="E85" t="s">
        <v>19</v>
      </c>
      <c r="F85" t="s">
        <v>43</v>
      </c>
      <c r="G85" s="7">
        <v>43800</v>
      </c>
      <c r="H85" t="s">
        <v>31</v>
      </c>
      <c r="I85" t="s">
        <v>15</v>
      </c>
      <c r="J85" t="s">
        <v>69</v>
      </c>
      <c r="K85">
        <f>IF(HR_Data4[[#This Row],[Phone]]="Missing",0,1)</f>
        <v>0</v>
      </c>
    </row>
    <row r="86" spans="1:11" x14ac:dyDescent="0.3">
      <c r="A86" t="s">
        <v>53</v>
      </c>
      <c r="B86">
        <v>25</v>
      </c>
      <c r="C86" s="6">
        <v>70000</v>
      </c>
      <c r="D86" t="s">
        <v>18</v>
      </c>
      <c r="E86" t="s">
        <v>12</v>
      </c>
      <c r="F86" t="s">
        <v>44</v>
      </c>
      <c r="G86" s="7">
        <v>43845</v>
      </c>
      <c r="H86" t="s">
        <v>14</v>
      </c>
      <c r="I86" t="s">
        <v>15</v>
      </c>
      <c r="J86" t="s">
        <v>69</v>
      </c>
      <c r="K86">
        <f>IF(HR_Data4[[#This Row],[Phone]]="Missing",0,1)</f>
        <v>0</v>
      </c>
    </row>
    <row r="87" spans="1:11" x14ac:dyDescent="0.3">
      <c r="A87" t="s">
        <v>53</v>
      </c>
      <c r="B87">
        <v>25</v>
      </c>
      <c r="C87" s="6">
        <v>55000</v>
      </c>
      <c r="D87" t="s">
        <v>11</v>
      </c>
      <c r="E87" t="s">
        <v>19</v>
      </c>
      <c r="F87" t="s">
        <v>43</v>
      </c>
      <c r="G87" s="7">
        <v>43845</v>
      </c>
      <c r="H87" t="s">
        <v>21</v>
      </c>
      <c r="I87" t="s">
        <v>69</v>
      </c>
      <c r="J87" t="s">
        <v>28</v>
      </c>
      <c r="K87">
        <f>IF(HR_Data4[[#This Row],[Phone]]="Missing",0,1)</f>
        <v>1</v>
      </c>
    </row>
    <row r="88" spans="1:11" x14ac:dyDescent="0.3">
      <c r="A88" t="s">
        <v>56</v>
      </c>
      <c r="B88">
        <v>40</v>
      </c>
      <c r="C88" s="6">
        <v>70000</v>
      </c>
      <c r="D88" t="s">
        <v>11</v>
      </c>
      <c r="E88" t="s">
        <v>30</v>
      </c>
      <c r="F88" t="s">
        <v>20</v>
      </c>
      <c r="G88" s="7">
        <v>43845</v>
      </c>
      <c r="H88" t="s">
        <v>14</v>
      </c>
      <c r="I88" t="s">
        <v>15</v>
      </c>
      <c r="J88" t="s">
        <v>23</v>
      </c>
      <c r="K88">
        <f>IF(HR_Data4[[#This Row],[Phone]]="Missing",0,1)</f>
        <v>1</v>
      </c>
    </row>
    <row r="89" spans="1:11" x14ac:dyDescent="0.3">
      <c r="A89" t="s">
        <v>59</v>
      </c>
      <c r="B89">
        <v>50</v>
      </c>
      <c r="C89" s="6">
        <v>65000</v>
      </c>
      <c r="D89" t="s">
        <v>36</v>
      </c>
      <c r="E89" t="s">
        <v>12</v>
      </c>
      <c r="F89" t="s">
        <v>43</v>
      </c>
      <c r="G89" s="7">
        <v>43549</v>
      </c>
      <c r="H89" t="s">
        <v>27</v>
      </c>
      <c r="I89" t="s">
        <v>15</v>
      </c>
      <c r="J89" t="s">
        <v>45</v>
      </c>
      <c r="K89">
        <f>IF(HR_Data4[[#This Row],[Phone]]="Missing",0,1)</f>
        <v>1</v>
      </c>
    </row>
    <row r="90" spans="1:11" x14ac:dyDescent="0.3">
      <c r="A90" t="s">
        <v>53</v>
      </c>
      <c r="B90">
        <v>35</v>
      </c>
      <c r="C90" s="6">
        <v>65000</v>
      </c>
      <c r="D90" t="s">
        <v>36</v>
      </c>
      <c r="E90" t="s">
        <v>30</v>
      </c>
      <c r="F90" t="s">
        <v>13</v>
      </c>
      <c r="G90" s="7">
        <v>43549</v>
      </c>
      <c r="H90" t="s">
        <v>41</v>
      </c>
      <c r="I90" t="s">
        <v>32</v>
      </c>
      <c r="J90" t="s">
        <v>69</v>
      </c>
      <c r="K90">
        <f>IF(HR_Data4[[#This Row],[Phone]]="Missing",0,1)</f>
        <v>0</v>
      </c>
    </row>
    <row r="91" spans="1:11" x14ac:dyDescent="0.3">
      <c r="A91" t="s">
        <v>56</v>
      </c>
      <c r="B91">
        <v>35</v>
      </c>
      <c r="C91" s="6">
        <v>60000</v>
      </c>
      <c r="D91" t="s">
        <v>36</v>
      </c>
      <c r="E91" t="s">
        <v>26</v>
      </c>
      <c r="F91" t="s">
        <v>13</v>
      </c>
      <c r="G91" s="7">
        <v>43549</v>
      </c>
      <c r="H91" t="s">
        <v>41</v>
      </c>
      <c r="I91" t="s">
        <v>15</v>
      </c>
      <c r="J91" t="s">
        <v>45</v>
      </c>
      <c r="K91">
        <f>IF(HR_Data4[[#This Row],[Phone]]="Missing",0,1)</f>
        <v>1</v>
      </c>
    </row>
    <row r="92" spans="1:11" x14ac:dyDescent="0.3">
      <c r="A92" t="s">
        <v>56</v>
      </c>
      <c r="B92">
        <v>35</v>
      </c>
      <c r="C92" s="6" t="s">
        <v>68</v>
      </c>
      <c r="D92" t="s">
        <v>36</v>
      </c>
      <c r="E92" t="s">
        <v>37</v>
      </c>
      <c r="F92" t="s">
        <v>43</v>
      </c>
      <c r="G92" s="7">
        <v>43800</v>
      </c>
      <c r="H92" t="s">
        <v>21</v>
      </c>
      <c r="I92" t="s">
        <v>22</v>
      </c>
      <c r="J92" t="s">
        <v>23</v>
      </c>
      <c r="K92">
        <f>IF(HR_Data4[[#This Row],[Phone]]="Missing",0,1)</f>
        <v>1</v>
      </c>
    </row>
    <row r="93" spans="1:11" x14ac:dyDescent="0.3">
      <c r="A93" t="s">
        <v>59</v>
      </c>
      <c r="B93">
        <v>50</v>
      </c>
      <c r="C93" s="6" t="s">
        <v>68</v>
      </c>
      <c r="D93" t="s">
        <v>18</v>
      </c>
      <c r="E93" t="s">
        <v>26</v>
      </c>
      <c r="F93" t="s">
        <v>13</v>
      </c>
      <c r="G93" s="7">
        <v>43549</v>
      </c>
      <c r="H93" t="s">
        <v>41</v>
      </c>
      <c r="I93" t="s">
        <v>69</v>
      </c>
      <c r="J93" t="s">
        <v>69</v>
      </c>
      <c r="K93">
        <f>IF(HR_Data4[[#This Row],[Phone]]="Missing",0,1)</f>
        <v>0</v>
      </c>
    </row>
    <row r="94" spans="1:11" x14ac:dyDescent="0.3">
      <c r="A94" t="s">
        <v>54</v>
      </c>
      <c r="B94">
        <v>50</v>
      </c>
      <c r="C94" s="6">
        <v>55000</v>
      </c>
      <c r="D94" t="s">
        <v>11</v>
      </c>
      <c r="E94" t="s">
        <v>37</v>
      </c>
      <c r="F94" t="s">
        <v>13</v>
      </c>
      <c r="G94" s="7">
        <v>43881</v>
      </c>
      <c r="H94" t="s">
        <v>41</v>
      </c>
      <c r="I94" t="s">
        <v>69</v>
      </c>
      <c r="J94" t="s">
        <v>45</v>
      </c>
      <c r="K94">
        <f>IF(HR_Data4[[#This Row],[Phone]]="Missing",0,1)</f>
        <v>1</v>
      </c>
    </row>
    <row r="95" spans="1:11" x14ac:dyDescent="0.3">
      <c r="A95" t="s">
        <v>55</v>
      </c>
      <c r="B95">
        <v>40</v>
      </c>
      <c r="C95" s="6">
        <v>65000</v>
      </c>
      <c r="D95" t="s">
        <v>36</v>
      </c>
      <c r="E95" t="s">
        <v>26</v>
      </c>
      <c r="F95" t="s">
        <v>43</v>
      </c>
      <c r="G95" s="7">
        <v>43845</v>
      </c>
      <c r="H95" t="s">
        <v>31</v>
      </c>
      <c r="I95" t="s">
        <v>32</v>
      </c>
      <c r="J95" t="s">
        <v>23</v>
      </c>
      <c r="K95">
        <f>IF(HR_Data4[[#This Row],[Phone]]="Missing",0,1)</f>
        <v>1</v>
      </c>
    </row>
    <row r="96" spans="1:11" x14ac:dyDescent="0.3">
      <c r="A96" t="s">
        <v>51</v>
      </c>
      <c r="B96">
        <v>25</v>
      </c>
      <c r="C96" s="6">
        <v>60000</v>
      </c>
      <c r="D96" t="s">
        <v>18</v>
      </c>
      <c r="E96" t="s">
        <v>19</v>
      </c>
      <c r="F96" t="s">
        <v>39</v>
      </c>
      <c r="G96" s="7">
        <v>43800</v>
      </c>
      <c r="H96" t="s">
        <v>21</v>
      </c>
      <c r="I96" t="s">
        <v>69</v>
      </c>
      <c r="J96" t="s">
        <v>45</v>
      </c>
      <c r="K96">
        <f>IF(HR_Data4[[#This Row],[Phone]]="Missing",0,1)</f>
        <v>1</v>
      </c>
    </row>
    <row r="97" spans="1:11" x14ac:dyDescent="0.3">
      <c r="A97" t="s">
        <v>55</v>
      </c>
      <c r="B97">
        <v>40</v>
      </c>
      <c r="C97" s="6">
        <v>60000</v>
      </c>
      <c r="D97" t="s">
        <v>36</v>
      </c>
      <c r="E97" t="s">
        <v>30</v>
      </c>
      <c r="F97" t="s">
        <v>39</v>
      </c>
      <c r="G97" s="7">
        <v>43845</v>
      </c>
      <c r="H97" t="s">
        <v>21</v>
      </c>
      <c r="I97" t="s">
        <v>69</v>
      </c>
      <c r="J97" t="s">
        <v>28</v>
      </c>
      <c r="K97">
        <f>IF(HR_Data4[[#This Row],[Phone]]="Missing",0,1)</f>
        <v>1</v>
      </c>
    </row>
    <row r="98" spans="1:11" x14ac:dyDescent="0.3">
      <c r="A98" t="s">
        <v>60</v>
      </c>
      <c r="B98">
        <v>40</v>
      </c>
      <c r="C98" s="6">
        <v>70000</v>
      </c>
      <c r="D98" t="s">
        <v>36</v>
      </c>
      <c r="E98" t="s">
        <v>37</v>
      </c>
      <c r="F98" t="s">
        <v>44</v>
      </c>
      <c r="G98" s="7">
        <v>43549</v>
      </c>
      <c r="H98" t="s">
        <v>41</v>
      </c>
      <c r="I98" t="s">
        <v>22</v>
      </c>
      <c r="J98" t="s">
        <v>23</v>
      </c>
      <c r="K98">
        <f>IF(HR_Data4[[#This Row],[Phone]]="Missing",0,1)</f>
        <v>1</v>
      </c>
    </row>
    <row r="99" spans="1:11" x14ac:dyDescent="0.3">
      <c r="A99" t="s">
        <v>51</v>
      </c>
      <c r="B99">
        <v>50</v>
      </c>
      <c r="C99" s="6">
        <v>70000</v>
      </c>
      <c r="D99" t="s">
        <v>11</v>
      </c>
      <c r="E99" t="s">
        <v>12</v>
      </c>
      <c r="F99" t="s">
        <v>13</v>
      </c>
      <c r="G99" s="7">
        <v>43800</v>
      </c>
      <c r="H99" t="s">
        <v>41</v>
      </c>
      <c r="I99" t="s">
        <v>15</v>
      </c>
      <c r="J99" t="s">
        <v>45</v>
      </c>
      <c r="K99">
        <f>IF(HR_Data4[[#This Row],[Phone]]="Missing",0,1)</f>
        <v>1</v>
      </c>
    </row>
    <row r="100" spans="1:11" x14ac:dyDescent="0.3">
      <c r="A100" t="s">
        <v>60</v>
      </c>
      <c r="B100">
        <v>35</v>
      </c>
      <c r="C100" s="6">
        <v>60000</v>
      </c>
      <c r="D100" t="s">
        <v>36</v>
      </c>
      <c r="E100" t="s">
        <v>30</v>
      </c>
      <c r="F100" t="s">
        <v>43</v>
      </c>
      <c r="G100" s="7">
        <v>43195</v>
      </c>
      <c r="H100" t="s">
        <v>41</v>
      </c>
      <c r="I100" t="s">
        <v>22</v>
      </c>
      <c r="J100" t="s">
        <v>28</v>
      </c>
      <c r="K100">
        <f>IF(HR_Data4[[#This Row],[Phone]]="Missing",0,1)</f>
        <v>1</v>
      </c>
    </row>
    <row r="101" spans="1:11" x14ac:dyDescent="0.3">
      <c r="A101" t="s">
        <v>53</v>
      </c>
      <c r="B101">
        <v>30</v>
      </c>
      <c r="C101" s="6">
        <v>70000</v>
      </c>
      <c r="D101" t="s">
        <v>11</v>
      </c>
      <c r="E101" t="s">
        <v>12</v>
      </c>
      <c r="F101" t="s">
        <v>13</v>
      </c>
      <c r="G101" s="7">
        <v>43881</v>
      </c>
      <c r="H101" t="s">
        <v>27</v>
      </c>
      <c r="I101" t="s">
        <v>15</v>
      </c>
      <c r="J101" t="s">
        <v>28</v>
      </c>
      <c r="K101">
        <f>IF(HR_Data4[[#This Row],[Phone]]="Missing",0,1)</f>
        <v>1</v>
      </c>
    </row>
    <row r="102" spans="1:11" x14ac:dyDescent="0.3">
      <c r="A102" t="s">
        <v>58</v>
      </c>
      <c r="B102">
        <v>25</v>
      </c>
      <c r="C102" s="6">
        <v>65000</v>
      </c>
      <c r="D102" t="s">
        <v>11</v>
      </c>
      <c r="E102" t="s">
        <v>30</v>
      </c>
      <c r="F102" t="s">
        <v>20</v>
      </c>
      <c r="G102" s="7">
        <v>43549</v>
      </c>
      <c r="H102" t="s">
        <v>14</v>
      </c>
      <c r="I102" t="s">
        <v>15</v>
      </c>
      <c r="J102" t="s">
        <v>23</v>
      </c>
      <c r="K102">
        <f>IF(HR_Data4[[#This Row],[Phone]]="Missing",0,1)</f>
        <v>1</v>
      </c>
    </row>
    <row r="103" spans="1:11" x14ac:dyDescent="0.3">
      <c r="A103" t="s">
        <v>59</v>
      </c>
      <c r="B103">
        <v>50</v>
      </c>
      <c r="C103" s="6">
        <v>50000</v>
      </c>
      <c r="D103" t="s">
        <v>11</v>
      </c>
      <c r="E103" t="s">
        <v>30</v>
      </c>
      <c r="F103" t="s">
        <v>13</v>
      </c>
      <c r="G103" s="7">
        <v>43549</v>
      </c>
      <c r="H103" t="s">
        <v>27</v>
      </c>
      <c r="I103" t="s">
        <v>69</v>
      </c>
      <c r="J103" t="s">
        <v>69</v>
      </c>
      <c r="K103">
        <f>IF(HR_Data4[[#This Row],[Phone]]="Missing",0,1)</f>
        <v>0</v>
      </c>
    </row>
    <row r="104" spans="1:11" x14ac:dyDescent="0.3">
      <c r="A104" t="s">
        <v>51</v>
      </c>
      <c r="B104">
        <v>35</v>
      </c>
      <c r="C104" s="6">
        <v>65000</v>
      </c>
      <c r="D104" t="s">
        <v>18</v>
      </c>
      <c r="E104" t="s">
        <v>26</v>
      </c>
      <c r="F104" t="s">
        <v>13</v>
      </c>
      <c r="G104" s="7">
        <v>43881</v>
      </c>
      <c r="H104" t="s">
        <v>21</v>
      </c>
      <c r="I104" t="s">
        <v>15</v>
      </c>
      <c r="J104" t="s">
        <v>69</v>
      </c>
      <c r="K104">
        <f>IF(HR_Data4[[#This Row],[Phone]]="Missing",0,1)</f>
        <v>0</v>
      </c>
    </row>
    <row r="105" spans="1:11" x14ac:dyDescent="0.3">
      <c r="A105" t="s">
        <v>51</v>
      </c>
      <c r="B105">
        <v>30</v>
      </c>
      <c r="C105" s="6">
        <v>60000</v>
      </c>
      <c r="D105" t="s">
        <v>18</v>
      </c>
      <c r="E105" t="s">
        <v>37</v>
      </c>
      <c r="F105" t="s">
        <v>39</v>
      </c>
      <c r="G105" s="7">
        <v>43881</v>
      </c>
      <c r="H105" t="s">
        <v>31</v>
      </c>
      <c r="I105" t="s">
        <v>32</v>
      </c>
      <c r="J105" t="s">
        <v>23</v>
      </c>
      <c r="K105">
        <f>IF(HR_Data4[[#This Row],[Phone]]="Missing",0,1)</f>
        <v>1</v>
      </c>
    </row>
    <row r="106" spans="1:11" x14ac:dyDescent="0.3">
      <c r="A106" t="s">
        <v>53</v>
      </c>
      <c r="B106">
        <v>30</v>
      </c>
      <c r="C106" s="6">
        <v>60000</v>
      </c>
      <c r="D106" t="s">
        <v>11</v>
      </c>
      <c r="E106" t="s">
        <v>37</v>
      </c>
      <c r="F106" t="s">
        <v>43</v>
      </c>
      <c r="G106" s="7">
        <v>43195</v>
      </c>
      <c r="H106" t="s">
        <v>14</v>
      </c>
      <c r="I106" t="s">
        <v>32</v>
      </c>
      <c r="J106" t="s">
        <v>28</v>
      </c>
      <c r="K106">
        <f>IF(HR_Data4[[#This Row],[Phone]]="Missing",0,1)</f>
        <v>1</v>
      </c>
    </row>
    <row r="107" spans="1:11" x14ac:dyDescent="0.3">
      <c r="A107" t="s">
        <v>54</v>
      </c>
      <c r="B107">
        <v>50</v>
      </c>
      <c r="C107" s="6">
        <v>65000</v>
      </c>
      <c r="D107" t="s">
        <v>36</v>
      </c>
      <c r="E107" t="s">
        <v>30</v>
      </c>
      <c r="F107" t="s">
        <v>13</v>
      </c>
      <c r="G107" s="7">
        <v>43549</v>
      </c>
      <c r="H107" t="s">
        <v>31</v>
      </c>
      <c r="I107" t="s">
        <v>32</v>
      </c>
      <c r="J107" t="s">
        <v>28</v>
      </c>
      <c r="K107">
        <f>IF(HR_Data4[[#This Row],[Phone]]="Missing",0,1)</f>
        <v>1</v>
      </c>
    </row>
    <row r="108" spans="1:11" x14ac:dyDescent="0.3">
      <c r="A108" t="s">
        <v>56</v>
      </c>
      <c r="B108">
        <v>36</v>
      </c>
      <c r="C108" s="6">
        <v>70000</v>
      </c>
      <c r="D108" t="s">
        <v>11</v>
      </c>
      <c r="E108" t="s">
        <v>19</v>
      </c>
      <c r="F108" t="s">
        <v>39</v>
      </c>
      <c r="G108" s="7">
        <v>43549</v>
      </c>
      <c r="H108" t="s">
        <v>21</v>
      </c>
      <c r="I108" t="s">
        <v>69</v>
      </c>
      <c r="J108" t="s">
        <v>23</v>
      </c>
      <c r="K108">
        <f>IF(HR_Data4[[#This Row],[Phone]]="Missing",0,1)</f>
        <v>1</v>
      </c>
    </row>
    <row r="109" spans="1:11" x14ac:dyDescent="0.3">
      <c r="A109" t="s">
        <v>53</v>
      </c>
      <c r="B109">
        <v>25</v>
      </c>
      <c r="C109" s="6">
        <v>70000</v>
      </c>
      <c r="D109" t="s">
        <v>36</v>
      </c>
      <c r="E109" t="s">
        <v>19</v>
      </c>
      <c r="F109" t="s">
        <v>44</v>
      </c>
      <c r="G109" s="7">
        <v>43845</v>
      </c>
      <c r="H109" t="s">
        <v>21</v>
      </c>
      <c r="I109" t="s">
        <v>22</v>
      </c>
      <c r="J109" t="s">
        <v>69</v>
      </c>
      <c r="K109">
        <f>IF(HR_Data4[[#This Row],[Phone]]="Missing",0,1)</f>
        <v>0</v>
      </c>
    </row>
    <row r="110" spans="1:11" x14ac:dyDescent="0.3">
      <c r="A110" t="s">
        <v>57</v>
      </c>
      <c r="B110">
        <v>30</v>
      </c>
      <c r="C110" s="6" t="s">
        <v>68</v>
      </c>
      <c r="D110" t="s">
        <v>11</v>
      </c>
      <c r="E110" t="s">
        <v>12</v>
      </c>
      <c r="F110" t="s">
        <v>39</v>
      </c>
      <c r="G110" s="7">
        <v>43800</v>
      </c>
      <c r="H110" t="s">
        <v>31</v>
      </c>
      <c r="I110" t="s">
        <v>69</v>
      </c>
      <c r="J110" t="s">
        <v>69</v>
      </c>
      <c r="K110">
        <f>IF(HR_Data4[[#This Row],[Phone]]="Missing",0,1)</f>
        <v>0</v>
      </c>
    </row>
    <row r="111" spans="1:11" x14ac:dyDescent="0.3">
      <c r="A111" t="s">
        <v>56</v>
      </c>
      <c r="B111">
        <v>50</v>
      </c>
      <c r="C111" s="6">
        <v>60000</v>
      </c>
      <c r="D111" t="s">
        <v>36</v>
      </c>
      <c r="E111" t="s">
        <v>12</v>
      </c>
      <c r="F111" t="s">
        <v>39</v>
      </c>
      <c r="G111" s="7">
        <v>43800</v>
      </c>
      <c r="H111" t="s">
        <v>31</v>
      </c>
      <c r="I111" t="s">
        <v>15</v>
      </c>
      <c r="J111" t="s">
        <v>45</v>
      </c>
      <c r="K111">
        <f>IF(HR_Data4[[#This Row],[Phone]]="Missing",0,1)</f>
        <v>1</v>
      </c>
    </row>
    <row r="112" spans="1:11" x14ac:dyDescent="0.3">
      <c r="A112" t="s">
        <v>59</v>
      </c>
      <c r="B112">
        <v>50</v>
      </c>
      <c r="C112" s="6">
        <v>55000</v>
      </c>
      <c r="D112" t="s">
        <v>18</v>
      </c>
      <c r="E112" t="s">
        <v>26</v>
      </c>
      <c r="F112" t="s">
        <v>39</v>
      </c>
      <c r="G112" s="7">
        <v>43845</v>
      </c>
      <c r="H112" t="s">
        <v>31</v>
      </c>
      <c r="I112" t="s">
        <v>69</v>
      </c>
      <c r="J112" t="s">
        <v>23</v>
      </c>
      <c r="K112">
        <f>IF(HR_Data4[[#This Row],[Phone]]="Missing",0,1)</f>
        <v>1</v>
      </c>
    </row>
    <row r="113" spans="1:11" x14ac:dyDescent="0.3">
      <c r="A113" t="s">
        <v>56</v>
      </c>
      <c r="B113">
        <v>35</v>
      </c>
      <c r="C113" s="6" t="s">
        <v>68</v>
      </c>
      <c r="D113" t="s">
        <v>36</v>
      </c>
      <c r="E113" t="s">
        <v>30</v>
      </c>
      <c r="F113" t="s">
        <v>13</v>
      </c>
      <c r="G113" s="7">
        <v>43800</v>
      </c>
      <c r="H113" t="s">
        <v>21</v>
      </c>
      <c r="I113" t="s">
        <v>22</v>
      </c>
      <c r="J113" t="s">
        <v>69</v>
      </c>
      <c r="K113">
        <f>IF(HR_Data4[[#This Row],[Phone]]="Missing",0,1)</f>
        <v>0</v>
      </c>
    </row>
    <row r="114" spans="1:11" x14ac:dyDescent="0.3">
      <c r="A114" t="s">
        <v>54</v>
      </c>
      <c r="B114">
        <v>36</v>
      </c>
      <c r="C114" s="6">
        <v>70000</v>
      </c>
      <c r="D114" t="s">
        <v>11</v>
      </c>
      <c r="E114" t="s">
        <v>12</v>
      </c>
      <c r="F114" t="s">
        <v>13</v>
      </c>
      <c r="G114" s="7">
        <v>43881</v>
      </c>
      <c r="H114" t="s">
        <v>41</v>
      </c>
      <c r="I114" t="s">
        <v>22</v>
      </c>
      <c r="J114" t="s">
        <v>69</v>
      </c>
      <c r="K114">
        <f>IF(HR_Data4[[#This Row],[Phone]]="Missing",0,1)</f>
        <v>0</v>
      </c>
    </row>
    <row r="115" spans="1:11" x14ac:dyDescent="0.3">
      <c r="A115" t="s">
        <v>56</v>
      </c>
      <c r="B115">
        <v>25</v>
      </c>
      <c r="C115" s="6">
        <v>65000</v>
      </c>
      <c r="D115" t="s">
        <v>18</v>
      </c>
      <c r="E115" t="s">
        <v>12</v>
      </c>
      <c r="F115" t="s">
        <v>44</v>
      </c>
      <c r="G115" s="7">
        <v>43800</v>
      </c>
      <c r="H115" t="s">
        <v>31</v>
      </c>
      <c r="I115" t="s">
        <v>69</v>
      </c>
      <c r="J115" t="s">
        <v>28</v>
      </c>
      <c r="K115">
        <f>IF(HR_Data4[[#This Row],[Phone]]="Missing",0,1)</f>
        <v>1</v>
      </c>
    </row>
    <row r="116" spans="1:11" x14ac:dyDescent="0.3">
      <c r="A116" t="s">
        <v>59</v>
      </c>
      <c r="B116">
        <v>40</v>
      </c>
      <c r="C116" s="6">
        <v>70000</v>
      </c>
      <c r="D116" t="s">
        <v>36</v>
      </c>
      <c r="E116" t="s">
        <v>30</v>
      </c>
      <c r="F116" t="s">
        <v>20</v>
      </c>
      <c r="G116" s="7">
        <v>43800</v>
      </c>
      <c r="H116" t="s">
        <v>14</v>
      </c>
      <c r="I116" t="s">
        <v>32</v>
      </c>
      <c r="J116" t="s">
        <v>45</v>
      </c>
      <c r="K116">
        <f>IF(HR_Data4[[#This Row],[Phone]]="Missing",0,1)</f>
        <v>1</v>
      </c>
    </row>
    <row r="117" spans="1:11" x14ac:dyDescent="0.3">
      <c r="A117" t="s">
        <v>54</v>
      </c>
      <c r="B117">
        <v>35</v>
      </c>
      <c r="C117" s="6">
        <v>65000</v>
      </c>
      <c r="D117" t="s">
        <v>36</v>
      </c>
      <c r="E117" t="s">
        <v>26</v>
      </c>
      <c r="F117" t="s">
        <v>20</v>
      </c>
      <c r="G117" s="7">
        <v>43845</v>
      </c>
      <c r="H117" t="s">
        <v>21</v>
      </c>
      <c r="I117" t="s">
        <v>32</v>
      </c>
      <c r="J117" t="s">
        <v>23</v>
      </c>
      <c r="K117">
        <f>IF(HR_Data4[[#This Row],[Phone]]="Missing",0,1)</f>
        <v>1</v>
      </c>
    </row>
    <row r="118" spans="1:11" x14ac:dyDescent="0.3">
      <c r="A118" t="s">
        <v>55</v>
      </c>
      <c r="B118">
        <v>30</v>
      </c>
      <c r="C118" s="6" t="s">
        <v>68</v>
      </c>
      <c r="D118" t="s">
        <v>36</v>
      </c>
      <c r="E118" t="s">
        <v>12</v>
      </c>
      <c r="F118" t="s">
        <v>20</v>
      </c>
      <c r="G118" s="7">
        <v>43195</v>
      </c>
      <c r="H118" t="s">
        <v>27</v>
      </c>
      <c r="I118" t="s">
        <v>22</v>
      </c>
      <c r="J118" t="s">
        <v>28</v>
      </c>
      <c r="K118">
        <f>IF(HR_Data4[[#This Row],[Phone]]="Missing",0,1)</f>
        <v>1</v>
      </c>
    </row>
    <row r="119" spans="1:11" x14ac:dyDescent="0.3">
      <c r="A119" t="s">
        <v>51</v>
      </c>
      <c r="B119">
        <v>30</v>
      </c>
      <c r="C119" s="6">
        <v>60000</v>
      </c>
      <c r="D119" t="s">
        <v>36</v>
      </c>
      <c r="E119" t="s">
        <v>26</v>
      </c>
      <c r="F119" t="s">
        <v>44</v>
      </c>
      <c r="G119" s="7">
        <v>43800</v>
      </c>
      <c r="H119" t="s">
        <v>27</v>
      </c>
      <c r="I119" t="s">
        <v>69</v>
      </c>
      <c r="J119" t="s">
        <v>28</v>
      </c>
      <c r="K119">
        <f>IF(HR_Data4[[#This Row],[Phone]]="Missing",0,1)</f>
        <v>1</v>
      </c>
    </row>
    <row r="120" spans="1:11" x14ac:dyDescent="0.3">
      <c r="A120" t="s">
        <v>51</v>
      </c>
      <c r="B120">
        <v>35</v>
      </c>
      <c r="C120" s="6">
        <v>70000</v>
      </c>
      <c r="D120" t="s">
        <v>36</v>
      </c>
      <c r="E120" t="s">
        <v>37</v>
      </c>
      <c r="F120" t="s">
        <v>20</v>
      </c>
      <c r="G120" s="7">
        <v>43800</v>
      </c>
      <c r="H120" t="s">
        <v>14</v>
      </c>
      <c r="I120" t="s">
        <v>69</v>
      </c>
      <c r="J120" t="s">
        <v>69</v>
      </c>
      <c r="K120">
        <f>IF(HR_Data4[[#This Row],[Phone]]="Missing",0,1)</f>
        <v>0</v>
      </c>
    </row>
    <row r="121" spans="1:11" x14ac:dyDescent="0.3">
      <c r="A121" t="s">
        <v>60</v>
      </c>
      <c r="B121">
        <v>50</v>
      </c>
      <c r="C121" s="6">
        <v>65000</v>
      </c>
      <c r="D121" t="s">
        <v>18</v>
      </c>
      <c r="E121" t="s">
        <v>26</v>
      </c>
      <c r="F121" t="s">
        <v>20</v>
      </c>
      <c r="G121" s="7">
        <v>43195</v>
      </c>
      <c r="H121" t="s">
        <v>41</v>
      </c>
      <c r="I121" t="s">
        <v>15</v>
      </c>
      <c r="J121" t="s">
        <v>69</v>
      </c>
      <c r="K121">
        <f>IF(HR_Data4[[#This Row],[Phone]]="Missing",0,1)</f>
        <v>0</v>
      </c>
    </row>
    <row r="122" spans="1:11" x14ac:dyDescent="0.3">
      <c r="A122" t="s">
        <v>55</v>
      </c>
      <c r="B122">
        <v>30</v>
      </c>
      <c r="C122" s="6">
        <v>60000</v>
      </c>
      <c r="D122" t="s">
        <v>18</v>
      </c>
      <c r="E122" t="s">
        <v>19</v>
      </c>
      <c r="F122" t="s">
        <v>39</v>
      </c>
      <c r="G122" s="7">
        <v>43845</v>
      </c>
      <c r="H122" t="s">
        <v>31</v>
      </c>
      <c r="I122" t="s">
        <v>32</v>
      </c>
      <c r="J122" t="s">
        <v>23</v>
      </c>
      <c r="K122">
        <f>IF(HR_Data4[[#This Row],[Phone]]="Missing",0,1)</f>
        <v>1</v>
      </c>
    </row>
    <row r="123" spans="1:11" x14ac:dyDescent="0.3">
      <c r="A123" t="s">
        <v>55</v>
      </c>
      <c r="B123">
        <v>36</v>
      </c>
      <c r="C123" s="6">
        <v>55000</v>
      </c>
      <c r="D123" t="s">
        <v>18</v>
      </c>
      <c r="E123" t="s">
        <v>19</v>
      </c>
      <c r="F123" t="s">
        <v>13</v>
      </c>
      <c r="G123" s="7">
        <v>43195</v>
      </c>
      <c r="H123" t="s">
        <v>21</v>
      </c>
      <c r="I123" t="s">
        <v>22</v>
      </c>
      <c r="J123" t="s">
        <v>23</v>
      </c>
      <c r="K123">
        <f>IF(HR_Data4[[#This Row],[Phone]]="Missing",0,1)</f>
        <v>1</v>
      </c>
    </row>
    <row r="124" spans="1:11" x14ac:dyDescent="0.3">
      <c r="A124" t="s">
        <v>56</v>
      </c>
      <c r="B124">
        <v>25</v>
      </c>
      <c r="C124" s="6">
        <v>65000</v>
      </c>
      <c r="D124" t="s">
        <v>18</v>
      </c>
      <c r="E124" t="s">
        <v>26</v>
      </c>
      <c r="F124" t="s">
        <v>13</v>
      </c>
      <c r="G124" s="7">
        <v>43845</v>
      </c>
      <c r="H124" t="s">
        <v>31</v>
      </c>
      <c r="I124" t="s">
        <v>69</v>
      </c>
      <c r="J124" t="s">
        <v>23</v>
      </c>
      <c r="K124">
        <f>IF(HR_Data4[[#This Row],[Phone]]="Missing",0,1)</f>
        <v>1</v>
      </c>
    </row>
    <row r="125" spans="1:11" x14ac:dyDescent="0.3">
      <c r="A125" t="s">
        <v>51</v>
      </c>
      <c r="B125">
        <v>36</v>
      </c>
      <c r="C125" s="6" t="s">
        <v>68</v>
      </c>
      <c r="D125" t="s">
        <v>11</v>
      </c>
      <c r="E125" t="s">
        <v>19</v>
      </c>
      <c r="F125" t="s">
        <v>39</v>
      </c>
      <c r="G125" s="7">
        <v>43881</v>
      </c>
      <c r="H125" t="s">
        <v>21</v>
      </c>
      <c r="I125" t="s">
        <v>32</v>
      </c>
      <c r="J125" t="s">
        <v>28</v>
      </c>
      <c r="K125">
        <f>IF(HR_Data4[[#This Row],[Phone]]="Missing",0,1)</f>
        <v>1</v>
      </c>
    </row>
    <row r="126" spans="1:11" x14ac:dyDescent="0.3">
      <c r="A126" t="s">
        <v>59</v>
      </c>
      <c r="B126">
        <v>30</v>
      </c>
      <c r="C126" s="6">
        <v>55000</v>
      </c>
      <c r="D126" t="s">
        <v>18</v>
      </c>
      <c r="E126" t="s">
        <v>37</v>
      </c>
      <c r="F126" t="s">
        <v>39</v>
      </c>
      <c r="G126" s="7">
        <v>43845</v>
      </c>
      <c r="H126" t="s">
        <v>27</v>
      </c>
      <c r="I126" t="s">
        <v>15</v>
      </c>
      <c r="J126" t="s">
        <v>69</v>
      </c>
      <c r="K126">
        <f>IF(HR_Data4[[#This Row],[Phone]]="Missing",0,1)</f>
        <v>0</v>
      </c>
    </row>
    <row r="127" spans="1:11" x14ac:dyDescent="0.3">
      <c r="A127" t="s">
        <v>52</v>
      </c>
      <c r="B127">
        <v>40</v>
      </c>
      <c r="C127" s="6">
        <v>55000</v>
      </c>
      <c r="D127" t="s">
        <v>36</v>
      </c>
      <c r="E127" t="s">
        <v>30</v>
      </c>
      <c r="F127" t="s">
        <v>39</v>
      </c>
      <c r="G127" s="7">
        <v>43881</v>
      </c>
      <c r="H127" t="s">
        <v>31</v>
      </c>
      <c r="I127" t="s">
        <v>69</v>
      </c>
      <c r="J127" t="s">
        <v>45</v>
      </c>
      <c r="K127">
        <f>IF(HR_Data4[[#This Row],[Phone]]="Missing",0,1)</f>
        <v>1</v>
      </c>
    </row>
    <row r="128" spans="1:11" x14ac:dyDescent="0.3">
      <c r="A128" t="s">
        <v>52</v>
      </c>
      <c r="B128">
        <v>25</v>
      </c>
      <c r="C128" s="6">
        <v>50000</v>
      </c>
      <c r="D128" t="s">
        <v>36</v>
      </c>
      <c r="E128" t="s">
        <v>19</v>
      </c>
      <c r="F128" t="s">
        <v>13</v>
      </c>
      <c r="G128" s="7">
        <v>43881</v>
      </c>
      <c r="H128" t="s">
        <v>14</v>
      </c>
      <c r="I128" t="s">
        <v>22</v>
      </c>
      <c r="J128" t="s">
        <v>28</v>
      </c>
      <c r="K128">
        <f>IF(HR_Data4[[#This Row],[Phone]]="Missing",0,1)</f>
        <v>1</v>
      </c>
    </row>
    <row r="129" spans="1:11" x14ac:dyDescent="0.3">
      <c r="A129" t="s">
        <v>54</v>
      </c>
      <c r="B129">
        <v>25</v>
      </c>
      <c r="C129" s="6">
        <v>70000</v>
      </c>
      <c r="D129" t="s">
        <v>18</v>
      </c>
      <c r="E129" t="s">
        <v>19</v>
      </c>
      <c r="F129" t="s">
        <v>20</v>
      </c>
      <c r="G129" s="7">
        <v>43845</v>
      </c>
      <c r="H129" t="s">
        <v>41</v>
      </c>
      <c r="I129" t="s">
        <v>32</v>
      </c>
      <c r="J129" t="s">
        <v>45</v>
      </c>
      <c r="K129">
        <f>IF(HR_Data4[[#This Row],[Phone]]="Missing",0,1)</f>
        <v>1</v>
      </c>
    </row>
    <row r="130" spans="1:11" x14ac:dyDescent="0.3">
      <c r="A130" t="s">
        <v>51</v>
      </c>
      <c r="B130">
        <v>35</v>
      </c>
      <c r="C130" s="6">
        <v>65000</v>
      </c>
      <c r="D130" t="s">
        <v>36</v>
      </c>
      <c r="E130" t="s">
        <v>26</v>
      </c>
      <c r="F130" t="s">
        <v>39</v>
      </c>
      <c r="G130" s="7">
        <v>43549</v>
      </c>
      <c r="H130" t="s">
        <v>14</v>
      </c>
      <c r="I130" t="s">
        <v>69</v>
      </c>
      <c r="J130" t="s">
        <v>69</v>
      </c>
      <c r="K130">
        <f>IF(HR_Data4[[#This Row],[Phone]]="Missing",0,1)</f>
        <v>0</v>
      </c>
    </row>
    <row r="131" spans="1:11" x14ac:dyDescent="0.3">
      <c r="A131" t="s">
        <v>51</v>
      </c>
      <c r="B131">
        <v>35</v>
      </c>
      <c r="C131" s="6">
        <v>55000</v>
      </c>
      <c r="D131" t="s">
        <v>18</v>
      </c>
      <c r="E131" t="s">
        <v>37</v>
      </c>
      <c r="F131" t="s">
        <v>44</v>
      </c>
      <c r="G131" s="7">
        <v>43845</v>
      </c>
      <c r="H131" t="s">
        <v>41</v>
      </c>
      <c r="I131" t="s">
        <v>15</v>
      </c>
      <c r="J131" t="s">
        <v>69</v>
      </c>
      <c r="K131">
        <f>IF(HR_Data4[[#This Row],[Phone]]="Missing",0,1)</f>
        <v>0</v>
      </c>
    </row>
    <row r="132" spans="1:11" x14ac:dyDescent="0.3">
      <c r="A132" t="s">
        <v>52</v>
      </c>
      <c r="B132">
        <v>40</v>
      </c>
      <c r="C132" s="6">
        <v>50000</v>
      </c>
      <c r="D132" t="s">
        <v>36</v>
      </c>
      <c r="E132" t="s">
        <v>30</v>
      </c>
      <c r="F132" t="s">
        <v>39</v>
      </c>
      <c r="G132" s="7">
        <v>43800</v>
      </c>
      <c r="H132" t="s">
        <v>31</v>
      </c>
      <c r="I132" t="s">
        <v>15</v>
      </c>
      <c r="J132" t="s">
        <v>23</v>
      </c>
      <c r="K132">
        <f>IF(HR_Data4[[#This Row],[Phone]]="Missing",0,1)</f>
        <v>1</v>
      </c>
    </row>
    <row r="133" spans="1:11" x14ac:dyDescent="0.3">
      <c r="A133" t="s">
        <v>51</v>
      </c>
      <c r="B133">
        <v>50</v>
      </c>
      <c r="C133" s="6" t="s">
        <v>68</v>
      </c>
      <c r="D133" t="s">
        <v>11</v>
      </c>
      <c r="E133" t="s">
        <v>26</v>
      </c>
      <c r="F133" t="s">
        <v>43</v>
      </c>
      <c r="G133" s="7">
        <v>43800</v>
      </c>
      <c r="H133" t="s">
        <v>31</v>
      </c>
      <c r="I133" t="s">
        <v>32</v>
      </c>
      <c r="J133" t="s">
        <v>45</v>
      </c>
      <c r="K133">
        <f>IF(HR_Data4[[#This Row],[Phone]]="Missing",0,1)</f>
        <v>1</v>
      </c>
    </row>
    <row r="134" spans="1:11" x14ac:dyDescent="0.3">
      <c r="A134" t="s">
        <v>56</v>
      </c>
      <c r="B134">
        <v>25</v>
      </c>
      <c r="C134" s="6">
        <v>60000</v>
      </c>
      <c r="D134" t="s">
        <v>11</v>
      </c>
      <c r="E134" t="s">
        <v>26</v>
      </c>
      <c r="F134" t="s">
        <v>39</v>
      </c>
      <c r="G134" s="7">
        <v>43549</v>
      </c>
      <c r="H134" t="s">
        <v>41</v>
      </c>
      <c r="I134" t="s">
        <v>69</v>
      </c>
      <c r="J134" t="s">
        <v>28</v>
      </c>
      <c r="K134">
        <f>IF(HR_Data4[[#This Row],[Phone]]="Missing",0,1)</f>
        <v>1</v>
      </c>
    </row>
    <row r="135" spans="1:11" x14ac:dyDescent="0.3">
      <c r="A135" t="s">
        <v>57</v>
      </c>
      <c r="B135">
        <v>40</v>
      </c>
      <c r="C135" s="6">
        <v>65000</v>
      </c>
      <c r="D135" t="s">
        <v>18</v>
      </c>
      <c r="E135" t="s">
        <v>37</v>
      </c>
      <c r="F135" t="s">
        <v>13</v>
      </c>
      <c r="G135" s="7">
        <v>43881</v>
      </c>
      <c r="H135" t="s">
        <v>27</v>
      </c>
      <c r="I135" t="s">
        <v>15</v>
      </c>
      <c r="J135" t="s">
        <v>45</v>
      </c>
      <c r="K135">
        <f>IF(HR_Data4[[#This Row],[Phone]]="Missing",0,1)</f>
        <v>1</v>
      </c>
    </row>
    <row r="136" spans="1:11" x14ac:dyDescent="0.3">
      <c r="A136" t="s">
        <v>58</v>
      </c>
      <c r="B136">
        <v>35</v>
      </c>
      <c r="C136" s="6">
        <v>55000</v>
      </c>
      <c r="D136" t="s">
        <v>18</v>
      </c>
      <c r="E136" t="s">
        <v>30</v>
      </c>
      <c r="F136" t="s">
        <v>39</v>
      </c>
      <c r="G136" s="7">
        <v>43549</v>
      </c>
      <c r="H136" t="s">
        <v>21</v>
      </c>
      <c r="I136" t="s">
        <v>22</v>
      </c>
      <c r="J136" t="s">
        <v>69</v>
      </c>
      <c r="K136">
        <f>IF(HR_Data4[[#This Row],[Phone]]="Missing",0,1)</f>
        <v>0</v>
      </c>
    </row>
    <row r="137" spans="1:11" x14ac:dyDescent="0.3">
      <c r="A137" t="s">
        <v>55</v>
      </c>
      <c r="B137">
        <v>35</v>
      </c>
      <c r="C137" s="6">
        <v>70000</v>
      </c>
      <c r="D137" t="s">
        <v>18</v>
      </c>
      <c r="E137" t="s">
        <v>37</v>
      </c>
      <c r="F137" t="s">
        <v>43</v>
      </c>
      <c r="G137" s="7">
        <v>43800</v>
      </c>
      <c r="H137" t="s">
        <v>14</v>
      </c>
      <c r="I137" t="s">
        <v>15</v>
      </c>
      <c r="J137" t="s">
        <v>23</v>
      </c>
      <c r="K137">
        <f>IF(HR_Data4[[#This Row],[Phone]]="Missing",0,1)</f>
        <v>1</v>
      </c>
    </row>
    <row r="138" spans="1:11" x14ac:dyDescent="0.3">
      <c r="A138" t="s">
        <v>60</v>
      </c>
      <c r="B138">
        <v>25</v>
      </c>
      <c r="C138" s="6">
        <v>50000</v>
      </c>
      <c r="D138" t="s">
        <v>36</v>
      </c>
      <c r="E138" t="s">
        <v>30</v>
      </c>
      <c r="F138" t="s">
        <v>44</v>
      </c>
      <c r="G138" s="7">
        <v>43549</v>
      </c>
      <c r="H138" t="s">
        <v>14</v>
      </c>
      <c r="I138" t="s">
        <v>69</v>
      </c>
      <c r="J138" t="s">
        <v>45</v>
      </c>
      <c r="K138">
        <f>IF(HR_Data4[[#This Row],[Phone]]="Missing",0,1)</f>
        <v>1</v>
      </c>
    </row>
    <row r="139" spans="1:11" x14ac:dyDescent="0.3">
      <c r="A139" t="s">
        <v>54</v>
      </c>
      <c r="B139">
        <v>36</v>
      </c>
      <c r="C139" s="6">
        <v>55000</v>
      </c>
      <c r="D139" t="s">
        <v>18</v>
      </c>
      <c r="E139" t="s">
        <v>37</v>
      </c>
      <c r="F139" t="s">
        <v>20</v>
      </c>
      <c r="G139" s="7">
        <v>43845</v>
      </c>
      <c r="H139" t="s">
        <v>14</v>
      </c>
      <c r="I139" t="s">
        <v>69</v>
      </c>
      <c r="J139" t="s">
        <v>69</v>
      </c>
      <c r="K139">
        <f>IF(HR_Data4[[#This Row],[Phone]]="Missing",0,1)</f>
        <v>0</v>
      </c>
    </row>
    <row r="140" spans="1:11" x14ac:dyDescent="0.3">
      <c r="A140" t="s">
        <v>57</v>
      </c>
      <c r="B140">
        <v>30</v>
      </c>
      <c r="C140" s="6">
        <v>70000</v>
      </c>
      <c r="D140" t="s">
        <v>11</v>
      </c>
      <c r="E140" t="s">
        <v>26</v>
      </c>
      <c r="F140" t="s">
        <v>39</v>
      </c>
      <c r="G140" s="7">
        <v>43549</v>
      </c>
      <c r="H140" t="s">
        <v>31</v>
      </c>
      <c r="I140" t="s">
        <v>69</v>
      </c>
      <c r="J140" t="s">
        <v>28</v>
      </c>
      <c r="K140">
        <f>IF(HR_Data4[[#This Row],[Phone]]="Missing",0,1)</f>
        <v>1</v>
      </c>
    </row>
    <row r="141" spans="1:11" x14ac:dyDescent="0.3">
      <c r="A141" t="s">
        <v>52</v>
      </c>
      <c r="B141">
        <v>35</v>
      </c>
      <c r="C141" s="6">
        <v>55000</v>
      </c>
      <c r="D141" t="s">
        <v>36</v>
      </c>
      <c r="E141" t="s">
        <v>26</v>
      </c>
      <c r="F141" t="s">
        <v>43</v>
      </c>
      <c r="G141" s="7">
        <v>43881</v>
      </c>
      <c r="H141" t="s">
        <v>14</v>
      </c>
      <c r="I141" t="s">
        <v>32</v>
      </c>
      <c r="J141" t="s">
        <v>69</v>
      </c>
      <c r="K141">
        <f>IF(HR_Data4[[#This Row],[Phone]]="Missing",0,1)</f>
        <v>0</v>
      </c>
    </row>
    <row r="142" spans="1:11" x14ac:dyDescent="0.3">
      <c r="A142" t="s">
        <v>55</v>
      </c>
      <c r="B142">
        <v>50</v>
      </c>
      <c r="C142" s="6">
        <v>65000</v>
      </c>
      <c r="D142" t="s">
        <v>18</v>
      </c>
      <c r="E142" t="s">
        <v>12</v>
      </c>
      <c r="F142" t="s">
        <v>43</v>
      </c>
      <c r="G142" s="7">
        <v>43845</v>
      </c>
      <c r="H142" t="s">
        <v>21</v>
      </c>
      <c r="I142" t="s">
        <v>69</v>
      </c>
      <c r="J142" t="s">
        <v>28</v>
      </c>
      <c r="K142">
        <f>IF(HR_Data4[[#This Row],[Phone]]="Missing",0,1)</f>
        <v>1</v>
      </c>
    </row>
    <row r="143" spans="1:11" x14ac:dyDescent="0.3">
      <c r="A143" t="s">
        <v>51</v>
      </c>
      <c r="B143">
        <v>50</v>
      </c>
      <c r="C143" s="6">
        <v>65000</v>
      </c>
      <c r="D143" t="s">
        <v>36</v>
      </c>
      <c r="E143" t="s">
        <v>19</v>
      </c>
      <c r="F143" t="s">
        <v>44</v>
      </c>
      <c r="G143" s="7">
        <v>43195</v>
      </c>
      <c r="H143" t="s">
        <v>21</v>
      </c>
      <c r="I143" t="s">
        <v>15</v>
      </c>
      <c r="J143" t="s">
        <v>23</v>
      </c>
      <c r="K143">
        <f>IF(HR_Data4[[#This Row],[Phone]]="Missing",0,1)</f>
        <v>1</v>
      </c>
    </row>
    <row r="144" spans="1:11" x14ac:dyDescent="0.3">
      <c r="A144" t="s">
        <v>60</v>
      </c>
      <c r="B144">
        <v>35</v>
      </c>
      <c r="C144" s="6">
        <v>65000</v>
      </c>
      <c r="D144" t="s">
        <v>36</v>
      </c>
      <c r="E144" t="s">
        <v>37</v>
      </c>
      <c r="F144" t="s">
        <v>13</v>
      </c>
      <c r="G144" s="7">
        <v>43800</v>
      </c>
      <c r="H144" t="s">
        <v>41</v>
      </c>
      <c r="I144" t="s">
        <v>15</v>
      </c>
      <c r="J144" t="s">
        <v>28</v>
      </c>
      <c r="K144">
        <f>IF(HR_Data4[[#This Row],[Phone]]="Missing",0,1)</f>
        <v>1</v>
      </c>
    </row>
    <row r="145" spans="1:11" x14ac:dyDescent="0.3">
      <c r="A145" t="s">
        <v>51</v>
      </c>
      <c r="B145">
        <v>36</v>
      </c>
      <c r="C145" s="6" t="s">
        <v>68</v>
      </c>
      <c r="D145" t="s">
        <v>18</v>
      </c>
      <c r="E145" t="s">
        <v>12</v>
      </c>
      <c r="F145" t="s">
        <v>39</v>
      </c>
      <c r="G145" s="7">
        <v>43800</v>
      </c>
      <c r="H145" t="s">
        <v>31</v>
      </c>
      <c r="I145" t="s">
        <v>69</v>
      </c>
      <c r="J145" t="s">
        <v>28</v>
      </c>
      <c r="K145">
        <f>IF(HR_Data4[[#This Row],[Phone]]="Missing",0,1)</f>
        <v>1</v>
      </c>
    </row>
    <row r="146" spans="1:11" x14ac:dyDescent="0.3">
      <c r="A146" t="s">
        <v>59</v>
      </c>
      <c r="B146">
        <v>36</v>
      </c>
      <c r="C146" s="6" t="s">
        <v>68</v>
      </c>
      <c r="D146" t="s">
        <v>36</v>
      </c>
      <c r="E146" t="s">
        <v>19</v>
      </c>
      <c r="F146" t="s">
        <v>43</v>
      </c>
      <c r="G146" s="7">
        <v>43549</v>
      </c>
      <c r="H146" t="s">
        <v>21</v>
      </c>
      <c r="I146" t="s">
        <v>69</v>
      </c>
      <c r="J146" t="s">
        <v>28</v>
      </c>
      <c r="K146">
        <f>IF(HR_Data4[[#This Row],[Phone]]="Missing",0,1)</f>
        <v>1</v>
      </c>
    </row>
    <row r="147" spans="1:11" x14ac:dyDescent="0.3">
      <c r="A147" t="s">
        <v>59</v>
      </c>
      <c r="B147">
        <v>40</v>
      </c>
      <c r="C147" s="6">
        <v>50000</v>
      </c>
      <c r="D147" t="s">
        <v>11</v>
      </c>
      <c r="E147" t="s">
        <v>37</v>
      </c>
      <c r="F147" t="s">
        <v>44</v>
      </c>
      <c r="G147" s="7">
        <v>43845</v>
      </c>
      <c r="H147" t="s">
        <v>27</v>
      </c>
      <c r="I147" t="s">
        <v>22</v>
      </c>
      <c r="J147" t="s">
        <v>28</v>
      </c>
      <c r="K147">
        <f>IF(HR_Data4[[#This Row],[Phone]]="Missing",0,1)</f>
        <v>1</v>
      </c>
    </row>
    <row r="148" spans="1:11" x14ac:dyDescent="0.3">
      <c r="A148" t="s">
        <v>60</v>
      </c>
      <c r="B148">
        <v>50</v>
      </c>
      <c r="C148" s="6">
        <v>65000</v>
      </c>
      <c r="D148" t="s">
        <v>11</v>
      </c>
      <c r="E148" t="s">
        <v>30</v>
      </c>
      <c r="F148" t="s">
        <v>20</v>
      </c>
      <c r="G148" s="7">
        <v>43195</v>
      </c>
      <c r="H148" t="s">
        <v>31</v>
      </c>
      <c r="I148" t="s">
        <v>69</v>
      </c>
      <c r="J148" t="s">
        <v>23</v>
      </c>
      <c r="K148">
        <f>IF(HR_Data4[[#This Row],[Phone]]="Missing",0,1)</f>
        <v>1</v>
      </c>
    </row>
    <row r="149" spans="1:11" x14ac:dyDescent="0.3">
      <c r="A149" t="s">
        <v>60</v>
      </c>
      <c r="B149">
        <v>40</v>
      </c>
      <c r="C149" s="6">
        <v>70000</v>
      </c>
      <c r="D149" t="s">
        <v>36</v>
      </c>
      <c r="E149" t="s">
        <v>19</v>
      </c>
      <c r="F149" t="s">
        <v>43</v>
      </c>
      <c r="G149" s="7">
        <v>43845</v>
      </c>
      <c r="H149" t="s">
        <v>31</v>
      </c>
      <c r="I149" t="s">
        <v>22</v>
      </c>
      <c r="J149" t="s">
        <v>69</v>
      </c>
      <c r="K149">
        <f>IF(HR_Data4[[#This Row],[Phone]]="Missing",0,1)</f>
        <v>0</v>
      </c>
    </row>
    <row r="150" spans="1:11" x14ac:dyDescent="0.3">
      <c r="A150" t="s">
        <v>52</v>
      </c>
      <c r="B150">
        <v>50</v>
      </c>
      <c r="C150" s="6">
        <v>55000</v>
      </c>
      <c r="D150" t="s">
        <v>18</v>
      </c>
      <c r="E150" t="s">
        <v>26</v>
      </c>
      <c r="F150" t="s">
        <v>44</v>
      </c>
      <c r="G150" s="7">
        <v>43800</v>
      </c>
      <c r="H150" t="s">
        <v>21</v>
      </c>
      <c r="I150" t="s">
        <v>15</v>
      </c>
      <c r="J150" t="s">
        <v>45</v>
      </c>
      <c r="K150">
        <f>IF(HR_Data4[[#This Row],[Phone]]="Missing",0,1)</f>
        <v>1</v>
      </c>
    </row>
    <row r="151" spans="1:11" x14ac:dyDescent="0.3">
      <c r="A151" t="s">
        <v>60</v>
      </c>
      <c r="B151">
        <v>30</v>
      </c>
      <c r="C151" s="6">
        <v>60000</v>
      </c>
      <c r="D151" t="s">
        <v>36</v>
      </c>
      <c r="E151" t="s">
        <v>12</v>
      </c>
      <c r="F151" t="s">
        <v>13</v>
      </c>
      <c r="G151" s="7">
        <v>43845</v>
      </c>
      <c r="H151" t="s">
        <v>27</v>
      </c>
      <c r="I151" t="s">
        <v>22</v>
      </c>
      <c r="J151" t="s">
        <v>69</v>
      </c>
      <c r="K151">
        <f>IF(HR_Data4[[#This Row],[Phone]]="Missing",0,1)</f>
        <v>0</v>
      </c>
    </row>
    <row r="152" spans="1:11" x14ac:dyDescent="0.3">
      <c r="A152" t="s">
        <v>56</v>
      </c>
      <c r="B152">
        <v>30</v>
      </c>
      <c r="C152" s="6">
        <v>70000</v>
      </c>
      <c r="D152" t="s">
        <v>11</v>
      </c>
      <c r="E152" t="s">
        <v>19</v>
      </c>
      <c r="F152" t="s">
        <v>13</v>
      </c>
      <c r="G152" s="7">
        <v>43195</v>
      </c>
      <c r="H152" t="s">
        <v>41</v>
      </c>
      <c r="I152" t="s">
        <v>22</v>
      </c>
      <c r="J152" t="s">
        <v>45</v>
      </c>
      <c r="K152">
        <f>IF(HR_Data4[[#This Row],[Phone]]="Missing",0,1)</f>
        <v>1</v>
      </c>
    </row>
    <row r="153" spans="1:11" x14ac:dyDescent="0.3">
      <c r="A153" t="s">
        <v>51</v>
      </c>
      <c r="B153">
        <v>25</v>
      </c>
      <c r="C153" s="6" t="s">
        <v>68</v>
      </c>
      <c r="D153" t="s">
        <v>36</v>
      </c>
      <c r="E153" t="s">
        <v>19</v>
      </c>
      <c r="F153" t="s">
        <v>43</v>
      </c>
      <c r="G153" s="7">
        <v>43549</v>
      </c>
      <c r="H153" t="s">
        <v>21</v>
      </c>
      <c r="I153" t="s">
        <v>32</v>
      </c>
      <c r="J153" t="s">
        <v>45</v>
      </c>
      <c r="K153">
        <f>IF(HR_Data4[[#This Row],[Phone]]="Missing",0,1)</f>
        <v>1</v>
      </c>
    </row>
    <row r="154" spans="1:11" x14ac:dyDescent="0.3">
      <c r="A154" t="s">
        <v>57</v>
      </c>
      <c r="B154">
        <v>40</v>
      </c>
      <c r="C154" s="6" t="s">
        <v>68</v>
      </c>
      <c r="D154" t="s">
        <v>36</v>
      </c>
      <c r="E154" t="s">
        <v>26</v>
      </c>
      <c r="F154" t="s">
        <v>43</v>
      </c>
      <c r="G154" s="7">
        <v>43881</v>
      </c>
      <c r="H154" t="s">
        <v>27</v>
      </c>
      <c r="I154" t="s">
        <v>69</v>
      </c>
      <c r="J154" t="s">
        <v>69</v>
      </c>
      <c r="K154">
        <f>IF(HR_Data4[[#This Row],[Phone]]="Missing",0,1)</f>
        <v>0</v>
      </c>
    </row>
    <row r="155" spans="1:11" x14ac:dyDescent="0.3">
      <c r="A155" t="s">
        <v>53</v>
      </c>
      <c r="B155">
        <v>35</v>
      </c>
      <c r="C155" s="6">
        <v>70000</v>
      </c>
      <c r="D155" t="s">
        <v>11</v>
      </c>
      <c r="E155" t="s">
        <v>37</v>
      </c>
      <c r="F155" t="s">
        <v>39</v>
      </c>
      <c r="G155" s="7">
        <v>43845</v>
      </c>
      <c r="H155" t="s">
        <v>31</v>
      </c>
      <c r="I155" t="s">
        <v>22</v>
      </c>
      <c r="J155" t="s">
        <v>23</v>
      </c>
      <c r="K155">
        <f>IF(HR_Data4[[#This Row],[Phone]]="Missing",0,1)</f>
        <v>1</v>
      </c>
    </row>
    <row r="156" spans="1:11" x14ac:dyDescent="0.3">
      <c r="A156" t="s">
        <v>60</v>
      </c>
      <c r="B156">
        <v>40</v>
      </c>
      <c r="C156" s="6" t="s">
        <v>68</v>
      </c>
      <c r="D156" t="s">
        <v>36</v>
      </c>
      <c r="E156" t="s">
        <v>30</v>
      </c>
      <c r="F156" t="s">
        <v>44</v>
      </c>
      <c r="G156" s="7">
        <v>43881</v>
      </c>
      <c r="H156" t="s">
        <v>27</v>
      </c>
      <c r="I156" t="s">
        <v>15</v>
      </c>
      <c r="J156" t="s">
        <v>69</v>
      </c>
      <c r="K156">
        <f>IF(HR_Data4[[#This Row],[Phone]]="Missing",0,1)</f>
        <v>0</v>
      </c>
    </row>
    <row r="157" spans="1:11" x14ac:dyDescent="0.3">
      <c r="A157" t="s">
        <v>54</v>
      </c>
      <c r="B157">
        <v>35</v>
      </c>
      <c r="C157" s="6">
        <v>65000</v>
      </c>
      <c r="D157" t="s">
        <v>36</v>
      </c>
      <c r="E157" t="s">
        <v>26</v>
      </c>
      <c r="F157" t="s">
        <v>43</v>
      </c>
      <c r="G157" s="7">
        <v>43800</v>
      </c>
      <c r="H157" t="s">
        <v>31</v>
      </c>
      <c r="I157" t="s">
        <v>69</v>
      </c>
      <c r="J157" t="s">
        <v>23</v>
      </c>
      <c r="K157">
        <f>IF(HR_Data4[[#This Row],[Phone]]="Missing",0,1)</f>
        <v>1</v>
      </c>
    </row>
    <row r="158" spans="1:11" x14ac:dyDescent="0.3">
      <c r="A158" t="s">
        <v>59</v>
      </c>
      <c r="B158">
        <v>36</v>
      </c>
      <c r="C158" s="6">
        <v>50000</v>
      </c>
      <c r="D158" t="s">
        <v>18</v>
      </c>
      <c r="E158" t="s">
        <v>30</v>
      </c>
      <c r="F158" t="s">
        <v>39</v>
      </c>
      <c r="G158" s="7">
        <v>43549</v>
      </c>
      <c r="H158" t="s">
        <v>21</v>
      </c>
      <c r="I158" t="s">
        <v>22</v>
      </c>
      <c r="J158" t="s">
        <v>45</v>
      </c>
      <c r="K158">
        <f>IF(HR_Data4[[#This Row],[Phone]]="Missing",0,1)</f>
        <v>1</v>
      </c>
    </row>
    <row r="159" spans="1:11" x14ac:dyDescent="0.3">
      <c r="A159" t="s">
        <v>56</v>
      </c>
      <c r="B159">
        <v>40</v>
      </c>
      <c r="C159" s="6">
        <v>55000</v>
      </c>
      <c r="D159" t="s">
        <v>18</v>
      </c>
      <c r="E159" t="s">
        <v>37</v>
      </c>
      <c r="F159" t="s">
        <v>39</v>
      </c>
      <c r="G159" s="7">
        <v>43549</v>
      </c>
      <c r="H159" t="s">
        <v>21</v>
      </c>
      <c r="I159" t="s">
        <v>69</v>
      </c>
      <c r="J159" t="s">
        <v>23</v>
      </c>
      <c r="K159">
        <f>IF(HR_Data4[[#This Row],[Phone]]="Missing",0,1)</f>
        <v>1</v>
      </c>
    </row>
    <row r="160" spans="1:11" x14ac:dyDescent="0.3">
      <c r="A160" t="s">
        <v>55</v>
      </c>
      <c r="B160">
        <v>36</v>
      </c>
      <c r="C160" s="6">
        <v>50000</v>
      </c>
      <c r="D160" t="s">
        <v>11</v>
      </c>
      <c r="E160" t="s">
        <v>19</v>
      </c>
      <c r="F160" t="s">
        <v>43</v>
      </c>
      <c r="G160" s="7">
        <v>43845</v>
      </c>
      <c r="H160" t="s">
        <v>14</v>
      </c>
      <c r="I160" t="s">
        <v>32</v>
      </c>
      <c r="J160" t="s">
        <v>69</v>
      </c>
      <c r="K160">
        <f>IF(HR_Data4[[#This Row],[Phone]]="Missing",0,1)</f>
        <v>0</v>
      </c>
    </row>
    <row r="161" spans="1:11" x14ac:dyDescent="0.3">
      <c r="A161" t="s">
        <v>53</v>
      </c>
      <c r="B161">
        <v>30</v>
      </c>
      <c r="C161" s="6">
        <v>55000</v>
      </c>
      <c r="D161" t="s">
        <v>11</v>
      </c>
      <c r="E161" t="s">
        <v>30</v>
      </c>
      <c r="F161" t="s">
        <v>13</v>
      </c>
      <c r="G161" s="7">
        <v>43549</v>
      </c>
      <c r="H161" t="s">
        <v>14</v>
      </c>
      <c r="I161" t="s">
        <v>15</v>
      </c>
      <c r="J161" t="s">
        <v>69</v>
      </c>
      <c r="K161">
        <f>IF(HR_Data4[[#This Row],[Phone]]="Missing",0,1)</f>
        <v>0</v>
      </c>
    </row>
    <row r="162" spans="1:11" x14ac:dyDescent="0.3">
      <c r="A162" t="s">
        <v>57</v>
      </c>
      <c r="B162">
        <v>30</v>
      </c>
      <c r="C162" s="6">
        <v>55000</v>
      </c>
      <c r="D162" t="s">
        <v>11</v>
      </c>
      <c r="E162" t="s">
        <v>12</v>
      </c>
      <c r="F162" t="s">
        <v>44</v>
      </c>
      <c r="G162" s="7">
        <v>43845</v>
      </c>
      <c r="H162" t="s">
        <v>14</v>
      </c>
      <c r="I162" t="s">
        <v>32</v>
      </c>
      <c r="J162" t="s">
        <v>69</v>
      </c>
      <c r="K162">
        <f>IF(HR_Data4[[#This Row],[Phone]]="Missing",0,1)</f>
        <v>0</v>
      </c>
    </row>
    <row r="163" spans="1:11" x14ac:dyDescent="0.3">
      <c r="A163" t="s">
        <v>53</v>
      </c>
      <c r="B163">
        <v>25</v>
      </c>
      <c r="C163" s="6">
        <v>50000</v>
      </c>
      <c r="D163" t="s">
        <v>18</v>
      </c>
      <c r="E163" t="s">
        <v>12</v>
      </c>
      <c r="F163" t="s">
        <v>44</v>
      </c>
      <c r="G163" s="7">
        <v>43845</v>
      </c>
      <c r="H163" t="s">
        <v>21</v>
      </c>
      <c r="I163" t="s">
        <v>69</v>
      </c>
      <c r="J163" t="s">
        <v>45</v>
      </c>
      <c r="K163">
        <f>IF(HR_Data4[[#This Row],[Phone]]="Missing",0,1)</f>
        <v>1</v>
      </c>
    </row>
    <row r="164" spans="1:11" x14ac:dyDescent="0.3">
      <c r="A164" t="s">
        <v>60</v>
      </c>
      <c r="B164">
        <v>40</v>
      </c>
      <c r="C164" s="6">
        <v>70000</v>
      </c>
      <c r="D164" t="s">
        <v>11</v>
      </c>
      <c r="E164" t="s">
        <v>26</v>
      </c>
      <c r="F164" t="s">
        <v>13</v>
      </c>
      <c r="G164" s="7">
        <v>43881</v>
      </c>
      <c r="H164" t="s">
        <v>41</v>
      </c>
      <c r="I164" t="s">
        <v>22</v>
      </c>
      <c r="J164" t="s">
        <v>69</v>
      </c>
      <c r="K164">
        <f>IF(HR_Data4[[#This Row],[Phone]]="Missing",0,1)</f>
        <v>0</v>
      </c>
    </row>
    <row r="165" spans="1:11" x14ac:dyDescent="0.3">
      <c r="A165" t="s">
        <v>52</v>
      </c>
      <c r="B165">
        <v>36</v>
      </c>
      <c r="C165" s="6">
        <v>55000</v>
      </c>
      <c r="D165" t="s">
        <v>11</v>
      </c>
      <c r="E165" t="s">
        <v>37</v>
      </c>
      <c r="F165" t="s">
        <v>43</v>
      </c>
      <c r="G165" s="7">
        <v>43549</v>
      </c>
      <c r="H165" t="s">
        <v>21</v>
      </c>
      <c r="I165" t="s">
        <v>22</v>
      </c>
      <c r="J165" t="s">
        <v>45</v>
      </c>
      <c r="K165">
        <f>IF(HR_Data4[[#This Row],[Phone]]="Missing",0,1)</f>
        <v>1</v>
      </c>
    </row>
    <row r="166" spans="1:11" x14ac:dyDescent="0.3">
      <c r="A166" t="s">
        <v>59</v>
      </c>
      <c r="B166">
        <v>35</v>
      </c>
      <c r="C166" s="6">
        <v>50000</v>
      </c>
      <c r="D166" t="s">
        <v>11</v>
      </c>
      <c r="E166" t="s">
        <v>26</v>
      </c>
      <c r="F166" t="s">
        <v>44</v>
      </c>
      <c r="G166" s="7">
        <v>43845</v>
      </c>
      <c r="H166" t="s">
        <v>27</v>
      </c>
      <c r="I166" t="s">
        <v>69</v>
      </c>
      <c r="J166" t="s">
        <v>69</v>
      </c>
      <c r="K166">
        <f>IF(HR_Data4[[#This Row],[Phone]]="Missing",0,1)</f>
        <v>0</v>
      </c>
    </row>
    <row r="167" spans="1:11" x14ac:dyDescent="0.3">
      <c r="A167" t="s">
        <v>59</v>
      </c>
      <c r="B167">
        <v>30</v>
      </c>
      <c r="C167" s="6">
        <v>55000</v>
      </c>
      <c r="D167" t="s">
        <v>18</v>
      </c>
      <c r="E167" t="s">
        <v>26</v>
      </c>
      <c r="F167" t="s">
        <v>43</v>
      </c>
      <c r="G167" s="7">
        <v>43881</v>
      </c>
      <c r="H167" t="s">
        <v>21</v>
      </c>
      <c r="I167" t="s">
        <v>22</v>
      </c>
      <c r="J167" t="s">
        <v>45</v>
      </c>
      <c r="K167">
        <f>IF(HR_Data4[[#This Row],[Phone]]="Missing",0,1)</f>
        <v>1</v>
      </c>
    </row>
    <row r="168" spans="1:11" x14ac:dyDescent="0.3">
      <c r="A168" t="s">
        <v>55</v>
      </c>
      <c r="B168">
        <v>30</v>
      </c>
      <c r="C168" s="6">
        <v>60000</v>
      </c>
      <c r="D168" t="s">
        <v>36</v>
      </c>
      <c r="E168" t="s">
        <v>26</v>
      </c>
      <c r="F168" t="s">
        <v>43</v>
      </c>
      <c r="G168" s="7">
        <v>43195</v>
      </c>
      <c r="H168" t="s">
        <v>21</v>
      </c>
      <c r="I168" t="s">
        <v>15</v>
      </c>
      <c r="J168" t="s">
        <v>69</v>
      </c>
      <c r="K168">
        <f>IF(HR_Data4[[#This Row],[Phone]]="Missing",0,1)</f>
        <v>0</v>
      </c>
    </row>
    <row r="169" spans="1:11" x14ac:dyDescent="0.3">
      <c r="A169" t="s">
        <v>52</v>
      </c>
      <c r="B169">
        <v>35</v>
      </c>
      <c r="C169" s="6">
        <v>70000</v>
      </c>
      <c r="D169" t="s">
        <v>11</v>
      </c>
      <c r="E169" t="s">
        <v>12</v>
      </c>
      <c r="F169" t="s">
        <v>39</v>
      </c>
      <c r="G169" s="7">
        <v>43881</v>
      </c>
      <c r="H169" t="s">
        <v>31</v>
      </c>
      <c r="I169" t="s">
        <v>69</v>
      </c>
      <c r="J169" t="s">
        <v>69</v>
      </c>
      <c r="K169">
        <f>IF(HR_Data4[[#This Row],[Phone]]="Missing",0,1)</f>
        <v>0</v>
      </c>
    </row>
    <row r="170" spans="1:11" x14ac:dyDescent="0.3">
      <c r="A170" t="s">
        <v>51</v>
      </c>
      <c r="B170">
        <v>36</v>
      </c>
      <c r="C170" s="6">
        <v>65000</v>
      </c>
      <c r="D170" t="s">
        <v>36</v>
      </c>
      <c r="E170" t="s">
        <v>12</v>
      </c>
      <c r="F170" t="s">
        <v>13</v>
      </c>
      <c r="G170" s="7">
        <v>43881</v>
      </c>
      <c r="H170" t="s">
        <v>31</v>
      </c>
      <c r="I170" t="s">
        <v>32</v>
      </c>
      <c r="J170" t="s">
        <v>45</v>
      </c>
      <c r="K170">
        <f>IF(HR_Data4[[#This Row],[Phone]]="Missing",0,1)</f>
        <v>1</v>
      </c>
    </row>
    <row r="171" spans="1:11" x14ac:dyDescent="0.3">
      <c r="A171" t="s">
        <v>58</v>
      </c>
      <c r="B171">
        <v>36</v>
      </c>
      <c r="C171" s="6">
        <v>55000</v>
      </c>
      <c r="D171" t="s">
        <v>11</v>
      </c>
      <c r="E171" t="s">
        <v>26</v>
      </c>
      <c r="F171" t="s">
        <v>43</v>
      </c>
      <c r="G171" s="7">
        <v>43845</v>
      </c>
      <c r="H171" t="s">
        <v>31</v>
      </c>
      <c r="I171" t="s">
        <v>69</v>
      </c>
      <c r="J171" t="s">
        <v>69</v>
      </c>
      <c r="K171">
        <f>IF(HR_Data4[[#This Row],[Phone]]="Missing",0,1)</f>
        <v>0</v>
      </c>
    </row>
    <row r="172" spans="1:11" x14ac:dyDescent="0.3">
      <c r="A172" t="s">
        <v>56</v>
      </c>
      <c r="B172">
        <v>40</v>
      </c>
      <c r="C172" s="6">
        <v>60000</v>
      </c>
      <c r="D172" t="s">
        <v>36</v>
      </c>
      <c r="E172" t="s">
        <v>12</v>
      </c>
      <c r="F172" t="s">
        <v>20</v>
      </c>
      <c r="G172" s="7">
        <v>43800</v>
      </c>
      <c r="H172" t="s">
        <v>21</v>
      </c>
      <c r="I172" t="s">
        <v>22</v>
      </c>
      <c r="J172" t="s">
        <v>69</v>
      </c>
      <c r="K172">
        <f>IF(HR_Data4[[#This Row],[Phone]]="Missing",0,1)</f>
        <v>0</v>
      </c>
    </row>
    <row r="173" spans="1:11" x14ac:dyDescent="0.3">
      <c r="A173" t="s">
        <v>59</v>
      </c>
      <c r="B173">
        <v>40</v>
      </c>
      <c r="C173" s="6">
        <v>65000</v>
      </c>
      <c r="D173" t="s">
        <v>18</v>
      </c>
      <c r="E173" t="s">
        <v>37</v>
      </c>
      <c r="F173" t="s">
        <v>13</v>
      </c>
      <c r="G173" s="7">
        <v>43800</v>
      </c>
      <c r="H173" t="s">
        <v>41</v>
      </c>
      <c r="I173" t="s">
        <v>32</v>
      </c>
      <c r="J173" t="s">
        <v>45</v>
      </c>
      <c r="K173">
        <f>IF(HR_Data4[[#This Row],[Phone]]="Missing",0,1)</f>
        <v>1</v>
      </c>
    </row>
    <row r="174" spans="1:11" x14ac:dyDescent="0.3">
      <c r="A174" t="s">
        <v>54</v>
      </c>
      <c r="B174">
        <v>50</v>
      </c>
      <c r="C174" s="6">
        <v>65000</v>
      </c>
      <c r="D174" t="s">
        <v>18</v>
      </c>
      <c r="E174" t="s">
        <v>26</v>
      </c>
      <c r="F174" t="s">
        <v>44</v>
      </c>
      <c r="G174" s="7">
        <v>43800</v>
      </c>
      <c r="H174" t="s">
        <v>27</v>
      </c>
      <c r="I174" t="s">
        <v>69</v>
      </c>
      <c r="J174" t="s">
        <v>69</v>
      </c>
      <c r="K174">
        <f>IF(HR_Data4[[#This Row],[Phone]]="Missing",0,1)</f>
        <v>0</v>
      </c>
    </row>
    <row r="175" spans="1:11" x14ac:dyDescent="0.3">
      <c r="A175" t="s">
        <v>59</v>
      </c>
      <c r="B175">
        <v>50</v>
      </c>
      <c r="C175" s="6">
        <v>55000</v>
      </c>
      <c r="D175" t="s">
        <v>11</v>
      </c>
      <c r="E175" t="s">
        <v>12</v>
      </c>
      <c r="F175" t="s">
        <v>39</v>
      </c>
      <c r="G175" s="7">
        <v>43881</v>
      </c>
      <c r="H175" t="s">
        <v>27</v>
      </c>
      <c r="I175" t="s">
        <v>69</v>
      </c>
      <c r="J175" t="s">
        <v>69</v>
      </c>
      <c r="K175">
        <f>IF(HR_Data4[[#This Row],[Phone]]="Missing",0,1)</f>
        <v>0</v>
      </c>
    </row>
    <row r="176" spans="1:11" x14ac:dyDescent="0.3">
      <c r="A176" t="s">
        <v>53</v>
      </c>
      <c r="B176">
        <v>25</v>
      </c>
      <c r="C176" s="6">
        <v>50000</v>
      </c>
      <c r="D176" t="s">
        <v>36</v>
      </c>
      <c r="E176" t="s">
        <v>30</v>
      </c>
      <c r="F176" t="s">
        <v>44</v>
      </c>
      <c r="G176" s="7">
        <v>43845</v>
      </c>
      <c r="H176" t="s">
        <v>41</v>
      </c>
      <c r="I176" t="s">
        <v>32</v>
      </c>
      <c r="J176" t="s">
        <v>69</v>
      </c>
      <c r="K176">
        <f>IF(HR_Data4[[#This Row],[Phone]]="Missing",0,1)</f>
        <v>0</v>
      </c>
    </row>
    <row r="177" spans="1:11" x14ac:dyDescent="0.3">
      <c r="A177" t="s">
        <v>59</v>
      </c>
      <c r="B177">
        <v>30</v>
      </c>
      <c r="C177" s="6">
        <v>55000</v>
      </c>
      <c r="D177" t="s">
        <v>18</v>
      </c>
      <c r="E177" t="s">
        <v>26</v>
      </c>
      <c r="F177" t="s">
        <v>44</v>
      </c>
      <c r="G177" s="7">
        <v>43549</v>
      </c>
      <c r="H177" t="s">
        <v>41</v>
      </c>
      <c r="I177" t="s">
        <v>32</v>
      </c>
      <c r="J177" t="s">
        <v>69</v>
      </c>
      <c r="K177">
        <f>IF(HR_Data4[[#This Row],[Phone]]="Missing",0,1)</f>
        <v>0</v>
      </c>
    </row>
    <row r="178" spans="1:11" x14ac:dyDescent="0.3">
      <c r="A178" t="s">
        <v>59</v>
      </c>
      <c r="B178">
        <v>40</v>
      </c>
      <c r="C178" s="6">
        <v>60000</v>
      </c>
      <c r="D178" t="s">
        <v>11</v>
      </c>
      <c r="E178" t="s">
        <v>26</v>
      </c>
      <c r="F178" t="s">
        <v>13</v>
      </c>
      <c r="G178" s="7">
        <v>43881</v>
      </c>
      <c r="H178" t="s">
        <v>27</v>
      </c>
      <c r="I178" t="s">
        <v>32</v>
      </c>
      <c r="J178" t="s">
        <v>69</v>
      </c>
      <c r="K178">
        <f>IF(HR_Data4[[#This Row],[Phone]]="Missing",0,1)</f>
        <v>0</v>
      </c>
    </row>
    <row r="179" spans="1:11" x14ac:dyDescent="0.3">
      <c r="A179" t="s">
        <v>58</v>
      </c>
      <c r="B179">
        <v>36</v>
      </c>
      <c r="C179" s="6">
        <v>65000</v>
      </c>
      <c r="D179" t="s">
        <v>11</v>
      </c>
      <c r="E179" t="s">
        <v>37</v>
      </c>
      <c r="F179" t="s">
        <v>44</v>
      </c>
      <c r="G179" s="7">
        <v>43881</v>
      </c>
      <c r="H179" t="s">
        <v>14</v>
      </c>
      <c r="I179" t="s">
        <v>15</v>
      </c>
      <c r="J179" t="s">
        <v>45</v>
      </c>
      <c r="K179">
        <f>IF(HR_Data4[[#This Row],[Phone]]="Missing",0,1)</f>
        <v>1</v>
      </c>
    </row>
    <row r="180" spans="1:11" x14ac:dyDescent="0.3">
      <c r="A180" t="s">
        <v>58</v>
      </c>
      <c r="B180">
        <v>35</v>
      </c>
      <c r="C180" s="6">
        <v>55000</v>
      </c>
      <c r="D180" t="s">
        <v>18</v>
      </c>
      <c r="E180" t="s">
        <v>19</v>
      </c>
      <c r="F180" t="s">
        <v>43</v>
      </c>
      <c r="G180" s="7">
        <v>43845</v>
      </c>
      <c r="H180" t="s">
        <v>31</v>
      </c>
      <c r="I180" t="s">
        <v>69</v>
      </c>
      <c r="J180" t="s">
        <v>69</v>
      </c>
      <c r="K180">
        <f>IF(HR_Data4[[#This Row],[Phone]]="Missing",0,1)</f>
        <v>0</v>
      </c>
    </row>
    <row r="181" spans="1:11" x14ac:dyDescent="0.3">
      <c r="A181" t="s">
        <v>57</v>
      </c>
      <c r="B181">
        <v>36</v>
      </c>
      <c r="C181" s="6">
        <v>50000</v>
      </c>
      <c r="D181" t="s">
        <v>18</v>
      </c>
      <c r="E181" t="s">
        <v>19</v>
      </c>
      <c r="F181" t="s">
        <v>44</v>
      </c>
      <c r="G181" s="7">
        <v>43195</v>
      </c>
      <c r="H181" t="s">
        <v>31</v>
      </c>
      <c r="I181" t="s">
        <v>32</v>
      </c>
      <c r="J181" t="s">
        <v>69</v>
      </c>
      <c r="K181">
        <f>IF(HR_Data4[[#This Row],[Phone]]="Missing",0,1)</f>
        <v>0</v>
      </c>
    </row>
    <row r="182" spans="1:11" x14ac:dyDescent="0.3">
      <c r="A182" t="s">
        <v>51</v>
      </c>
      <c r="B182">
        <v>30</v>
      </c>
      <c r="C182" s="6">
        <v>55000</v>
      </c>
      <c r="D182" t="s">
        <v>11</v>
      </c>
      <c r="E182" t="s">
        <v>37</v>
      </c>
      <c r="F182" t="s">
        <v>39</v>
      </c>
      <c r="G182" s="7">
        <v>43881</v>
      </c>
      <c r="H182" t="s">
        <v>27</v>
      </c>
      <c r="I182" t="s">
        <v>69</v>
      </c>
      <c r="J182" t="s">
        <v>23</v>
      </c>
      <c r="K182">
        <f>IF(HR_Data4[[#This Row],[Phone]]="Missing",0,1)</f>
        <v>1</v>
      </c>
    </row>
    <row r="183" spans="1:11" x14ac:dyDescent="0.3">
      <c r="A183" t="s">
        <v>54</v>
      </c>
      <c r="B183">
        <v>50</v>
      </c>
      <c r="C183" s="6">
        <v>70000</v>
      </c>
      <c r="D183" t="s">
        <v>36</v>
      </c>
      <c r="E183" t="s">
        <v>37</v>
      </c>
      <c r="F183" t="s">
        <v>39</v>
      </c>
      <c r="G183" s="7">
        <v>43195</v>
      </c>
      <c r="H183" t="s">
        <v>41</v>
      </c>
      <c r="I183" t="s">
        <v>32</v>
      </c>
      <c r="J183" t="s">
        <v>69</v>
      </c>
      <c r="K183">
        <f>IF(HR_Data4[[#This Row],[Phone]]="Missing",0,1)</f>
        <v>0</v>
      </c>
    </row>
    <row r="184" spans="1:11" x14ac:dyDescent="0.3">
      <c r="A184" t="s">
        <v>59</v>
      </c>
      <c r="B184">
        <v>36</v>
      </c>
      <c r="C184" s="6">
        <v>50000</v>
      </c>
      <c r="D184" t="s">
        <v>36</v>
      </c>
      <c r="E184" t="s">
        <v>37</v>
      </c>
      <c r="F184" t="s">
        <v>20</v>
      </c>
      <c r="G184" s="7">
        <v>43195</v>
      </c>
      <c r="H184" t="s">
        <v>14</v>
      </c>
      <c r="I184" t="s">
        <v>69</v>
      </c>
      <c r="J184" t="s">
        <v>69</v>
      </c>
      <c r="K184">
        <f>IF(HR_Data4[[#This Row],[Phone]]="Missing",0,1)</f>
        <v>0</v>
      </c>
    </row>
    <row r="185" spans="1:11" x14ac:dyDescent="0.3">
      <c r="A185" t="s">
        <v>59</v>
      </c>
      <c r="B185">
        <v>25</v>
      </c>
      <c r="C185" s="6">
        <v>60000</v>
      </c>
      <c r="D185" t="s">
        <v>36</v>
      </c>
      <c r="E185" t="s">
        <v>19</v>
      </c>
      <c r="F185" t="s">
        <v>39</v>
      </c>
      <c r="G185" s="7">
        <v>43800</v>
      </c>
      <c r="H185" t="s">
        <v>27</v>
      </c>
      <c r="I185" t="s">
        <v>69</v>
      </c>
      <c r="J185" t="s">
        <v>23</v>
      </c>
      <c r="K185">
        <f>IF(HR_Data4[[#This Row],[Phone]]="Missing",0,1)</f>
        <v>1</v>
      </c>
    </row>
    <row r="186" spans="1:11" x14ac:dyDescent="0.3">
      <c r="A186" t="s">
        <v>56</v>
      </c>
      <c r="B186">
        <v>30</v>
      </c>
      <c r="C186" s="6">
        <v>65000</v>
      </c>
      <c r="D186" t="s">
        <v>11</v>
      </c>
      <c r="E186" t="s">
        <v>37</v>
      </c>
      <c r="F186" t="s">
        <v>44</v>
      </c>
      <c r="G186" s="7">
        <v>43845</v>
      </c>
      <c r="H186" t="s">
        <v>31</v>
      </c>
      <c r="I186" t="s">
        <v>69</v>
      </c>
      <c r="J186" t="s">
        <v>69</v>
      </c>
      <c r="K186">
        <f>IF(HR_Data4[[#This Row],[Phone]]="Missing",0,1)</f>
        <v>0</v>
      </c>
    </row>
    <row r="187" spans="1:11" x14ac:dyDescent="0.3">
      <c r="A187" t="s">
        <v>58</v>
      </c>
      <c r="B187">
        <v>50</v>
      </c>
      <c r="C187" s="6">
        <v>55000</v>
      </c>
      <c r="D187" t="s">
        <v>18</v>
      </c>
      <c r="E187" t="s">
        <v>12</v>
      </c>
      <c r="F187" t="s">
        <v>39</v>
      </c>
      <c r="G187" s="7">
        <v>43195</v>
      </c>
      <c r="H187" t="s">
        <v>21</v>
      </c>
      <c r="I187" t="s">
        <v>22</v>
      </c>
      <c r="J187" t="s">
        <v>28</v>
      </c>
      <c r="K187">
        <f>IF(HR_Data4[[#This Row],[Phone]]="Missing",0,1)</f>
        <v>1</v>
      </c>
    </row>
    <row r="188" spans="1:11" x14ac:dyDescent="0.3">
      <c r="A188" t="s">
        <v>54</v>
      </c>
      <c r="B188">
        <v>35</v>
      </c>
      <c r="C188" s="6">
        <v>50000</v>
      </c>
      <c r="D188" t="s">
        <v>11</v>
      </c>
      <c r="E188" t="s">
        <v>26</v>
      </c>
      <c r="F188" t="s">
        <v>13</v>
      </c>
      <c r="G188" s="7">
        <v>43845</v>
      </c>
      <c r="H188" t="s">
        <v>41</v>
      </c>
      <c r="I188" t="s">
        <v>32</v>
      </c>
      <c r="J188" t="s">
        <v>28</v>
      </c>
      <c r="K188">
        <f>IF(HR_Data4[[#This Row],[Phone]]="Missing",0,1)</f>
        <v>1</v>
      </c>
    </row>
    <row r="189" spans="1:11" x14ac:dyDescent="0.3">
      <c r="A189" t="s">
        <v>55</v>
      </c>
      <c r="B189">
        <v>50</v>
      </c>
      <c r="C189" s="6">
        <v>70000</v>
      </c>
      <c r="D189" t="s">
        <v>18</v>
      </c>
      <c r="E189" t="s">
        <v>26</v>
      </c>
      <c r="F189" t="s">
        <v>39</v>
      </c>
      <c r="G189" s="7">
        <v>43800</v>
      </c>
      <c r="H189" t="s">
        <v>21</v>
      </c>
      <c r="I189" t="s">
        <v>22</v>
      </c>
      <c r="J189" t="s">
        <v>69</v>
      </c>
      <c r="K189">
        <f>IF(HR_Data4[[#This Row],[Phone]]="Missing",0,1)</f>
        <v>0</v>
      </c>
    </row>
    <row r="190" spans="1:11" x14ac:dyDescent="0.3">
      <c r="A190" t="s">
        <v>57</v>
      </c>
      <c r="B190">
        <v>25</v>
      </c>
      <c r="C190" s="6">
        <v>50000</v>
      </c>
      <c r="D190" t="s">
        <v>36</v>
      </c>
      <c r="E190" t="s">
        <v>30</v>
      </c>
      <c r="F190" t="s">
        <v>43</v>
      </c>
      <c r="G190" s="7">
        <v>43845</v>
      </c>
      <c r="H190" t="s">
        <v>27</v>
      </c>
      <c r="I190" t="s">
        <v>69</v>
      </c>
      <c r="J190" t="s">
        <v>69</v>
      </c>
      <c r="K190">
        <f>IF(HR_Data4[[#This Row],[Phone]]="Missing",0,1)</f>
        <v>0</v>
      </c>
    </row>
    <row r="191" spans="1:11" x14ac:dyDescent="0.3">
      <c r="A191" t="s">
        <v>51</v>
      </c>
      <c r="B191">
        <v>30</v>
      </c>
      <c r="C191" s="6" t="s">
        <v>68</v>
      </c>
      <c r="D191" t="s">
        <v>36</v>
      </c>
      <c r="E191" t="s">
        <v>30</v>
      </c>
      <c r="F191" t="s">
        <v>13</v>
      </c>
      <c r="G191" s="7">
        <v>43881</v>
      </c>
      <c r="H191" t="s">
        <v>31</v>
      </c>
      <c r="I191" t="s">
        <v>22</v>
      </c>
      <c r="J191" t="s">
        <v>28</v>
      </c>
      <c r="K191">
        <f>IF(HR_Data4[[#This Row],[Phone]]="Missing",0,1)</f>
        <v>1</v>
      </c>
    </row>
    <row r="192" spans="1:11" x14ac:dyDescent="0.3">
      <c r="A192" t="s">
        <v>52</v>
      </c>
      <c r="B192">
        <v>35</v>
      </c>
      <c r="C192" s="6">
        <v>70000</v>
      </c>
      <c r="D192" t="s">
        <v>18</v>
      </c>
      <c r="E192" t="s">
        <v>26</v>
      </c>
      <c r="F192" t="s">
        <v>20</v>
      </c>
      <c r="G192" s="7">
        <v>43195</v>
      </c>
      <c r="H192" t="s">
        <v>14</v>
      </c>
      <c r="I192" t="s">
        <v>69</v>
      </c>
      <c r="J192" t="s">
        <v>45</v>
      </c>
      <c r="K192">
        <f>IF(HR_Data4[[#This Row],[Phone]]="Missing",0,1)</f>
        <v>1</v>
      </c>
    </row>
    <row r="193" spans="1:11" x14ac:dyDescent="0.3">
      <c r="A193" t="s">
        <v>51</v>
      </c>
      <c r="B193">
        <v>25</v>
      </c>
      <c r="C193" s="6">
        <v>60000</v>
      </c>
      <c r="D193" t="s">
        <v>18</v>
      </c>
      <c r="E193" t="s">
        <v>12</v>
      </c>
      <c r="F193" t="s">
        <v>43</v>
      </c>
      <c r="G193" s="7">
        <v>43845</v>
      </c>
      <c r="H193" t="s">
        <v>21</v>
      </c>
      <c r="I193" t="s">
        <v>69</v>
      </c>
      <c r="J193" t="s">
        <v>45</v>
      </c>
      <c r="K193">
        <f>IF(HR_Data4[[#This Row],[Phone]]="Missing",0,1)</f>
        <v>1</v>
      </c>
    </row>
    <row r="194" spans="1:11" x14ac:dyDescent="0.3">
      <c r="A194" t="s">
        <v>53</v>
      </c>
      <c r="B194">
        <v>50</v>
      </c>
      <c r="C194" s="6">
        <v>65000</v>
      </c>
      <c r="D194" t="s">
        <v>11</v>
      </c>
      <c r="E194" t="s">
        <v>19</v>
      </c>
      <c r="F194" t="s">
        <v>44</v>
      </c>
      <c r="G194" s="7">
        <v>43549</v>
      </c>
      <c r="H194" t="s">
        <v>14</v>
      </c>
      <c r="I194" t="s">
        <v>69</v>
      </c>
      <c r="J194" t="s">
        <v>23</v>
      </c>
      <c r="K194">
        <f>IF(HR_Data4[[#This Row],[Phone]]="Missing",0,1)</f>
        <v>1</v>
      </c>
    </row>
    <row r="195" spans="1:11" x14ac:dyDescent="0.3">
      <c r="A195" t="s">
        <v>59</v>
      </c>
      <c r="B195">
        <v>25</v>
      </c>
      <c r="C195" s="6">
        <v>60000</v>
      </c>
      <c r="D195" t="s">
        <v>36</v>
      </c>
      <c r="E195" t="s">
        <v>19</v>
      </c>
      <c r="F195" t="s">
        <v>44</v>
      </c>
      <c r="G195" s="7">
        <v>43845</v>
      </c>
      <c r="H195" t="s">
        <v>31</v>
      </c>
      <c r="I195" t="s">
        <v>22</v>
      </c>
      <c r="J195" t="s">
        <v>69</v>
      </c>
      <c r="K195">
        <f>IF(HR_Data4[[#This Row],[Phone]]="Missing",0,1)</f>
        <v>0</v>
      </c>
    </row>
    <row r="196" spans="1:11" x14ac:dyDescent="0.3">
      <c r="A196" t="s">
        <v>57</v>
      </c>
      <c r="B196">
        <v>30</v>
      </c>
      <c r="C196" s="6">
        <v>55000</v>
      </c>
      <c r="D196" t="s">
        <v>11</v>
      </c>
      <c r="E196" t="s">
        <v>12</v>
      </c>
      <c r="F196" t="s">
        <v>44</v>
      </c>
      <c r="G196" s="7">
        <v>43195</v>
      </c>
      <c r="H196" t="s">
        <v>21</v>
      </c>
      <c r="I196" t="s">
        <v>32</v>
      </c>
      <c r="J196" t="s">
        <v>69</v>
      </c>
      <c r="K196">
        <f>IF(HR_Data4[[#This Row],[Phone]]="Missing",0,1)</f>
        <v>0</v>
      </c>
    </row>
    <row r="197" spans="1:11" x14ac:dyDescent="0.3">
      <c r="A197" t="s">
        <v>53</v>
      </c>
      <c r="B197">
        <v>40</v>
      </c>
      <c r="C197" s="6">
        <v>50000</v>
      </c>
      <c r="D197" t="s">
        <v>11</v>
      </c>
      <c r="E197" t="s">
        <v>19</v>
      </c>
      <c r="F197" t="s">
        <v>43</v>
      </c>
      <c r="G197" s="7">
        <v>43800</v>
      </c>
      <c r="H197" t="s">
        <v>14</v>
      </c>
      <c r="I197" t="s">
        <v>22</v>
      </c>
      <c r="J197" t="s">
        <v>28</v>
      </c>
      <c r="K197">
        <f>IF(HR_Data4[[#This Row],[Phone]]="Missing",0,1)</f>
        <v>1</v>
      </c>
    </row>
    <row r="198" spans="1:11" x14ac:dyDescent="0.3">
      <c r="A198" t="s">
        <v>54</v>
      </c>
      <c r="B198">
        <v>25</v>
      </c>
      <c r="C198" s="6" t="s">
        <v>68</v>
      </c>
      <c r="D198" t="s">
        <v>11</v>
      </c>
      <c r="E198" t="s">
        <v>37</v>
      </c>
      <c r="F198" t="s">
        <v>43</v>
      </c>
      <c r="G198" s="7">
        <v>43800</v>
      </c>
      <c r="H198" t="s">
        <v>14</v>
      </c>
      <c r="I198" t="s">
        <v>32</v>
      </c>
      <c r="J198" t="s">
        <v>69</v>
      </c>
      <c r="K198">
        <f>IF(HR_Data4[[#This Row],[Phone]]="Missing",0,1)</f>
        <v>0</v>
      </c>
    </row>
    <row r="199" spans="1:11" x14ac:dyDescent="0.3">
      <c r="A199" t="s">
        <v>52</v>
      </c>
      <c r="B199">
        <v>25</v>
      </c>
      <c r="C199" s="6">
        <v>70000</v>
      </c>
      <c r="D199" t="s">
        <v>36</v>
      </c>
      <c r="E199" t="s">
        <v>26</v>
      </c>
      <c r="F199" t="s">
        <v>43</v>
      </c>
      <c r="G199" s="7">
        <v>43195</v>
      </c>
      <c r="H199" t="s">
        <v>21</v>
      </c>
      <c r="I199" t="s">
        <v>32</v>
      </c>
      <c r="J199" t="s">
        <v>69</v>
      </c>
      <c r="K199">
        <f>IF(HR_Data4[[#This Row],[Phone]]="Missing",0,1)</f>
        <v>0</v>
      </c>
    </row>
    <row r="200" spans="1:11" x14ac:dyDescent="0.3">
      <c r="A200" t="s">
        <v>58</v>
      </c>
      <c r="B200">
        <v>50</v>
      </c>
      <c r="C200" s="6">
        <v>70000</v>
      </c>
      <c r="D200" t="s">
        <v>11</v>
      </c>
      <c r="E200" t="s">
        <v>26</v>
      </c>
      <c r="F200" t="s">
        <v>13</v>
      </c>
      <c r="G200" s="7">
        <v>43881</v>
      </c>
      <c r="H200" t="s">
        <v>31</v>
      </c>
      <c r="I200" t="s">
        <v>69</v>
      </c>
      <c r="J200" t="s">
        <v>28</v>
      </c>
      <c r="K200">
        <f>IF(HR_Data4[[#This Row],[Phone]]="Missing",0,1)</f>
        <v>1</v>
      </c>
    </row>
    <row r="201" spans="1:11" x14ac:dyDescent="0.3">
      <c r="A201" t="s">
        <v>57</v>
      </c>
      <c r="B201">
        <v>50</v>
      </c>
      <c r="C201" s="6">
        <v>50000</v>
      </c>
      <c r="D201" t="s">
        <v>11</v>
      </c>
      <c r="E201" t="s">
        <v>12</v>
      </c>
      <c r="F201" t="s">
        <v>13</v>
      </c>
      <c r="G201" s="7">
        <v>43881</v>
      </c>
      <c r="H201" t="s">
        <v>14</v>
      </c>
      <c r="I201" t="s">
        <v>22</v>
      </c>
      <c r="J201" t="s">
        <v>28</v>
      </c>
      <c r="K201">
        <f>IF(HR_Data4[[#This Row],[Phone]]="Missing",0,1)</f>
        <v>1</v>
      </c>
    </row>
    <row r="202" spans="1:11" x14ac:dyDescent="0.3">
      <c r="A202" t="s">
        <v>57</v>
      </c>
      <c r="B202">
        <v>35</v>
      </c>
      <c r="C202" s="6" t="s">
        <v>68</v>
      </c>
      <c r="D202" t="s">
        <v>11</v>
      </c>
      <c r="E202" t="s">
        <v>19</v>
      </c>
      <c r="F202" t="s">
        <v>44</v>
      </c>
      <c r="G202" s="7">
        <v>43800</v>
      </c>
      <c r="H202" t="s">
        <v>27</v>
      </c>
      <c r="I202" t="s">
        <v>32</v>
      </c>
      <c r="J202" t="s">
        <v>69</v>
      </c>
      <c r="K202">
        <f>IF(HR_Data4[[#This Row],[Phone]]="Missing",0,1)</f>
        <v>0</v>
      </c>
    </row>
    <row r="203" spans="1:11" x14ac:dyDescent="0.3">
      <c r="A203" t="s">
        <v>59</v>
      </c>
      <c r="B203">
        <v>50</v>
      </c>
      <c r="C203" s="6">
        <v>50000</v>
      </c>
      <c r="D203" t="s">
        <v>11</v>
      </c>
      <c r="E203" t="s">
        <v>30</v>
      </c>
      <c r="F203" t="s">
        <v>39</v>
      </c>
      <c r="G203" s="7">
        <v>43800</v>
      </c>
      <c r="H203" t="s">
        <v>21</v>
      </c>
      <c r="I203" t="s">
        <v>69</v>
      </c>
      <c r="J203" t="s">
        <v>28</v>
      </c>
      <c r="K203">
        <f>IF(HR_Data4[[#This Row],[Phone]]="Missing",0,1)</f>
        <v>1</v>
      </c>
    </row>
    <row r="204" spans="1:11" x14ac:dyDescent="0.3">
      <c r="A204" t="s">
        <v>60</v>
      </c>
      <c r="B204">
        <v>36</v>
      </c>
      <c r="C204" s="6">
        <v>55000</v>
      </c>
      <c r="D204" t="s">
        <v>11</v>
      </c>
      <c r="E204" t="s">
        <v>30</v>
      </c>
      <c r="F204" t="s">
        <v>44</v>
      </c>
      <c r="G204" s="7">
        <v>43195</v>
      </c>
      <c r="H204" t="s">
        <v>41</v>
      </c>
      <c r="I204" t="s">
        <v>32</v>
      </c>
      <c r="J204" t="s">
        <v>23</v>
      </c>
      <c r="K204">
        <f>IF(HR_Data4[[#This Row],[Phone]]="Missing",0,1)</f>
        <v>1</v>
      </c>
    </row>
    <row r="205" spans="1:11" x14ac:dyDescent="0.3">
      <c r="A205" t="s">
        <v>57</v>
      </c>
      <c r="B205">
        <v>30</v>
      </c>
      <c r="C205" s="6">
        <v>60000</v>
      </c>
      <c r="D205" t="s">
        <v>11</v>
      </c>
      <c r="E205" t="s">
        <v>19</v>
      </c>
      <c r="F205" t="s">
        <v>20</v>
      </c>
      <c r="G205" s="7">
        <v>43881</v>
      </c>
      <c r="H205" t="s">
        <v>41</v>
      </c>
      <c r="I205" t="s">
        <v>69</v>
      </c>
      <c r="J205" t="s">
        <v>23</v>
      </c>
      <c r="K205">
        <f>IF(HR_Data4[[#This Row],[Phone]]="Missing",0,1)</f>
        <v>1</v>
      </c>
    </row>
    <row r="206" spans="1:11" x14ac:dyDescent="0.3">
      <c r="A206" t="s">
        <v>56</v>
      </c>
      <c r="B206">
        <v>30</v>
      </c>
      <c r="C206" s="6">
        <v>70000</v>
      </c>
      <c r="D206" t="s">
        <v>36</v>
      </c>
      <c r="E206" t="s">
        <v>30</v>
      </c>
      <c r="F206" t="s">
        <v>13</v>
      </c>
      <c r="G206" s="7">
        <v>43800</v>
      </c>
      <c r="H206" t="s">
        <v>31</v>
      </c>
      <c r="I206" t="s">
        <v>22</v>
      </c>
      <c r="J206" t="s">
        <v>69</v>
      </c>
      <c r="K206">
        <f>IF(HR_Data4[[#This Row],[Phone]]="Missing",0,1)</f>
        <v>0</v>
      </c>
    </row>
    <row r="207" spans="1:11" x14ac:dyDescent="0.3">
      <c r="A207" t="s">
        <v>52</v>
      </c>
      <c r="B207">
        <v>40</v>
      </c>
      <c r="C207" s="6">
        <v>55000</v>
      </c>
      <c r="D207" t="s">
        <v>11</v>
      </c>
      <c r="E207" t="s">
        <v>12</v>
      </c>
      <c r="F207" t="s">
        <v>43</v>
      </c>
      <c r="G207" s="7">
        <v>43881</v>
      </c>
      <c r="H207" t="s">
        <v>27</v>
      </c>
      <c r="I207" t="s">
        <v>22</v>
      </c>
      <c r="J207" t="s">
        <v>69</v>
      </c>
      <c r="K207">
        <f>IF(HR_Data4[[#This Row],[Phone]]="Missing",0,1)</f>
        <v>0</v>
      </c>
    </row>
    <row r="208" spans="1:11" x14ac:dyDescent="0.3">
      <c r="A208" t="s">
        <v>52</v>
      </c>
      <c r="B208">
        <v>40</v>
      </c>
      <c r="C208" s="6">
        <v>60000</v>
      </c>
      <c r="D208" t="s">
        <v>18</v>
      </c>
      <c r="E208" t="s">
        <v>12</v>
      </c>
      <c r="F208" t="s">
        <v>13</v>
      </c>
      <c r="G208" s="7">
        <v>43800</v>
      </c>
      <c r="H208" t="s">
        <v>14</v>
      </c>
      <c r="I208" t="s">
        <v>22</v>
      </c>
      <c r="J208" t="s">
        <v>23</v>
      </c>
      <c r="K208">
        <f>IF(HR_Data4[[#This Row],[Phone]]="Missing",0,1)</f>
        <v>1</v>
      </c>
    </row>
    <row r="209" spans="1:11" x14ac:dyDescent="0.3">
      <c r="A209" t="s">
        <v>56</v>
      </c>
      <c r="B209">
        <v>30</v>
      </c>
      <c r="C209" s="6">
        <v>55000</v>
      </c>
      <c r="D209" t="s">
        <v>11</v>
      </c>
      <c r="E209" t="s">
        <v>19</v>
      </c>
      <c r="F209" t="s">
        <v>43</v>
      </c>
      <c r="G209" s="7">
        <v>43845</v>
      </c>
      <c r="H209" t="s">
        <v>41</v>
      </c>
      <c r="I209" t="s">
        <v>32</v>
      </c>
      <c r="J209" t="s">
        <v>23</v>
      </c>
      <c r="K209">
        <f>IF(HR_Data4[[#This Row],[Phone]]="Missing",0,1)</f>
        <v>1</v>
      </c>
    </row>
    <row r="210" spans="1:11" x14ac:dyDescent="0.3">
      <c r="A210" t="s">
        <v>55</v>
      </c>
      <c r="B210">
        <v>40</v>
      </c>
      <c r="C210" s="6" t="s">
        <v>68</v>
      </c>
      <c r="D210" t="s">
        <v>11</v>
      </c>
      <c r="E210" t="s">
        <v>30</v>
      </c>
      <c r="F210" t="s">
        <v>20</v>
      </c>
      <c r="G210" s="7">
        <v>43549</v>
      </c>
      <c r="H210" t="s">
        <v>31</v>
      </c>
      <c r="I210" t="s">
        <v>15</v>
      </c>
      <c r="J210" t="s">
        <v>69</v>
      </c>
      <c r="K210">
        <f>IF(HR_Data4[[#This Row],[Phone]]="Missing",0,1)</f>
        <v>0</v>
      </c>
    </row>
    <row r="211" spans="1:11" x14ac:dyDescent="0.3">
      <c r="A211" t="s">
        <v>56</v>
      </c>
      <c r="B211">
        <v>35</v>
      </c>
      <c r="C211" s="6">
        <v>70000</v>
      </c>
      <c r="D211" t="s">
        <v>36</v>
      </c>
      <c r="E211" t="s">
        <v>12</v>
      </c>
      <c r="F211" t="s">
        <v>20</v>
      </c>
      <c r="G211" s="7">
        <v>43845</v>
      </c>
      <c r="H211" t="s">
        <v>27</v>
      </c>
      <c r="I211" t="s">
        <v>32</v>
      </c>
      <c r="J211" t="s">
        <v>45</v>
      </c>
      <c r="K211">
        <f>IF(HR_Data4[[#This Row],[Phone]]="Missing",0,1)</f>
        <v>1</v>
      </c>
    </row>
    <row r="212" spans="1:11" x14ac:dyDescent="0.3">
      <c r="A212" t="s">
        <v>56</v>
      </c>
      <c r="B212">
        <v>50</v>
      </c>
      <c r="C212" s="6">
        <v>50000</v>
      </c>
      <c r="D212" t="s">
        <v>36</v>
      </c>
      <c r="E212" t="s">
        <v>12</v>
      </c>
      <c r="F212" t="s">
        <v>13</v>
      </c>
      <c r="G212" s="7">
        <v>43800</v>
      </c>
      <c r="H212" t="s">
        <v>27</v>
      </c>
      <c r="I212" t="s">
        <v>32</v>
      </c>
      <c r="J212" t="s">
        <v>28</v>
      </c>
      <c r="K212">
        <f>IF(HR_Data4[[#This Row],[Phone]]="Missing",0,1)</f>
        <v>1</v>
      </c>
    </row>
    <row r="213" spans="1:11" x14ac:dyDescent="0.3">
      <c r="A213" t="s">
        <v>52</v>
      </c>
      <c r="B213">
        <v>30</v>
      </c>
      <c r="C213" s="6">
        <v>50000</v>
      </c>
      <c r="D213" t="s">
        <v>18</v>
      </c>
      <c r="E213" t="s">
        <v>37</v>
      </c>
      <c r="F213" t="s">
        <v>43</v>
      </c>
      <c r="G213" s="7">
        <v>43549</v>
      </c>
      <c r="H213" t="s">
        <v>31</v>
      </c>
      <c r="I213" t="s">
        <v>69</v>
      </c>
      <c r="J213" t="s">
        <v>23</v>
      </c>
      <c r="K213">
        <f>IF(HR_Data4[[#This Row],[Phone]]="Missing",0,1)</f>
        <v>1</v>
      </c>
    </row>
    <row r="214" spans="1:11" x14ac:dyDescent="0.3">
      <c r="A214" t="s">
        <v>51</v>
      </c>
      <c r="B214">
        <v>40</v>
      </c>
      <c r="C214" s="6">
        <v>60000</v>
      </c>
      <c r="D214" t="s">
        <v>18</v>
      </c>
      <c r="E214" t="s">
        <v>37</v>
      </c>
      <c r="F214" t="s">
        <v>20</v>
      </c>
      <c r="G214" s="7">
        <v>43549</v>
      </c>
      <c r="H214" t="s">
        <v>31</v>
      </c>
      <c r="I214" t="s">
        <v>69</v>
      </c>
      <c r="J214" t="s">
        <v>45</v>
      </c>
      <c r="K214">
        <f>IF(HR_Data4[[#This Row],[Phone]]="Missing",0,1)</f>
        <v>1</v>
      </c>
    </row>
    <row r="215" spans="1:11" x14ac:dyDescent="0.3">
      <c r="A215" t="s">
        <v>52</v>
      </c>
      <c r="B215">
        <v>30</v>
      </c>
      <c r="C215" s="6">
        <v>65000</v>
      </c>
      <c r="D215" t="s">
        <v>36</v>
      </c>
      <c r="E215" t="s">
        <v>12</v>
      </c>
      <c r="F215" t="s">
        <v>44</v>
      </c>
      <c r="G215" s="7">
        <v>43800</v>
      </c>
      <c r="H215" t="s">
        <v>14</v>
      </c>
      <c r="I215" t="s">
        <v>32</v>
      </c>
      <c r="J215" t="s">
        <v>69</v>
      </c>
      <c r="K215">
        <f>IF(HR_Data4[[#This Row],[Phone]]="Missing",0,1)</f>
        <v>0</v>
      </c>
    </row>
    <row r="216" spans="1:11" x14ac:dyDescent="0.3">
      <c r="A216" t="s">
        <v>60</v>
      </c>
      <c r="B216">
        <v>36</v>
      </c>
      <c r="C216" s="6" t="s">
        <v>68</v>
      </c>
      <c r="D216" t="s">
        <v>36</v>
      </c>
      <c r="E216" t="s">
        <v>19</v>
      </c>
      <c r="F216" t="s">
        <v>44</v>
      </c>
      <c r="G216" s="7">
        <v>43800</v>
      </c>
      <c r="H216" t="s">
        <v>31</v>
      </c>
      <c r="I216" t="s">
        <v>69</v>
      </c>
      <c r="J216" t="s">
        <v>45</v>
      </c>
      <c r="K216">
        <f>IF(HR_Data4[[#This Row],[Phone]]="Missing",0,1)</f>
        <v>1</v>
      </c>
    </row>
    <row r="217" spans="1:11" x14ac:dyDescent="0.3">
      <c r="A217" t="s">
        <v>59</v>
      </c>
      <c r="B217">
        <v>25</v>
      </c>
      <c r="C217" s="6">
        <v>60000</v>
      </c>
      <c r="D217" t="s">
        <v>11</v>
      </c>
      <c r="E217" t="s">
        <v>26</v>
      </c>
      <c r="F217" t="s">
        <v>43</v>
      </c>
      <c r="G217" s="7">
        <v>43881</v>
      </c>
      <c r="H217" t="s">
        <v>14</v>
      </c>
      <c r="I217" t="s">
        <v>69</v>
      </c>
      <c r="J217" t="s">
        <v>69</v>
      </c>
      <c r="K217">
        <f>IF(HR_Data4[[#This Row],[Phone]]="Missing",0,1)</f>
        <v>0</v>
      </c>
    </row>
    <row r="218" spans="1:11" x14ac:dyDescent="0.3">
      <c r="A218" t="s">
        <v>53</v>
      </c>
      <c r="B218">
        <v>50</v>
      </c>
      <c r="C218" s="6">
        <v>65000</v>
      </c>
      <c r="D218" t="s">
        <v>36</v>
      </c>
      <c r="E218" t="s">
        <v>26</v>
      </c>
      <c r="F218" t="s">
        <v>13</v>
      </c>
      <c r="G218" s="7">
        <v>43800</v>
      </c>
      <c r="H218" t="s">
        <v>14</v>
      </c>
      <c r="I218" t="s">
        <v>32</v>
      </c>
      <c r="J218" t="s">
        <v>69</v>
      </c>
      <c r="K218">
        <f>IF(HR_Data4[[#This Row],[Phone]]="Missing",0,1)</f>
        <v>0</v>
      </c>
    </row>
    <row r="219" spans="1:11" x14ac:dyDescent="0.3">
      <c r="A219" t="s">
        <v>51</v>
      </c>
      <c r="B219">
        <v>30</v>
      </c>
      <c r="C219" s="6">
        <v>55000</v>
      </c>
      <c r="D219" t="s">
        <v>18</v>
      </c>
      <c r="E219" t="s">
        <v>12</v>
      </c>
      <c r="F219" t="s">
        <v>20</v>
      </c>
      <c r="G219" s="7">
        <v>43195</v>
      </c>
      <c r="H219" t="s">
        <v>21</v>
      </c>
      <c r="I219" t="s">
        <v>15</v>
      </c>
      <c r="J219" t="s">
        <v>69</v>
      </c>
      <c r="K219">
        <f>IF(HR_Data4[[#This Row],[Phone]]="Missing",0,1)</f>
        <v>0</v>
      </c>
    </row>
    <row r="220" spans="1:11" x14ac:dyDescent="0.3">
      <c r="A220" t="s">
        <v>58</v>
      </c>
      <c r="B220">
        <v>25</v>
      </c>
      <c r="C220" s="6" t="s">
        <v>68</v>
      </c>
      <c r="D220" t="s">
        <v>11</v>
      </c>
      <c r="E220" t="s">
        <v>12</v>
      </c>
      <c r="F220" t="s">
        <v>13</v>
      </c>
      <c r="G220" s="7">
        <v>43800</v>
      </c>
      <c r="H220" t="s">
        <v>27</v>
      </c>
      <c r="I220" t="s">
        <v>69</v>
      </c>
      <c r="J220" t="s">
        <v>45</v>
      </c>
      <c r="K220">
        <f>IF(HR_Data4[[#This Row],[Phone]]="Missing",0,1)</f>
        <v>1</v>
      </c>
    </row>
    <row r="221" spans="1:11" x14ac:dyDescent="0.3">
      <c r="A221" t="s">
        <v>53</v>
      </c>
      <c r="B221">
        <v>40</v>
      </c>
      <c r="C221" s="6">
        <v>55000</v>
      </c>
      <c r="D221" t="s">
        <v>18</v>
      </c>
      <c r="E221" t="s">
        <v>12</v>
      </c>
      <c r="F221" t="s">
        <v>44</v>
      </c>
      <c r="G221" s="7">
        <v>43195</v>
      </c>
      <c r="H221" t="s">
        <v>27</v>
      </c>
      <c r="I221" t="s">
        <v>22</v>
      </c>
      <c r="J221" t="s">
        <v>69</v>
      </c>
      <c r="K221">
        <f>IF(HR_Data4[[#This Row],[Phone]]="Missing",0,1)</f>
        <v>0</v>
      </c>
    </row>
    <row r="222" spans="1:11" x14ac:dyDescent="0.3">
      <c r="A222" t="s">
        <v>59</v>
      </c>
      <c r="B222">
        <v>25</v>
      </c>
      <c r="C222" s="6">
        <v>70000</v>
      </c>
      <c r="D222" t="s">
        <v>11</v>
      </c>
      <c r="E222" t="s">
        <v>19</v>
      </c>
      <c r="F222" t="s">
        <v>20</v>
      </c>
      <c r="G222" s="7">
        <v>43800</v>
      </c>
      <c r="H222" t="s">
        <v>27</v>
      </c>
      <c r="I222" t="s">
        <v>32</v>
      </c>
      <c r="J222" t="s">
        <v>23</v>
      </c>
      <c r="K222">
        <f>IF(HR_Data4[[#This Row],[Phone]]="Missing",0,1)</f>
        <v>1</v>
      </c>
    </row>
    <row r="223" spans="1:11" x14ac:dyDescent="0.3">
      <c r="A223" t="s">
        <v>60</v>
      </c>
      <c r="B223">
        <v>50</v>
      </c>
      <c r="C223" s="6" t="s">
        <v>68</v>
      </c>
      <c r="D223" t="s">
        <v>36</v>
      </c>
      <c r="E223" t="s">
        <v>37</v>
      </c>
      <c r="F223" t="s">
        <v>13</v>
      </c>
      <c r="G223" s="7">
        <v>43881</v>
      </c>
      <c r="H223" t="s">
        <v>21</v>
      </c>
      <c r="I223" t="s">
        <v>32</v>
      </c>
      <c r="J223" t="s">
        <v>45</v>
      </c>
      <c r="K223">
        <f>IF(HR_Data4[[#This Row],[Phone]]="Missing",0,1)</f>
        <v>1</v>
      </c>
    </row>
    <row r="224" spans="1:11" x14ac:dyDescent="0.3">
      <c r="A224" t="s">
        <v>60</v>
      </c>
      <c r="B224">
        <v>30</v>
      </c>
      <c r="C224" s="6">
        <v>65000</v>
      </c>
      <c r="D224" t="s">
        <v>18</v>
      </c>
      <c r="E224" t="s">
        <v>12</v>
      </c>
      <c r="F224" t="s">
        <v>39</v>
      </c>
      <c r="G224" s="7">
        <v>43195</v>
      </c>
      <c r="H224" t="s">
        <v>14</v>
      </c>
      <c r="I224" t="s">
        <v>69</v>
      </c>
      <c r="J224" t="s">
        <v>23</v>
      </c>
      <c r="K224">
        <f>IF(HR_Data4[[#This Row],[Phone]]="Missing",0,1)</f>
        <v>1</v>
      </c>
    </row>
    <row r="225" spans="1:11" x14ac:dyDescent="0.3">
      <c r="A225" t="s">
        <v>58</v>
      </c>
      <c r="B225">
        <v>36</v>
      </c>
      <c r="C225" s="6">
        <v>70000</v>
      </c>
      <c r="D225" t="s">
        <v>11</v>
      </c>
      <c r="E225" t="s">
        <v>12</v>
      </c>
      <c r="F225" t="s">
        <v>43</v>
      </c>
      <c r="G225" s="7">
        <v>43845</v>
      </c>
      <c r="H225" t="s">
        <v>14</v>
      </c>
      <c r="I225" t="s">
        <v>69</v>
      </c>
      <c r="J225" t="s">
        <v>45</v>
      </c>
      <c r="K225">
        <f>IF(HR_Data4[[#This Row],[Phone]]="Missing",0,1)</f>
        <v>1</v>
      </c>
    </row>
    <row r="226" spans="1:11" x14ac:dyDescent="0.3">
      <c r="A226" t="s">
        <v>51</v>
      </c>
      <c r="B226">
        <v>40</v>
      </c>
      <c r="C226" s="6">
        <v>50000</v>
      </c>
      <c r="D226" t="s">
        <v>11</v>
      </c>
      <c r="E226" t="s">
        <v>30</v>
      </c>
      <c r="F226" t="s">
        <v>43</v>
      </c>
      <c r="G226" s="7">
        <v>43195</v>
      </c>
      <c r="H226" t="s">
        <v>31</v>
      </c>
      <c r="I226" t="s">
        <v>69</v>
      </c>
      <c r="J226" t="s">
        <v>23</v>
      </c>
      <c r="K226">
        <f>IF(HR_Data4[[#This Row],[Phone]]="Missing",0,1)</f>
        <v>1</v>
      </c>
    </row>
    <row r="227" spans="1:11" x14ac:dyDescent="0.3">
      <c r="A227" t="s">
        <v>55</v>
      </c>
      <c r="B227">
        <v>30</v>
      </c>
      <c r="C227" s="6">
        <v>65000</v>
      </c>
      <c r="D227" t="s">
        <v>36</v>
      </c>
      <c r="E227" t="s">
        <v>19</v>
      </c>
      <c r="F227" t="s">
        <v>39</v>
      </c>
      <c r="G227" s="7">
        <v>43881</v>
      </c>
      <c r="H227" t="s">
        <v>21</v>
      </c>
      <c r="I227" t="s">
        <v>69</v>
      </c>
      <c r="J227" t="s">
        <v>45</v>
      </c>
      <c r="K227">
        <f>IF(HR_Data4[[#This Row],[Phone]]="Missing",0,1)</f>
        <v>1</v>
      </c>
    </row>
    <row r="228" spans="1:11" x14ac:dyDescent="0.3">
      <c r="A228" t="s">
        <v>56</v>
      </c>
      <c r="B228">
        <v>50</v>
      </c>
      <c r="C228" s="6">
        <v>60000</v>
      </c>
      <c r="D228" t="s">
        <v>36</v>
      </c>
      <c r="E228" t="s">
        <v>12</v>
      </c>
      <c r="F228" t="s">
        <v>44</v>
      </c>
      <c r="G228" s="7">
        <v>43195</v>
      </c>
      <c r="H228" t="s">
        <v>31</v>
      </c>
      <c r="I228" t="s">
        <v>22</v>
      </c>
      <c r="J228" t="s">
        <v>69</v>
      </c>
      <c r="K228">
        <f>IF(HR_Data4[[#This Row],[Phone]]="Missing",0,1)</f>
        <v>0</v>
      </c>
    </row>
    <row r="229" spans="1:11" x14ac:dyDescent="0.3">
      <c r="A229" t="s">
        <v>51</v>
      </c>
      <c r="B229">
        <v>40</v>
      </c>
      <c r="C229" s="6">
        <v>50000</v>
      </c>
      <c r="D229" t="s">
        <v>36</v>
      </c>
      <c r="E229" t="s">
        <v>30</v>
      </c>
      <c r="F229" t="s">
        <v>20</v>
      </c>
      <c r="G229" s="7">
        <v>43800</v>
      </c>
      <c r="H229" t="s">
        <v>21</v>
      </c>
      <c r="I229" t="s">
        <v>69</v>
      </c>
      <c r="J229" t="s">
        <v>28</v>
      </c>
      <c r="K229">
        <f>IF(HR_Data4[[#This Row],[Phone]]="Missing",0,1)</f>
        <v>1</v>
      </c>
    </row>
    <row r="230" spans="1:11" x14ac:dyDescent="0.3">
      <c r="A230" t="s">
        <v>55</v>
      </c>
      <c r="B230">
        <v>35</v>
      </c>
      <c r="C230" s="6">
        <v>50000</v>
      </c>
      <c r="D230" t="s">
        <v>18</v>
      </c>
      <c r="E230" t="s">
        <v>26</v>
      </c>
      <c r="F230" t="s">
        <v>43</v>
      </c>
      <c r="G230" s="7">
        <v>43800</v>
      </c>
      <c r="H230" t="s">
        <v>31</v>
      </c>
      <c r="I230" t="s">
        <v>69</v>
      </c>
      <c r="J230" t="s">
        <v>69</v>
      </c>
      <c r="K230">
        <f>IF(HR_Data4[[#This Row],[Phone]]="Missing",0,1)</f>
        <v>0</v>
      </c>
    </row>
    <row r="231" spans="1:11" x14ac:dyDescent="0.3">
      <c r="A231" t="s">
        <v>60</v>
      </c>
      <c r="B231">
        <v>25</v>
      </c>
      <c r="C231" s="6">
        <v>60000</v>
      </c>
      <c r="D231" t="s">
        <v>11</v>
      </c>
      <c r="E231" t="s">
        <v>12</v>
      </c>
      <c r="F231" t="s">
        <v>39</v>
      </c>
      <c r="G231" s="7">
        <v>43881</v>
      </c>
      <c r="H231" t="s">
        <v>41</v>
      </c>
      <c r="I231" t="s">
        <v>69</v>
      </c>
      <c r="J231" t="s">
        <v>23</v>
      </c>
      <c r="K231">
        <f>IF(HR_Data4[[#This Row],[Phone]]="Missing",0,1)</f>
        <v>1</v>
      </c>
    </row>
    <row r="232" spans="1:11" x14ac:dyDescent="0.3">
      <c r="A232" t="s">
        <v>52</v>
      </c>
      <c r="B232">
        <v>50</v>
      </c>
      <c r="C232" s="6" t="s">
        <v>68</v>
      </c>
      <c r="D232" t="s">
        <v>36</v>
      </c>
      <c r="E232" t="s">
        <v>12</v>
      </c>
      <c r="F232" t="s">
        <v>39</v>
      </c>
      <c r="G232" s="7">
        <v>43549</v>
      </c>
      <c r="H232" t="s">
        <v>27</v>
      </c>
      <c r="I232" t="s">
        <v>69</v>
      </c>
      <c r="J232" t="s">
        <v>69</v>
      </c>
      <c r="K232">
        <f>IF(HR_Data4[[#This Row],[Phone]]="Missing",0,1)</f>
        <v>0</v>
      </c>
    </row>
    <row r="233" spans="1:11" x14ac:dyDescent="0.3">
      <c r="A233" t="s">
        <v>59</v>
      </c>
      <c r="B233">
        <v>35</v>
      </c>
      <c r="C233" s="6">
        <v>50000</v>
      </c>
      <c r="D233" t="s">
        <v>18</v>
      </c>
      <c r="E233" t="s">
        <v>30</v>
      </c>
      <c r="F233" t="s">
        <v>44</v>
      </c>
      <c r="G233" s="7">
        <v>43800</v>
      </c>
      <c r="H233" t="s">
        <v>27</v>
      </c>
      <c r="I233" t="s">
        <v>15</v>
      </c>
      <c r="J233" t="s">
        <v>69</v>
      </c>
      <c r="K233">
        <f>IF(HR_Data4[[#This Row],[Phone]]="Missing",0,1)</f>
        <v>0</v>
      </c>
    </row>
    <row r="234" spans="1:11" x14ac:dyDescent="0.3">
      <c r="A234" t="s">
        <v>58</v>
      </c>
      <c r="B234">
        <v>30</v>
      </c>
      <c r="C234" s="6">
        <v>65000</v>
      </c>
      <c r="D234" t="s">
        <v>18</v>
      </c>
      <c r="E234" t="s">
        <v>19</v>
      </c>
      <c r="F234" t="s">
        <v>44</v>
      </c>
      <c r="G234" s="7">
        <v>43845</v>
      </c>
      <c r="H234" t="s">
        <v>14</v>
      </c>
      <c r="I234" t="s">
        <v>15</v>
      </c>
      <c r="J234" t="s">
        <v>28</v>
      </c>
      <c r="K234">
        <f>IF(HR_Data4[[#This Row],[Phone]]="Missing",0,1)</f>
        <v>1</v>
      </c>
    </row>
    <row r="235" spans="1:11" x14ac:dyDescent="0.3">
      <c r="A235" t="s">
        <v>59</v>
      </c>
      <c r="B235">
        <v>36</v>
      </c>
      <c r="C235" s="6">
        <v>70000</v>
      </c>
      <c r="D235" t="s">
        <v>18</v>
      </c>
      <c r="E235" t="s">
        <v>12</v>
      </c>
      <c r="F235" t="s">
        <v>13</v>
      </c>
      <c r="G235" s="7">
        <v>43881</v>
      </c>
      <c r="H235" t="s">
        <v>41</v>
      </c>
      <c r="I235" t="s">
        <v>32</v>
      </c>
      <c r="J235" t="s">
        <v>23</v>
      </c>
      <c r="K235">
        <f>IF(HR_Data4[[#This Row],[Phone]]="Missing",0,1)</f>
        <v>1</v>
      </c>
    </row>
    <row r="236" spans="1:11" x14ac:dyDescent="0.3">
      <c r="A236" t="s">
        <v>54</v>
      </c>
      <c r="B236">
        <v>40</v>
      </c>
      <c r="C236" s="6">
        <v>50000</v>
      </c>
      <c r="D236" t="s">
        <v>36</v>
      </c>
      <c r="E236" t="s">
        <v>26</v>
      </c>
      <c r="F236" t="s">
        <v>43</v>
      </c>
      <c r="G236" s="7">
        <v>43195</v>
      </c>
      <c r="H236" t="s">
        <v>27</v>
      </c>
      <c r="I236" t="s">
        <v>32</v>
      </c>
      <c r="J236" t="s">
        <v>69</v>
      </c>
      <c r="K236">
        <f>IF(HR_Data4[[#This Row],[Phone]]="Missing",0,1)</f>
        <v>0</v>
      </c>
    </row>
    <row r="237" spans="1:11" x14ac:dyDescent="0.3">
      <c r="A237" t="s">
        <v>54</v>
      </c>
      <c r="B237">
        <v>25</v>
      </c>
      <c r="C237" s="6">
        <v>65000</v>
      </c>
      <c r="D237" t="s">
        <v>36</v>
      </c>
      <c r="E237" t="s">
        <v>12</v>
      </c>
      <c r="F237" t="s">
        <v>13</v>
      </c>
      <c r="G237" s="7">
        <v>43195</v>
      </c>
      <c r="H237" t="s">
        <v>14</v>
      </c>
      <c r="I237" t="s">
        <v>69</v>
      </c>
      <c r="J237" t="s">
        <v>45</v>
      </c>
      <c r="K237">
        <f>IF(HR_Data4[[#This Row],[Phone]]="Missing",0,1)</f>
        <v>1</v>
      </c>
    </row>
    <row r="238" spans="1:11" x14ac:dyDescent="0.3">
      <c r="A238" t="s">
        <v>51</v>
      </c>
      <c r="B238">
        <v>40</v>
      </c>
      <c r="C238" s="6">
        <v>55000</v>
      </c>
      <c r="D238" t="s">
        <v>11</v>
      </c>
      <c r="E238" t="s">
        <v>26</v>
      </c>
      <c r="F238" t="s">
        <v>39</v>
      </c>
      <c r="G238" s="7">
        <v>43845</v>
      </c>
      <c r="H238" t="s">
        <v>41</v>
      </c>
      <c r="I238" t="s">
        <v>69</v>
      </c>
      <c r="J238" t="s">
        <v>69</v>
      </c>
      <c r="K238">
        <f>IF(HR_Data4[[#This Row],[Phone]]="Missing",0,1)</f>
        <v>0</v>
      </c>
    </row>
    <row r="239" spans="1:11" x14ac:dyDescent="0.3">
      <c r="A239" t="s">
        <v>60</v>
      </c>
      <c r="B239">
        <v>30</v>
      </c>
      <c r="C239" s="6">
        <v>65000</v>
      </c>
      <c r="D239" t="s">
        <v>11</v>
      </c>
      <c r="E239" t="s">
        <v>37</v>
      </c>
      <c r="F239" t="s">
        <v>20</v>
      </c>
      <c r="G239" s="7">
        <v>43800</v>
      </c>
      <c r="H239" t="s">
        <v>27</v>
      </c>
      <c r="I239" t="s">
        <v>22</v>
      </c>
      <c r="J239" t="s">
        <v>23</v>
      </c>
      <c r="K239">
        <f>IF(HR_Data4[[#This Row],[Phone]]="Missing",0,1)</f>
        <v>1</v>
      </c>
    </row>
    <row r="240" spans="1:11" x14ac:dyDescent="0.3">
      <c r="A240" t="s">
        <v>60</v>
      </c>
      <c r="B240">
        <v>40</v>
      </c>
      <c r="C240" s="6">
        <v>70000</v>
      </c>
      <c r="D240" t="s">
        <v>36</v>
      </c>
      <c r="E240" t="s">
        <v>37</v>
      </c>
      <c r="F240" t="s">
        <v>20</v>
      </c>
      <c r="G240" s="7">
        <v>43881</v>
      </c>
      <c r="H240" t="s">
        <v>31</v>
      </c>
      <c r="I240" t="s">
        <v>22</v>
      </c>
      <c r="J240" t="s">
        <v>69</v>
      </c>
      <c r="K240">
        <f>IF(HR_Data4[[#This Row],[Phone]]="Missing",0,1)</f>
        <v>0</v>
      </c>
    </row>
    <row r="241" spans="1:11" x14ac:dyDescent="0.3">
      <c r="A241" t="s">
        <v>56</v>
      </c>
      <c r="B241">
        <v>25</v>
      </c>
      <c r="C241" s="6">
        <v>65000</v>
      </c>
      <c r="D241" t="s">
        <v>18</v>
      </c>
      <c r="E241" t="s">
        <v>26</v>
      </c>
      <c r="F241" t="s">
        <v>44</v>
      </c>
      <c r="G241" s="7">
        <v>43845</v>
      </c>
      <c r="H241" t="s">
        <v>21</v>
      </c>
      <c r="I241" t="s">
        <v>15</v>
      </c>
      <c r="J241" t="s">
        <v>23</v>
      </c>
      <c r="K241">
        <f>IF(HR_Data4[[#This Row],[Phone]]="Missing",0,1)</f>
        <v>1</v>
      </c>
    </row>
    <row r="242" spans="1:11" x14ac:dyDescent="0.3">
      <c r="A242" t="s">
        <v>56</v>
      </c>
      <c r="B242">
        <v>30</v>
      </c>
      <c r="C242" s="6">
        <v>60000</v>
      </c>
      <c r="D242" t="s">
        <v>18</v>
      </c>
      <c r="E242" t="s">
        <v>19</v>
      </c>
      <c r="F242" t="s">
        <v>20</v>
      </c>
      <c r="G242" s="7">
        <v>43800</v>
      </c>
      <c r="H242" t="s">
        <v>41</v>
      </c>
      <c r="I242" t="s">
        <v>32</v>
      </c>
      <c r="J242" t="s">
        <v>45</v>
      </c>
      <c r="K242">
        <f>IF(HR_Data4[[#This Row],[Phone]]="Missing",0,1)</f>
        <v>1</v>
      </c>
    </row>
    <row r="243" spans="1:11" x14ac:dyDescent="0.3">
      <c r="A243" t="s">
        <v>56</v>
      </c>
      <c r="B243">
        <v>40</v>
      </c>
      <c r="C243" s="6">
        <v>70000</v>
      </c>
      <c r="D243" t="s">
        <v>18</v>
      </c>
      <c r="E243" t="s">
        <v>12</v>
      </c>
      <c r="F243" t="s">
        <v>20</v>
      </c>
      <c r="G243" s="7">
        <v>43881</v>
      </c>
      <c r="H243" t="s">
        <v>14</v>
      </c>
      <c r="I243" t="s">
        <v>15</v>
      </c>
      <c r="J243" t="s">
        <v>28</v>
      </c>
      <c r="K243">
        <f>IF(HR_Data4[[#This Row],[Phone]]="Missing",0,1)</f>
        <v>1</v>
      </c>
    </row>
    <row r="244" spans="1:11" x14ac:dyDescent="0.3">
      <c r="A244" t="s">
        <v>52</v>
      </c>
      <c r="B244">
        <v>36</v>
      </c>
      <c r="C244" s="6" t="s">
        <v>68</v>
      </c>
      <c r="D244" t="s">
        <v>11</v>
      </c>
      <c r="E244" t="s">
        <v>12</v>
      </c>
      <c r="F244" t="s">
        <v>20</v>
      </c>
      <c r="G244" s="7">
        <v>43195</v>
      </c>
      <c r="H244" t="s">
        <v>41</v>
      </c>
      <c r="I244" t="s">
        <v>15</v>
      </c>
      <c r="J244" t="s">
        <v>69</v>
      </c>
      <c r="K244">
        <f>IF(HR_Data4[[#This Row],[Phone]]="Missing",0,1)</f>
        <v>0</v>
      </c>
    </row>
    <row r="245" spans="1:11" x14ac:dyDescent="0.3">
      <c r="A245" t="s">
        <v>53</v>
      </c>
      <c r="B245">
        <v>50</v>
      </c>
      <c r="C245" s="6">
        <v>55000</v>
      </c>
      <c r="D245" t="s">
        <v>18</v>
      </c>
      <c r="E245" t="s">
        <v>37</v>
      </c>
      <c r="F245" t="s">
        <v>39</v>
      </c>
      <c r="G245" s="7">
        <v>43881</v>
      </c>
      <c r="H245" t="s">
        <v>14</v>
      </c>
      <c r="I245" t="s">
        <v>32</v>
      </c>
      <c r="J245" t="s">
        <v>23</v>
      </c>
      <c r="K245">
        <f>IF(HR_Data4[[#This Row],[Phone]]="Missing",0,1)</f>
        <v>1</v>
      </c>
    </row>
    <row r="246" spans="1:11" x14ac:dyDescent="0.3">
      <c r="A246" t="s">
        <v>57</v>
      </c>
      <c r="B246">
        <v>30</v>
      </c>
      <c r="C246" s="6">
        <v>60000</v>
      </c>
      <c r="D246" t="s">
        <v>11</v>
      </c>
      <c r="E246" t="s">
        <v>26</v>
      </c>
      <c r="F246" t="s">
        <v>20</v>
      </c>
      <c r="G246" s="7">
        <v>43549</v>
      </c>
      <c r="H246" t="s">
        <v>41</v>
      </c>
      <c r="I246" t="s">
        <v>22</v>
      </c>
      <c r="J246" t="s">
        <v>23</v>
      </c>
      <c r="K246">
        <f>IF(HR_Data4[[#This Row],[Phone]]="Missing",0,1)</f>
        <v>1</v>
      </c>
    </row>
    <row r="247" spans="1:11" x14ac:dyDescent="0.3">
      <c r="A247" t="s">
        <v>53</v>
      </c>
      <c r="B247">
        <v>50</v>
      </c>
      <c r="C247" s="6" t="s">
        <v>68</v>
      </c>
      <c r="D247" t="s">
        <v>11</v>
      </c>
      <c r="E247" t="s">
        <v>12</v>
      </c>
      <c r="F247" t="s">
        <v>20</v>
      </c>
      <c r="G247" s="7">
        <v>43881</v>
      </c>
      <c r="H247" t="s">
        <v>14</v>
      </c>
      <c r="I247" t="s">
        <v>32</v>
      </c>
      <c r="J247" t="s">
        <v>23</v>
      </c>
      <c r="K247">
        <f>IF(HR_Data4[[#This Row],[Phone]]="Missing",0,1)</f>
        <v>1</v>
      </c>
    </row>
    <row r="248" spans="1:11" x14ac:dyDescent="0.3">
      <c r="A248" t="s">
        <v>59</v>
      </c>
      <c r="B248">
        <v>30</v>
      </c>
      <c r="C248" s="6">
        <v>65000</v>
      </c>
      <c r="D248" t="s">
        <v>18</v>
      </c>
      <c r="E248" t="s">
        <v>12</v>
      </c>
      <c r="F248" t="s">
        <v>20</v>
      </c>
      <c r="G248" s="7">
        <v>43549</v>
      </c>
      <c r="H248" t="s">
        <v>27</v>
      </c>
      <c r="I248" t="s">
        <v>69</v>
      </c>
      <c r="J248" t="s">
        <v>28</v>
      </c>
      <c r="K248">
        <f>IF(HR_Data4[[#This Row],[Phone]]="Missing",0,1)</f>
        <v>1</v>
      </c>
    </row>
    <row r="249" spans="1:11" x14ac:dyDescent="0.3">
      <c r="A249" t="s">
        <v>53</v>
      </c>
      <c r="B249">
        <v>36</v>
      </c>
      <c r="C249" s="6">
        <v>70000</v>
      </c>
      <c r="D249" t="s">
        <v>18</v>
      </c>
      <c r="E249" t="s">
        <v>19</v>
      </c>
      <c r="F249" t="s">
        <v>13</v>
      </c>
      <c r="G249" s="7">
        <v>43881</v>
      </c>
      <c r="H249" t="s">
        <v>31</v>
      </c>
      <c r="I249" t="s">
        <v>69</v>
      </c>
      <c r="J249" t="s">
        <v>23</v>
      </c>
      <c r="K249">
        <f>IF(HR_Data4[[#This Row],[Phone]]="Missing",0,1)</f>
        <v>1</v>
      </c>
    </row>
    <row r="250" spans="1:11" x14ac:dyDescent="0.3">
      <c r="A250" t="s">
        <v>52</v>
      </c>
      <c r="B250">
        <v>50</v>
      </c>
      <c r="C250" s="6">
        <v>55000</v>
      </c>
      <c r="D250" t="s">
        <v>36</v>
      </c>
      <c r="E250" t="s">
        <v>30</v>
      </c>
      <c r="F250" t="s">
        <v>39</v>
      </c>
      <c r="G250" s="7">
        <v>43549</v>
      </c>
      <c r="H250" t="s">
        <v>27</v>
      </c>
      <c r="I250" t="s">
        <v>69</v>
      </c>
      <c r="J250" t="s">
        <v>69</v>
      </c>
      <c r="K250">
        <f>IF(HR_Data4[[#This Row],[Phone]]="Missing",0,1)</f>
        <v>0</v>
      </c>
    </row>
    <row r="251" spans="1:11" x14ac:dyDescent="0.3">
      <c r="A251" t="s">
        <v>59</v>
      </c>
      <c r="B251">
        <v>35</v>
      </c>
      <c r="C251" s="6">
        <v>60000</v>
      </c>
      <c r="D251" t="s">
        <v>36</v>
      </c>
      <c r="E251" t="s">
        <v>37</v>
      </c>
      <c r="F251" t="s">
        <v>44</v>
      </c>
      <c r="G251" s="7">
        <v>43195</v>
      </c>
      <c r="H251" t="s">
        <v>31</v>
      </c>
      <c r="I251" t="s">
        <v>69</v>
      </c>
      <c r="J251" t="s">
        <v>69</v>
      </c>
      <c r="K251">
        <f>IF(HR_Data4[[#This Row],[Phone]]="Missing",0,1)</f>
        <v>0</v>
      </c>
    </row>
    <row r="252" spans="1:11" x14ac:dyDescent="0.3">
      <c r="A252" t="s">
        <v>53</v>
      </c>
      <c r="B252">
        <v>25</v>
      </c>
      <c r="C252" s="6" t="s">
        <v>68</v>
      </c>
      <c r="D252" t="s">
        <v>18</v>
      </c>
      <c r="E252" t="s">
        <v>37</v>
      </c>
      <c r="F252" t="s">
        <v>13</v>
      </c>
      <c r="G252" s="7">
        <v>43800</v>
      </c>
      <c r="H252" t="s">
        <v>27</v>
      </c>
      <c r="I252" t="s">
        <v>22</v>
      </c>
      <c r="J252" t="s">
        <v>23</v>
      </c>
      <c r="K252">
        <f>IF(HR_Data4[[#This Row],[Phone]]="Missing",0,1)</f>
        <v>1</v>
      </c>
    </row>
    <row r="253" spans="1:11" x14ac:dyDescent="0.3">
      <c r="A253" t="s">
        <v>52</v>
      </c>
      <c r="B253">
        <v>35</v>
      </c>
      <c r="C253" s="6" t="s">
        <v>68</v>
      </c>
      <c r="D253" t="s">
        <v>11</v>
      </c>
      <c r="E253" t="s">
        <v>30</v>
      </c>
      <c r="F253" t="s">
        <v>43</v>
      </c>
      <c r="G253" s="7">
        <v>43549</v>
      </c>
      <c r="H253" t="s">
        <v>27</v>
      </c>
      <c r="I253" t="s">
        <v>22</v>
      </c>
      <c r="J253" t="s">
        <v>69</v>
      </c>
      <c r="K253">
        <f>IF(HR_Data4[[#This Row],[Phone]]="Missing",0,1)</f>
        <v>0</v>
      </c>
    </row>
    <row r="254" spans="1:11" x14ac:dyDescent="0.3">
      <c r="A254" t="s">
        <v>57</v>
      </c>
      <c r="B254">
        <v>40</v>
      </c>
      <c r="C254" s="6">
        <v>55000</v>
      </c>
      <c r="D254" t="s">
        <v>11</v>
      </c>
      <c r="E254" t="s">
        <v>12</v>
      </c>
      <c r="F254" t="s">
        <v>39</v>
      </c>
      <c r="G254" s="7">
        <v>43549</v>
      </c>
      <c r="H254" t="s">
        <v>41</v>
      </c>
      <c r="I254" t="s">
        <v>69</v>
      </c>
      <c r="J254" t="s">
        <v>69</v>
      </c>
      <c r="K254">
        <f>IF(HR_Data4[[#This Row],[Phone]]="Missing",0,1)</f>
        <v>0</v>
      </c>
    </row>
    <row r="255" spans="1:11" x14ac:dyDescent="0.3">
      <c r="A255" t="s">
        <v>53</v>
      </c>
      <c r="B255">
        <v>36</v>
      </c>
      <c r="C255" s="6">
        <v>65000</v>
      </c>
      <c r="D255" t="s">
        <v>11</v>
      </c>
      <c r="E255" t="s">
        <v>19</v>
      </c>
      <c r="F255" t="s">
        <v>39</v>
      </c>
      <c r="G255" s="7">
        <v>43195</v>
      </c>
      <c r="H255" t="s">
        <v>21</v>
      </c>
      <c r="I255" t="s">
        <v>15</v>
      </c>
      <c r="J255" t="s">
        <v>69</v>
      </c>
      <c r="K255">
        <f>IF(HR_Data4[[#This Row],[Phone]]="Missing",0,1)</f>
        <v>0</v>
      </c>
    </row>
    <row r="256" spans="1:11" x14ac:dyDescent="0.3">
      <c r="A256" t="s">
        <v>52</v>
      </c>
      <c r="B256">
        <v>35</v>
      </c>
      <c r="C256" s="6">
        <v>55000</v>
      </c>
      <c r="D256" t="s">
        <v>11</v>
      </c>
      <c r="E256" t="s">
        <v>19</v>
      </c>
      <c r="F256" t="s">
        <v>43</v>
      </c>
      <c r="G256" s="7">
        <v>43549</v>
      </c>
      <c r="H256" t="s">
        <v>14</v>
      </c>
      <c r="I256" t="s">
        <v>69</v>
      </c>
      <c r="J256" t="s">
        <v>23</v>
      </c>
      <c r="K256">
        <f>IF(HR_Data4[[#This Row],[Phone]]="Missing",0,1)</f>
        <v>1</v>
      </c>
    </row>
    <row r="257" spans="1:11" x14ac:dyDescent="0.3">
      <c r="A257" t="s">
        <v>56</v>
      </c>
      <c r="B257">
        <v>30</v>
      </c>
      <c r="C257" s="6" t="s">
        <v>68</v>
      </c>
      <c r="D257" t="s">
        <v>11</v>
      </c>
      <c r="E257" t="s">
        <v>37</v>
      </c>
      <c r="F257" t="s">
        <v>43</v>
      </c>
      <c r="G257" s="7">
        <v>43845</v>
      </c>
      <c r="H257" t="s">
        <v>14</v>
      </c>
      <c r="I257" t="s">
        <v>69</v>
      </c>
      <c r="J257" t="s">
        <v>45</v>
      </c>
      <c r="K257">
        <f>IF(HR_Data4[[#This Row],[Phone]]="Missing",0,1)</f>
        <v>1</v>
      </c>
    </row>
    <row r="258" spans="1:11" x14ac:dyDescent="0.3">
      <c r="A258" t="s">
        <v>60</v>
      </c>
      <c r="B258">
        <v>40</v>
      </c>
      <c r="C258" s="6">
        <v>50000</v>
      </c>
      <c r="D258" t="s">
        <v>36</v>
      </c>
      <c r="E258" t="s">
        <v>19</v>
      </c>
      <c r="F258" t="s">
        <v>43</v>
      </c>
      <c r="G258" s="7">
        <v>43195</v>
      </c>
      <c r="H258" t="s">
        <v>14</v>
      </c>
      <c r="I258" t="s">
        <v>15</v>
      </c>
      <c r="J258" t="s">
        <v>69</v>
      </c>
      <c r="K258">
        <f>IF(HR_Data4[[#This Row],[Phone]]="Missing",0,1)</f>
        <v>0</v>
      </c>
    </row>
    <row r="259" spans="1:11" x14ac:dyDescent="0.3">
      <c r="A259" t="s">
        <v>56</v>
      </c>
      <c r="B259">
        <v>40</v>
      </c>
      <c r="C259" s="6">
        <v>60000</v>
      </c>
      <c r="D259" t="s">
        <v>18</v>
      </c>
      <c r="E259" t="s">
        <v>30</v>
      </c>
      <c r="F259" t="s">
        <v>44</v>
      </c>
      <c r="G259" s="7">
        <v>43845</v>
      </c>
      <c r="H259" t="s">
        <v>31</v>
      </c>
      <c r="I259" t="s">
        <v>32</v>
      </c>
      <c r="J259" t="s">
        <v>28</v>
      </c>
      <c r="K259">
        <f>IF(HR_Data4[[#This Row],[Phone]]="Missing",0,1)</f>
        <v>1</v>
      </c>
    </row>
    <row r="260" spans="1:11" x14ac:dyDescent="0.3">
      <c r="A260" t="s">
        <v>60</v>
      </c>
      <c r="B260">
        <v>35</v>
      </c>
      <c r="C260" s="6">
        <v>55000</v>
      </c>
      <c r="D260" t="s">
        <v>36</v>
      </c>
      <c r="E260" t="s">
        <v>12</v>
      </c>
      <c r="F260" t="s">
        <v>20</v>
      </c>
      <c r="G260" s="7">
        <v>43195</v>
      </c>
      <c r="H260" t="s">
        <v>14</v>
      </c>
      <c r="I260" t="s">
        <v>32</v>
      </c>
      <c r="J260" t="s">
        <v>23</v>
      </c>
      <c r="K260">
        <f>IF(HR_Data4[[#This Row],[Phone]]="Missing",0,1)</f>
        <v>1</v>
      </c>
    </row>
    <row r="261" spans="1:11" x14ac:dyDescent="0.3">
      <c r="A261" t="s">
        <v>58</v>
      </c>
      <c r="B261">
        <v>35</v>
      </c>
      <c r="C261" s="6" t="s">
        <v>68</v>
      </c>
      <c r="D261" t="s">
        <v>11</v>
      </c>
      <c r="E261" t="s">
        <v>30</v>
      </c>
      <c r="F261" t="s">
        <v>39</v>
      </c>
      <c r="G261" s="7">
        <v>43549</v>
      </c>
      <c r="H261" t="s">
        <v>14</v>
      </c>
      <c r="I261" t="s">
        <v>22</v>
      </c>
      <c r="J261" t="s">
        <v>28</v>
      </c>
      <c r="K261">
        <f>IF(HR_Data4[[#This Row],[Phone]]="Missing",0,1)</f>
        <v>1</v>
      </c>
    </row>
    <row r="262" spans="1:11" x14ac:dyDescent="0.3">
      <c r="A262" t="s">
        <v>58</v>
      </c>
      <c r="B262">
        <v>36</v>
      </c>
      <c r="C262" s="6">
        <v>65000</v>
      </c>
      <c r="D262" t="s">
        <v>11</v>
      </c>
      <c r="E262" t="s">
        <v>26</v>
      </c>
      <c r="F262" t="s">
        <v>20</v>
      </c>
      <c r="G262" s="7">
        <v>43845</v>
      </c>
      <c r="H262" t="s">
        <v>41</v>
      </c>
      <c r="I262" t="s">
        <v>69</v>
      </c>
      <c r="J262" t="s">
        <v>45</v>
      </c>
      <c r="K262">
        <f>IF(HR_Data4[[#This Row],[Phone]]="Missing",0,1)</f>
        <v>1</v>
      </c>
    </row>
    <row r="263" spans="1:11" x14ac:dyDescent="0.3">
      <c r="A263" t="s">
        <v>58</v>
      </c>
      <c r="B263">
        <v>25</v>
      </c>
      <c r="C263" s="6" t="s">
        <v>68</v>
      </c>
      <c r="D263" t="s">
        <v>11</v>
      </c>
      <c r="E263" t="s">
        <v>37</v>
      </c>
      <c r="F263" t="s">
        <v>20</v>
      </c>
      <c r="G263" s="7">
        <v>43549</v>
      </c>
      <c r="H263" t="s">
        <v>27</v>
      </c>
      <c r="I263" t="s">
        <v>22</v>
      </c>
      <c r="J263" t="s">
        <v>28</v>
      </c>
      <c r="K263">
        <f>IF(HR_Data4[[#This Row],[Phone]]="Missing",0,1)</f>
        <v>1</v>
      </c>
    </row>
    <row r="264" spans="1:11" x14ac:dyDescent="0.3">
      <c r="A264" t="s">
        <v>57</v>
      </c>
      <c r="B264">
        <v>35</v>
      </c>
      <c r="C264" s="6">
        <v>65000</v>
      </c>
      <c r="D264" t="s">
        <v>11</v>
      </c>
      <c r="E264" t="s">
        <v>19</v>
      </c>
      <c r="F264" t="s">
        <v>43</v>
      </c>
      <c r="G264" s="7">
        <v>43195</v>
      </c>
      <c r="H264" t="s">
        <v>14</v>
      </c>
      <c r="I264" t="s">
        <v>32</v>
      </c>
      <c r="J264" t="s">
        <v>23</v>
      </c>
      <c r="K264">
        <f>IF(HR_Data4[[#This Row],[Phone]]="Missing",0,1)</f>
        <v>1</v>
      </c>
    </row>
    <row r="265" spans="1:11" x14ac:dyDescent="0.3">
      <c r="A265" t="s">
        <v>56</v>
      </c>
      <c r="B265">
        <v>35</v>
      </c>
      <c r="C265" s="6">
        <v>55000</v>
      </c>
      <c r="D265" t="s">
        <v>18</v>
      </c>
      <c r="E265" t="s">
        <v>26</v>
      </c>
      <c r="F265" t="s">
        <v>44</v>
      </c>
      <c r="G265" s="7">
        <v>43549</v>
      </c>
      <c r="H265" t="s">
        <v>21</v>
      </c>
      <c r="I265" t="s">
        <v>15</v>
      </c>
      <c r="J265" t="s">
        <v>23</v>
      </c>
      <c r="K265">
        <f>IF(HR_Data4[[#This Row],[Phone]]="Missing",0,1)</f>
        <v>1</v>
      </c>
    </row>
    <row r="266" spans="1:11" x14ac:dyDescent="0.3">
      <c r="A266" t="s">
        <v>60</v>
      </c>
      <c r="B266">
        <v>50</v>
      </c>
      <c r="C266" s="6">
        <v>65000</v>
      </c>
      <c r="D266" t="s">
        <v>11</v>
      </c>
      <c r="E266" t="s">
        <v>19</v>
      </c>
      <c r="F266" t="s">
        <v>13</v>
      </c>
      <c r="G266" s="7">
        <v>43845</v>
      </c>
      <c r="H266" t="s">
        <v>14</v>
      </c>
      <c r="I266" t="s">
        <v>22</v>
      </c>
      <c r="J266" t="s">
        <v>45</v>
      </c>
      <c r="K266">
        <f>IF(HR_Data4[[#This Row],[Phone]]="Missing",0,1)</f>
        <v>1</v>
      </c>
    </row>
    <row r="267" spans="1:11" x14ac:dyDescent="0.3">
      <c r="A267" t="s">
        <v>52</v>
      </c>
      <c r="B267">
        <v>30</v>
      </c>
      <c r="C267" s="6">
        <v>70000</v>
      </c>
      <c r="D267" t="s">
        <v>18</v>
      </c>
      <c r="E267" t="s">
        <v>12</v>
      </c>
      <c r="F267" t="s">
        <v>44</v>
      </c>
      <c r="G267" s="7">
        <v>43845</v>
      </c>
      <c r="H267" t="s">
        <v>31</v>
      </c>
      <c r="I267" t="s">
        <v>69</v>
      </c>
      <c r="J267" t="s">
        <v>23</v>
      </c>
      <c r="K267">
        <f>IF(HR_Data4[[#This Row],[Phone]]="Missing",0,1)</f>
        <v>1</v>
      </c>
    </row>
    <row r="268" spans="1:11" x14ac:dyDescent="0.3">
      <c r="A268" t="s">
        <v>59</v>
      </c>
      <c r="B268">
        <v>50</v>
      </c>
      <c r="C268" s="6">
        <v>70000</v>
      </c>
      <c r="D268" t="s">
        <v>11</v>
      </c>
      <c r="E268" t="s">
        <v>12</v>
      </c>
      <c r="F268" t="s">
        <v>20</v>
      </c>
      <c r="G268" s="7">
        <v>43549</v>
      </c>
      <c r="H268" t="s">
        <v>31</v>
      </c>
      <c r="I268" t="s">
        <v>69</v>
      </c>
      <c r="J268" t="s">
        <v>45</v>
      </c>
      <c r="K268">
        <f>IF(HR_Data4[[#This Row],[Phone]]="Missing",0,1)</f>
        <v>1</v>
      </c>
    </row>
    <row r="269" spans="1:11" x14ac:dyDescent="0.3">
      <c r="A269" t="s">
        <v>52</v>
      </c>
      <c r="B269">
        <v>50</v>
      </c>
      <c r="C269" s="6">
        <v>70000</v>
      </c>
      <c r="D269" t="s">
        <v>18</v>
      </c>
      <c r="E269" t="s">
        <v>12</v>
      </c>
      <c r="F269" t="s">
        <v>44</v>
      </c>
      <c r="G269" s="7">
        <v>43881</v>
      </c>
      <c r="H269" t="s">
        <v>31</v>
      </c>
      <c r="I269" t="s">
        <v>15</v>
      </c>
      <c r="J269" t="s">
        <v>45</v>
      </c>
      <c r="K269">
        <f>IF(HR_Data4[[#This Row],[Phone]]="Missing",0,1)</f>
        <v>1</v>
      </c>
    </row>
    <row r="270" spans="1:11" x14ac:dyDescent="0.3">
      <c r="A270" t="s">
        <v>59</v>
      </c>
      <c r="B270">
        <v>40</v>
      </c>
      <c r="C270" s="6">
        <v>50000</v>
      </c>
      <c r="D270" t="s">
        <v>36</v>
      </c>
      <c r="E270" t="s">
        <v>19</v>
      </c>
      <c r="F270" t="s">
        <v>43</v>
      </c>
      <c r="G270" s="7">
        <v>43195</v>
      </c>
      <c r="H270" t="s">
        <v>14</v>
      </c>
      <c r="I270" t="s">
        <v>32</v>
      </c>
      <c r="J270" t="s">
        <v>23</v>
      </c>
      <c r="K270">
        <f>IF(HR_Data4[[#This Row],[Phone]]="Missing",0,1)</f>
        <v>1</v>
      </c>
    </row>
    <row r="271" spans="1:11" x14ac:dyDescent="0.3">
      <c r="A271" t="s">
        <v>54</v>
      </c>
      <c r="B271">
        <v>25</v>
      </c>
      <c r="C271" s="6">
        <v>55000</v>
      </c>
      <c r="D271" t="s">
        <v>11</v>
      </c>
      <c r="E271" t="s">
        <v>26</v>
      </c>
      <c r="F271" t="s">
        <v>13</v>
      </c>
      <c r="G271" s="7">
        <v>43195</v>
      </c>
      <c r="H271" t="s">
        <v>41</v>
      </c>
      <c r="I271" t="s">
        <v>69</v>
      </c>
      <c r="J271" t="s">
        <v>69</v>
      </c>
      <c r="K271">
        <f>IF(HR_Data4[[#This Row],[Phone]]="Missing",0,1)</f>
        <v>0</v>
      </c>
    </row>
    <row r="272" spans="1:11" x14ac:dyDescent="0.3">
      <c r="A272" t="s">
        <v>52</v>
      </c>
      <c r="B272">
        <v>30</v>
      </c>
      <c r="C272" s="6" t="s">
        <v>68</v>
      </c>
      <c r="D272" t="s">
        <v>18</v>
      </c>
      <c r="E272" t="s">
        <v>12</v>
      </c>
      <c r="F272" t="s">
        <v>43</v>
      </c>
      <c r="G272" s="7">
        <v>43549</v>
      </c>
      <c r="H272" t="s">
        <v>21</v>
      </c>
      <c r="I272" t="s">
        <v>69</v>
      </c>
      <c r="J272" t="s">
        <v>45</v>
      </c>
      <c r="K272">
        <f>IF(HR_Data4[[#This Row],[Phone]]="Missing",0,1)</f>
        <v>1</v>
      </c>
    </row>
    <row r="273" spans="1:11" x14ac:dyDescent="0.3">
      <c r="A273" t="s">
        <v>53</v>
      </c>
      <c r="B273">
        <v>36</v>
      </c>
      <c r="C273" s="6" t="s">
        <v>68</v>
      </c>
      <c r="D273" t="s">
        <v>36</v>
      </c>
      <c r="E273" t="s">
        <v>26</v>
      </c>
      <c r="F273" t="s">
        <v>13</v>
      </c>
      <c r="G273" s="7">
        <v>43881</v>
      </c>
      <c r="H273" t="s">
        <v>14</v>
      </c>
      <c r="I273" t="s">
        <v>69</v>
      </c>
      <c r="J273" t="s">
        <v>23</v>
      </c>
      <c r="K273">
        <f>IF(HR_Data4[[#This Row],[Phone]]="Missing",0,1)</f>
        <v>1</v>
      </c>
    </row>
    <row r="274" spans="1:11" x14ac:dyDescent="0.3">
      <c r="A274" t="s">
        <v>53</v>
      </c>
      <c r="B274">
        <v>36</v>
      </c>
      <c r="C274" s="6">
        <v>50000</v>
      </c>
      <c r="D274" t="s">
        <v>11</v>
      </c>
      <c r="E274" t="s">
        <v>19</v>
      </c>
      <c r="F274" t="s">
        <v>20</v>
      </c>
      <c r="G274" s="7">
        <v>43845</v>
      </c>
      <c r="H274" t="s">
        <v>41</v>
      </c>
      <c r="I274" t="s">
        <v>22</v>
      </c>
      <c r="J274" t="s">
        <v>69</v>
      </c>
      <c r="K274">
        <f>IF(HR_Data4[[#This Row],[Phone]]="Missing",0,1)</f>
        <v>0</v>
      </c>
    </row>
    <row r="275" spans="1:11" x14ac:dyDescent="0.3">
      <c r="A275" t="s">
        <v>51</v>
      </c>
      <c r="B275">
        <v>35</v>
      </c>
      <c r="C275" s="6">
        <v>65000</v>
      </c>
      <c r="D275" t="s">
        <v>11</v>
      </c>
      <c r="E275" t="s">
        <v>26</v>
      </c>
      <c r="F275" t="s">
        <v>13</v>
      </c>
      <c r="G275" s="7">
        <v>43800</v>
      </c>
      <c r="H275" t="s">
        <v>41</v>
      </c>
      <c r="I275" t="s">
        <v>32</v>
      </c>
      <c r="J275" t="s">
        <v>45</v>
      </c>
      <c r="K275">
        <f>IF(HR_Data4[[#This Row],[Phone]]="Missing",0,1)</f>
        <v>1</v>
      </c>
    </row>
    <row r="276" spans="1:11" x14ac:dyDescent="0.3">
      <c r="A276" t="s">
        <v>56</v>
      </c>
      <c r="B276">
        <v>35</v>
      </c>
      <c r="C276" s="6">
        <v>50000</v>
      </c>
      <c r="D276" t="s">
        <v>11</v>
      </c>
      <c r="E276" t="s">
        <v>19</v>
      </c>
      <c r="F276" t="s">
        <v>13</v>
      </c>
      <c r="G276" s="7">
        <v>43800</v>
      </c>
      <c r="H276" t="s">
        <v>14</v>
      </c>
      <c r="I276" t="s">
        <v>22</v>
      </c>
      <c r="J276" t="s">
        <v>69</v>
      </c>
      <c r="K276">
        <f>IF(HR_Data4[[#This Row],[Phone]]="Missing",0,1)</f>
        <v>0</v>
      </c>
    </row>
    <row r="277" spans="1:11" x14ac:dyDescent="0.3">
      <c r="A277" t="s">
        <v>59</v>
      </c>
      <c r="B277">
        <v>36</v>
      </c>
      <c r="C277" s="6">
        <v>65000</v>
      </c>
      <c r="D277" t="s">
        <v>18</v>
      </c>
      <c r="E277" t="s">
        <v>19</v>
      </c>
      <c r="F277" t="s">
        <v>13</v>
      </c>
      <c r="G277" s="7">
        <v>43549</v>
      </c>
      <c r="H277" t="s">
        <v>14</v>
      </c>
      <c r="I277" t="s">
        <v>32</v>
      </c>
      <c r="J277" t="s">
        <v>69</v>
      </c>
      <c r="K277">
        <f>IF(HR_Data4[[#This Row],[Phone]]="Missing",0,1)</f>
        <v>0</v>
      </c>
    </row>
    <row r="278" spans="1:11" x14ac:dyDescent="0.3">
      <c r="A278" t="s">
        <v>59</v>
      </c>
      <c r="B278">
        <v>35</v>
      </c>
      <c r="C278" s="6">
        <v>65000</v>
      </c>
      <c r="D278" t="s">
        <v>18</v>
      </c>
      <c r="E278" t="s">
        <v>37</v>
      </c>
      <c r="F278" t="s">
        <v>44</v>
      </c>
      <c r="G278" s="7">
        <v>43881</v>
      </c>
      <c r="H278" t="s">
        <v>41</v>
      </c>
      <c r="I278" t="s">
        <v>69</v>
      </c>
      <c r="J278" t="s">
        <v>69</v>
      </c>
      <c r="K278">
        <f>IF(HR_Data4[[#This Row],[Phone]]="Missing",0,1)</f>
        <v>0</v>
      </c>
    </row>
    <row r="279" spans="1:11" x14ac:dyDescent="0.3">
      <c r="A279" t="s">
        <v>56</v>
      </c>
      <c r="B279">
        <v>25</v>
      </c>
      <c r="C279" s="6">
        <v>60000</v>
      </c>
      <c r="D279" t="s">
        <v>36</v>
      </c>
      <c r="E279" t="s">
        <v>19</v>
      </c>
      <c r="F279" t="s">
        <v>44</v>
      </c>
      <c r="G279" s="7">
        <v>43881</v>
      </c>
      <c r="H279" t="s">
        <v>41</v>
      </c>
      <c r="I279" t="s">
        <v>69</v>
      </c>
      <c r="J279" t="s">
        <v>69</v>
      </c>
      <c r="K279">
        <f>IF(HR_Data4[[#This Row],[Phone]]="Missing",0,1)</f>
        <v>0</v>
      </c>
    </row>
    <row r="280" spans="1:11" x14ac:dyDescent="0.3">
      <c r="A280" t="s">
        <v>57</v>
      </c>
      <c r="B280">
        <v>50</v>
      </c>
      <c r="C280" s="6" t="s">
        <v>68</v>
      </c>
      <c r="D280" t="s">
        <v>18</v>
      </c>
      <c r="E280" t="s">
        <v>19</v>
      </c>
      <c r="F280" t="s">
        <v>20</v>
      </c>
      <c r="G280" s="7">
        <v>43195</v>
      </c>
      <c r="H280" t="s">
        <v>41</v>
      </c>
      <c r="I280" t="s">
        <v>22</v>
      </c>
      <c r="J280" t="s">
        <v>45</v>
      </c>
      <c r="K280">
        <f>IF(HR_Data4[[#This Row],[Phone]]="Missing",0,1)</f>
        <v>1</v>
      </c>
    </row>
    <row r="281" spans="1:11" x14ac:dyDescent="0.3">
      <c r="A281" t="s">
        <v>51</v>
      </c>
      <c r="B281">
        <v>35</v>
      </c>
      <c r="C281" s="6">
        <v>70000</v>
      </c>
      <c r="D281" t="s">
        <v>18</v>
      </c>
      <c r="E281" t="s">
        <v>30</v>
      </c>
      <c r="F281" t="s">
        <v>13</v>
      </c>
      <c r="G281" s="7">
        <v>43845</v>
      </c>
      <c r="H281" t="s">
        <v>14</v>
      </c>
      <c r="I281" t="s">
        <v>69</v>
      </c>
      <c r="J281" t="s">
        <v>23</v>
      </c>
      <c r="K281">
        <f>IF(HR_Data4[[#This Row],[Phone]]="Missing",0,1)</f>
        <v>1</v>
      </c>
    </row>
    <row r="282" spans="1:11" x14ac:dyDescent="0.3">
      <c r="A282" t="s">
        <v>57</v>
      </c>
      <c r="B282">
        <v>40</v>
      </c>
      <c r="C282" s="6">
        <v>65000</v>
      </c>
      <c r="D282" t="s">
        <v>11</v>
      </c>
      <c r="E282" t="s">
        <v>12</v>
      </c>
      <c r="F282" t="s">
        <v>39</v>
      </c>
      <c r="G282" s="7">
        <v>43881</v>
      </c>
      <c r="H282" t="s">
        <v>41</v>
      </c>
      <c r="I282" t="s">
        <v>32</v>
      </c>
      <c r="J282" t="s">
        <v>28</v>
      </c>
      <c r="K282">
        <f>IF(HR_Data4[[#This Row],[Phone]]="Missing",0,1)</f>
        <v>1</v>
      </c>
    </row>
    <row r="283" spans="1:11" x14ac:dyDescent="0.3">
      <c r="A283" t="s">
        <v>57</v>
      </c>
      <c r="B283">
        <v>35</v>
      </c>
      <c r="C283" s="6">
        <v>60000</v>
      </c>
      <c r="D283" t="s">
        <v>11</v>
      </c>
      <c r="E283" t="s">
        <v>37</v>
      </c>
      <c r="F283" t="s">
        <v>20</v>
      </c>
      <c r="G283" s="7">
        <v>43800</v>
      </c>
      <c r="H283" t="s">
        <v>31</v>
      </c>
      <c r="I283" t="s">
        <v>22</v>
      </c>
      <c r="J283" t="s">
        <v>23</v>
      </c>
      <c r="K283">
        <f>IF(HR_Data4[[#This Row],[Phone]]="Missing",0,1)</f>
        <v>1</v>
      </c>
    </row>
    <row r="284" spans="1:11" x14ac:dyDescent="0.3">
      <c r="A284" t="s">
        <v>57</v>
      </c>
      <c r="B284">
        <v>30</v>
      </c>
      <c r="C284" s="6" t="s">
        <v>68</v>
      </c>
      <c r="D284" t="s">
        <v>11</v>
      </c>
      <c r="E284" t="s">
        <v>37</v>
      </c>
      <c r="F284" t="s">
        <v>13</v>
      </c>
      <c r="G284" s="7">
        <v>43845</v>
      </c>
      <c r="H284" t="s">
        <v>14</v>
      </c>
      <c r="I284" t="s">
        <v>22</v>
      </c>
      <c r="J284" t="s">
        <v>28</v>
      </c>
      <c r="K284">
        <f>IF(HR_Data4[[#This Row],[Phone]]="Missing",0,1)</f>
        <v>1</v>
      </c>
    </row>
    <row r="285" spans="1:11" x14ac:dyDescent="0.3">
      <c r="A285" t="s">
        <v>56</v>
      </c>
      <c r="B285">
        <v>25</v>
      </c>
      <c r="C285" s="6">
        <v>70000</v>
      </c>
      <c r="D285" t="s">
        <v>11</v>
      </c>
      <c r="E285" t="s">
        <v>37</v>
      </c>
      <c r="F285" t="s">
        <v>13</v>
      </c>
      <c r="G285" s="7">
        <v>43845</v>
      </c>
      <c r="H285" t="s">
        <v>31</v>
      </c>
      <c r="I285" t="s">
        <v>69</v>
      </c>
      <c r="J285" t="s">
        <v>28</v>
      </c>
      <c r="K285">
        <f>IF(HR_Data4[[#This Row],[Phone]]="Missing",0,1)</f>
        <v>1</v>
      </c>
    </row>
    <row r="286" spans="1:11" x14ac:dyDescent="0.3">
      <c r="A286" t="s">
        <v>57</v>
      </c>
      <c r="B286">
        <v>30</v>
      </c>
      <c r="C286" s="6">
        <v>65000</v>
      </c>
      <c r="D286" t="s">
        <v>11</v>
      </c>
      <c r="E286" t="s">
        <v>30</v>
      </c>
      <c r="F286" t="s">
        <v>44</v>
      </c>
      <c r="G286" s="7">
        <v>43549</v>
      </c>
      <c r="H286" t="s">
        <v>27</v>
      </c>
      <c r="I286" t="s">
        <v>22</v>
      </c>
      <c r="J286" t="s">
        <v>45</v>
      </c>
      <c r="K286">
        <f>IF(HR_Data4[[#This Row],[Phone]]="Missing",0,1)</f>
        <v>1</v>
      </c>
    </row>
    <row r="287" spans="1:11" x14ac:dyDescent="0.3">
      <c r="A287" t="s">
        <v>53</v>
      </c>
      <c r="B287">
        <v>30</v>
      </c>
      <c r="C287" s="6">
        <v>65000</v>
      </c>
      <c r="D287" t="s">
        <v>11</v>
      </c>
      <c r="E287" t="s">
        <v>19</v>
      </c>
      <c r="F287" t="s">
        <v>20</v>
      </c>
      <c r="G287" s="7">
        <v>43881</v>
      </c>
      <c r="H287" t="s">
        <v>14</v>
      </c>
      <c r="I287" t="s">
        <v>69</v>
      </c>
      <c r="J287" t="s">
        <v>69</v>
      </c>
      <c r="K287">
        <f>IF(HR_Data4[[#This Row],[Phone]]="Missing",0,1)</f>
        <v>0</v>
      </c>
    </row>
    <row r="288" spans="1:11" x14ac:dyDescent="0.3">
      <c r="A288" t="s">
        <v>58</v>
      </c>
      <c r="B288">
        <v>40</v>
      </c>
      <c r="C288" s="6">
        <v>50000</v>
      </c>
      <c r="D288" t="s">
        <v>11</v>
      </c>
      <c r="E288" t="s">
        <v>12</v>
      </c>
      <c r="F288" t="s">
        <v>13</v>
      </c>
      <c r="G288" s="7">
        <v>43549</v>
      </c>
      <c r="H288" t="s">
        <v>27</v>
      </c>
      <c r="I288" t="s">
        <v>69</v>
      </c>
      <c r="J288" t="s">
        <v>23</v>
      </c>
      <c r="K288">
        <f>IF(HR_Data4[[#This Row],[Phone]]="Missing",0,1)</f>
        <v>1</v>
      </c>
    </row>
    <row r="289" spans="1:11" x14ac:dyDescent="0.3">
      <c r="A289" t="s">
        <v>54</v>
      </c>
      <c r="B289">
        <v>25</v>
      </c>
      <c r="C289" s="6">
        <v>50000</v>
      </c>
      <c r="D289" t="s">
        <v>36</v>
      </c>
      <c r="E289" t="s">
        <v>26</v>
      </c>
      <c r="F289" t="s">
        <v>13</v>
      </c>
      <c r="G289" s="7">
        <v>43881</v>
      </c>
      <c r="H289" t="s">
        <v>41</v>
      </c>
      <c r="I289" t="s">
        <v>69</v>
      </c>
      <c r="J289" t="s">
        <v>69</v>
      </c>
      <c r="K289">
        <f>IF(HR_Data4[[#This Row],[Phone]]="Missing",0,1)</f>
        <v>0</v>
      </c>
    </row>
    <row r="290" spans="1:11" x14ac:dyDescent="0.3">
      <c r="A290" t="s">
        <v>59</v>
      </c>
      <c r="B290">
        <v>25</v>
      </c>
      <c r="C290" s="6" t="s">
        <v>68</v>
      </c>
      <c r="D290" t="s">
        <v>36</v>
      </c>
      <c r="E290" t="s">
        <v>19</v>
      </c>
      <c r="F290" t="s">
        <v>20</v>
      </c>
      <c r="G290" s="7">
        <v>43195</v>
      </c>
      <c r="H290" t="s">
        <v>41</v>
      </c>
      <c r="I290" t="s">
        <v>32</v>
      </c>
      <c r="J290" t="s">
        <v>69</v>
      </c>
      <c r="K290">
        <f>IF(HR_Data4[[#This Row],[Phone]]="Missing",0,1)</f>
        <v>0</v>
      </c>
    </row>
    <row r="291" spans="1:11" x14ac:dyDescent="0.3">
      <c r="A291" t="s">
        <v>59</v>
      </c>
      <c r="B291">
        <v>25</v>
      </c>
      <c r="C291" s="6">
        <v>70000</v>
      </c>
      <c r="D291" t="s">
        <v>36</v>
      </c>
      <c r="E291" t="s">
        <v>30</v>
      </c>
      <c r="F291" t="s">
        <v>39</v>
      </c>
      <c r="G291" s="7">
        <v>43549</v>
      </c>
      <c r="H291" t="s">
        <v>21</v>
      </c>
      <c r="I291" t="s">
        <v>69</v>
      </c>
      <c r="J291" t="s">
        <v>45</v>
      </c>
      <c r="K291">
        <f>IF(HR_Data4[[#This Row],[Phone]]="Missing",0,1)</f>
        <v>1</v>
      </c>
    </row>
    <row r="292" spans="1:11" x14ac:dyDescent="0.3">
      <c r="A292" t="s">
        <v>54</v>
      </c>
      <c r="B292">
        <v>25</v>
      </c>
      <c r="C292" s="6">
        <v>65000</v>
      </c>
      <c r="D292" t="s">
        <v>36</v>
      </c>
      <c r="E292" t="s">
        <v>19</v>
      </c>
      <c r="F292" t="s">
        <v>20</v>
      </c>
      <c r="G292" s="7">
        <v>43549</v>
      </c>
      <c r="H292" t="s">
        <v>41</v>
      </c>
      <c r="I292" t="s">
        <v>69</v>
      </c>
      <c r="J292" t="s">
        <v>45</v>
      </c>
      <c r="K292">
        <f>IF(HR_Data4[[#This Row],[Phone]]="Missing",0,1)</f>
        <v>1</v>
      </c>
    </row>
    <row r="293" spans="1:11" x14ac:dyDescent="0.3">
      <c r="A293" t="s">
        <v>56</v>
      </c>
      <c r="B293">
        <v>25</v>
      </c>
      <c r="C293" s="6" t="s">
        <v>68</v>
      </c>
      <c r="D293" t="s">
        <v>11</v>
      </c>
      <c r="E293" t="s">
        <v>19</v>
      </c>
      <c r="F293" t="s">
        <v>20</v>
      </c>
      <c r="G293" s="7">
        <v>43800</v>
      </c>
      <c r="H293" t="s">
        <v>27</v>
      </c>
      <c r="I293" t="s">
        <v>15</v>
      </c>
      <c r="J293" t="s">
        <v>69</v>
      </c>
      <c r="K293">
        <f>IF(HR_Data4[[#This Row],[Phone]]="Missing",0,1)</f>
        <v>0</v>
      </c>
    </row>
    <row r="294" spans="1:11" x14ac:dyDescent="0.3">
      <c r="A294" t="s">
        <v>52</v>
      </c>
      <c r="B294">
        <v>40</v>
      </c>
      <c r="C294" s="6" t="s">
        <v>68</v>
      </c>
      <c r="D294" t="s">
        <v>36</v>
      </c>
      <c r="E294" t="s">
        <v>30</v>
      </c>
      <c r="F294" t="s">
        <v>39</v>
      </c>
      <c r="G294" s="7">
        <v>43549</v>
      </c>
      <c r="H294" t="s">
        <v>41</v>
      </c>
      <c r="I294" t="s">
        <v>15</v>
      </c>
      <c r="J294" t="s">
        <v>23</v>
      </c>
      <c r="K294">
        <f>IF(HR_Data4[[#This Row],[Phone]]="Missing",0,1)</f>
        <v>1</v>
      </c>
    </row>
    <row r="295" spans="1:11" x14ac:dyDescent="0.3">
      <c r="A295" t="s">
        <v>56</v>
      </c>
      <c r="B295">
        <v>35</v>
      </c>
      <c r="C295" s="6">
        <v>55000</v>
      </c>
      <c r="D295" t="s">
        <v>11</v>
      </c>
      <c r="E295" t="s">
        <v>37</v>
      </c>
      <c r="F295" t="s">
        <v>20</v>
      </c>
      <c r="G295" s="7">
        <v>43881</v>
      </c>
      <c r="H295" t="s">
        <v>14</v>
      </c>
      <c r="I295" t="s">
        <v>22</v>
      </c>
      <c r="J295" t="s">
        <v>69</v>
      </c>
      <c r="K295">
        <f>IF(HR_Data4[[#This Row],[Phone]]="Missing",0,1)</f>
        <v>0</v>
      </c>
    </row>
    <row r="296" spans="1:11" x14ac:dyDescent="0.3">
      <c r="A296" t="s">
        <v>59</v>
      </c>
      <c r="B296">
        <v>30</v>
      </c>
      <c r="C296" s="6">
        <v>50000</v>
      </c>
      <c r="D296" t="s">
        <v>36</v>
      </c>
      <c r="E296" t="s">
        <v>37</v>
      </c>
      <c r="F296" t="s">
        <v>13</v>
      </c>
      <c r="G296" s="7">
        <v>43800</v>
      </c>
      <c r="H296" t="s">
        <v>41</v>
      </c>
      <c r="I296" t="s">
        <v>22</v>
      </c>
      <c r="J296" t="s">
        <v>23</v>
      </c>
      <c r="K296">
        <f>IF(HR_Data4[[#This Row],[Phone]]="Missing",0,1)</f>
        <v>1</v>
      </c>
    </row>
    <row r="297" spans="1:11" x14ac:dyDescent="0.3">
      <c r="A297" t="s">
        <v>59</v>
      </c>
      <c r="B297">
        <v>25</v>
      </c>
      <c r="C297" s="6">
        <v>70000</v>
      </c>
      <c r="D297" t="s">
        <v>18</v>
      </c>
      <c r="E297" t="s">
        <v>12</v>
      </c>
      <c r="F297" t="s">
        <v>20</v>
      </c>
      <c r="G297" s="7">
        <v>43549</v>
      </c>
      <c r="H297" t="s">
        <v>21</v>
      </c>
      <c r="I297" t="s">
        <v>15</v>
      </c>
      <c r="J297" t="s">
        <v>28</v>
      </c>
      <c r="K297">
        <f>IF(HR_Data4[[#This Row],[Phone]]="Missing",0,1)</f>
        <v>1</v>
      </c>
    </row>
    <row r="298" spans="1:11" x14ac:dyDescent="0.3">
      <c r="A298" t="s">
        <v>54</v>
      </c>
      <c r="B298">
        <v>35</v>
      </c>
      <c r="C298" s="6">
        <v>65000</v>
      </c>
      <c r="D298" t="s">
        <v>36</v>
      </c>
      <c r="E298" t="s">
        <v>12</v>
      </c>
      <c r="F298" t="s">
        <v>39</v>
      </c>
      <c r="G298" s="7">
        <v>43549</v>
      </c>
      <c r="H298" t="s">
        <v>41</v>
      </c>
      <c r="I298" t="s">
        <v>69</v>
      </c>
      <c r="J298" t="s">
        <v>45</v>
      </c>
      <c r="K298">
        <f>IF(HR_Data4[[#This Row],[Phone]]="Missing",0,1)</f>
        <v>1</v>
      </c>
    </row>
    <row r="299" spans="1:11" x14ac:dyDescent="0.3">
      <c r="A299" t="s">
        <v>57</v>
      </c>
      <c r="B299">
        <v>35</v>
      </c>
      <c r="C299" s="6" t="s">
        <v>68</v>
      </c>
      <c r="D299" t="s">
        <v>36</v>
      </c>
      <c r="E299" t="s">
        <v>37</v>
      </c>
      <c r="F299" t="s">
        <v>43</v>
      </c>
      <c r="G299" s="7">
        <v>43195</v>
      </c>
      <c r="H299" t="s">
        <v>27</v>
      </c>
      <c r="I299" t="s">
        <v>22</v>
      </c>
      <c r="J299" t="s">
        <v>23</v>
      </c>
      <c r="K299">
        <f>IF(HR_Data4[[#This Row],[Phone]]="Missing",0,1)</f>
        <v>1</v>
      </c>
    </row>
    <row r="300" spans="1:11" x14ac:dyDescent="0.3">
      <c r="A300" t="s">
        <v>56</v>
      </c>
      <c r="B300">
        <v>30</v>
      </c>
      <c r="C300" s="6">
        <v>65000</v>
      </c>
      <c r="D300" t="s">
        <v>11</v>
      </c>
      <c r="E300" t="s">
        <v>26</v>
      </c>
      <c r="F300" t="s">
        <v>20</v>
      </c>
      <c r="G300" s="7">
        <v>43549</v>
      </c>
      <c r="H300" t="s">
        <v>27</v>
      </c>
      <c r="I300" t="s">
        <v>69</v>
      </c>
      <c r="J300" t="s">
        <v>69</v>
      </c>
      <c r="K300">
        <f>IF(HR_Data4[[#This Row],[Phone]]="Missing",0,1)</f>
        <v>0</v>
      </c>
    </row>
    <row r="301" spans="1:11" x14ac:dyDescent="0.3">
      <c r="A301" t="s">
        <v>60</v>
      </c>
      <c r="B301">
        <v>40</v>
      </c>
      <c r="C301" s="6">
        <v>55000</v>
      </c>
      <c r="D301" t="s">
        <v>36</v>
      </c>
      <c r="E301" t="s">
        <v>19</v>
      </c>
      <c r="F301" t="s">
        <v>44</v>
      </c>
      <c r="G301" s="7">
        <v>43845</v>
      </c>
      <c r="H301" t="s">
        <v>41</v>
      </c>
      <c r="I301" t="s">
        <v>69</v>
      </c>
      <c r="J301" t="s">
        <v>69</v>
      </c>
      <c r="K301">
        <f>IF(HR_Data4[[#This Row],[Phone]]="Missing",0,1)</f>
        <v>0</v>
      </c>
    </row>
    <row r="302" spans="1:11" x14ac:dyDescent="0.3">
      <c r="A302" t="s">
        <v>54</v>
      </c>
      <c r="B302">
        <v>36</v>
      </c>
      <c r="C302" s="6">
        <v>70000</v>
      </c>
      <c r="D302" t="s">
        <v>18</v>
      </c>
      <c r="E302" t="s">
        <v>26</v>
      </c>
      <c r="F302" t="s">
        <v>13</v>
      </c>
      <c r="G302" s="7">
        <v>43800</v>
      </c>
      <c r="H302" t="s">
        <v>27</v>
      </c>
      <c r="I302" t="s">
        <v>69</v>
      </c>
      <c r="J302" t="s">
        <v>45</v>
      </c>
      <c r="K302">
        <f>IF(HR_Data4[[#This Row],[Phone]]="Missing",0,1)</f>
        <v>1</v>
      </c>
    </row>
    <row r="303" spans="1:11" x14ac:dyDescent="0.3">
      <c r="A303" t="s">
        <v>53</v>
      </c>
      <c r="B303">
        <v>36</v>
      </c>
      <c r="C303" s="6" t="s">
        <v>68</v>
      </c>
      <c r="D303" t="s">
        <v>11</v>
      </c>
      <c r="E303" t="s">
        <v>19</v>
      </c>
      <c r="F303" t="s">
        <v>13</v>
      </c>
      <c r="G303" s="7">
        <v>43845</v>
      </c>
      <c r="H303" t="s">
        <v>27</v>
      </c>
      <c r="I303" t="s">
        <v>22</v>
      </c>
      <c r="J303" t="s">
        <v>69</v>
      </c>
      <c r="K303">
        <f>IF(HR_Data4[[#This Row],[Phone]]="Missing",0,1)</f>
        <v>0</v>
      </c>
    </row>
    <row r="304" spans="1:11" x14ac:dyDescent="0.3">
      <c r="A304" t="s">
        <v>59</v>
      </c>
      <c r="B304">
        <v>35</v>
      </c>
      <c r="C304" s="6">
        <v>65000</v>
      </c>
      <c r="D304" t="s">
        <v>11</v>
      </c>
      <c r="E304" t="s">
        <v>37</v>
      </c>
      <c r="F304" t="s">
        <v>44</v>
      </c>
      <c r="G304" s="7">
        <v>43800</v>
      </c>
      <c r="H304" t="s">
        <v>21</v>
      </c>
      <c r="I304" t="s">
        <v>69</v>
      </c>
      <c r="J304" t="s">
        <v>69</v>
      </c>
      <c r="K304">
        <f>IF(HR_Data4[[#This Row],[Phone]]="Missing",0,1)</f>
        <v>0</v>
      </c>
    </row>
    <row r="305" spans="1:11" x14ac:dyDescent="0.3">
      <c r="A305" t="s">
        <v>54</v>
      </c>
      <c r="B305">
        <v>50</v>
      </c>
      <c r="C305" s="6">
        <v>50000</v>
      </c>
      <c r="D305" t="s">
        <v>36</v>
      </c>
      <c r="E305" t="s">
        <v>12</v>
      </c>
      <c r="F305" t="s">
        <v>44</v>
      </c>
      <c r="G305" s="7">
        <v>43195</v>
      </c>
      <c r="H305" t="s">
        <v>14</v>
      </c>
      <c r="I305" t="s">
        <v>22</v>
      </c>
      <c r="J305" t="s">
        <v>23</v>
      </c>
      <c r="K305">
        <f>IF(HR_Data4[[#This Row],[Phone]]="Missing",0,1)</f>
        <v>1</v>
      </c>
    </row>
    <row r="306" spans="1:11" x14ac:dyDescent="0.3">
      <c r="A306" t="s">
        <v>56</v>
      </c>
      <c r="B306">
        <v>50</v>
      </c>
      <c r="C306" s="6">
        <v>55000</v>
      </c>
      <c r="D306" t="s">
        <v>11</v>
      </c>
      <c r="E306" t="s">
        <v>12</v>
      </c>
      <c r="F306" t="s">
        <v>20</v>
      </c>
      <c r="G306" s="7">
        <v>43549</v>
      </c>
      <c r="H306" t="s">
        <v>21</v>
      </c>
      <c r="I306" t="s">
        <v>22</v>
      </c>
      <c r="J306" t="s">
        <v>69</v>
      </c>
      <c r="K306">
        <f>IF(HR_Data4[[#This Row],[Phone]]="Missing",0,1)</f>
        <v>0</v>
      </c>
    </row>
    <row r="307" spans="1:11" x14ac:dyDescent="0.3">
      <c r="A307" t="s">
        <v>59</v>
      </c>
      <c r="B307">
        <v>30</v>
      </c>
      <c r="C307" s="6">
        <v>70000</v>
      </c>
      <c r="D307" t="s">
        <v>11</v>
      </c>
      <c r="E307" t="s">
        <v>26</v>
      </c>
      <c r="F307" t="s">
        <v>44</v>
      </c>
      <c r="G307" s="7">
        <v>43549</v>
      </c>
      <c r="H307" t="s">
        <v>31</v>
      </c>
      <c r="I307" t="s">
        <v>69</v>
      </c>
      <c r="J307" t="s">
        <v>45</v>
      </c>
      <c r="K307">
        <f>IF(HR_Data4[[#This Row],[Phone]]="Missing",0,1)</f>
        <v>1</v>
      </c>
    </row>
    <row r="308" spans="1:11" x14ac:dyDescent="0.3">
      <c r="A308" t="s">
        <v>52</v>
      </c>
      <c r="B308">
        <v>36</v>
      </c>
      <c r="C308" s="6">
        <v>55000</v>
      </c>
      <c r="D308" t="s">
        <v>11</v>
      </c>
      <c r="E308" t="s">
        <v>12</v>
      </c>
      <c r="F308" t="s">
        <v>43</v>
      </c>
      <c r="G308" s="7">
        <v>43549</v>
      </c>
      <c r="H308" t="s">
        <v>21</v>
      </c>
      <c r="I308" t="s">
        <v>15</v>
      </c>
      <c r="J308" t="s">
        <v>23</v>
      </c>
      <c r="K308">
        <f>IF(HR_Data4[[#This Row],[Phone]]="Missing",0,1)</f>
        <v>1</v>
      </c>
    </row>
    <row r="309" spans="1:11" x14ac:dyDescent="0.3">
      <c r="A309" t="s">
        <v>54</v>
      </c>
      <c r="B309">
        <v>35</v>
      </c>
      <c r="C309" s="6">
        <v>50000</v>
      </c>
      <c r="D309" t="s">
        <v>11</v>
      </c>
      <c r="E309" t="s">
        <v>37</v>
      </c>
      <c r="F309" t="s">
        <v>39</v>
      </c>
      <c r="G309" s="7">
        <v>43800</v>
      </c>
      <c r="H309" t="s">
        <v>41</v>
      </c>
      <c r="I309" t="s">
        <v>69</v>
      </c>
      <c r="J309" t="s">
        <v>28</v>
      </c>
      <c r="K309">
        <f>IF(HR_Data4[[#This Row],[Phone]]="Missing",0,1)</f>
        <v>1</v>
      </c>
    </row>
    <row r="310" spans="1:11" x14ac:dyDescent="0.3">
      <c r="A310" t="s">
        <v>51</v>
      </c>
      <c r="B310">
        <v>40</v>
      </c>
      <c r="C310" s="6">
        <v>70000</v>
      </c>
      <c r="D310" t="s">
        <v>11</v>
      </c>
      <c r="E310" t="s">
        <v>26</v>
      </c>
      <c r="F310" t="s">
        <v>44</v>
      </c>
      <c r="G310" s="7">
        <v>43549</v>
      </c>
      <c r="H310" t="s">
        <v>14</v>
      </c>
      <c r="I310" t="s">
        <v>69</v>
      </c>
      <c r="J310" t="s">
        <v>69</v>
      </c>
      <c r="K310">
        <f>IF(HR_Data4[[#This Row],[Phone]]="Missing",0,1)</f>
        <v>0</v>
      </c>
    </row>
    <row r="311" spans="1:11" x14ac:dyDescent="0.3">
      <c r="A311" t="s">
        <v>59</v>
      </c>
      <c r="B311">
        <v>36</v>
      </c>
      <c r="C311" s="6">
        <v>55000</v>
      </c>
      <c r="D311" t="s">
        <v>11</v>
      </c>
      <c r="E311" t="s">
        <v>19</v>
      </c>
      <c r="F311" t="s">
        <v>44</v>
      </c>
      <c r="G311" s="7">
        <v>43845</v>
      </c>
      <c r="H311" t="s">
        <v>41</v>
      </c>
      <c r="I311" t="s">
        <v>32</v>
      </c>
      <c r="J311" t="s">
        <v>69</v>
      </c>
      <c r="K311">
        <f>IF(HR_Data4[[#This Row],[Phone]]="Missing",0,1)</f>
        <v>0</v>
      </c>
    </row>
    <row r="312" spans="1:11" x14ac:dyDescent="0.3">
      <c r="A312" t="s">
        <v>56</v>
      </c>
      <c r="B312">
        <v>35</v>
      </c>
      <c r="C312" s="6">
        <v>60000</v>
      </c>
      <c r="D312" t="s">
        <v>18</v>
      </c>
      <c r="E312" t="s">
        <v>12</v>
      </c>
      <c r="F312" t="s">
        <v>43</v>
      </c>
      <c r="G312" s="7">
        <v>43549</v>
      </c>
      <c r="H312" t="s">
        <v>31</v>
      </c>
      <c r="I312" t="s">
        <v>69</v>
      </c>
      <c r="J312" t="s">
        <v>23</v>
      </c>
      <c r="K312">
        <f>IF(HR_Data4[[#This Row],[Phone]]="Missing",0,1)</f>
        <v>1</v>
      </c>
    </row>
    <row r="313" spans="1:11" x14ac:dyDescent="0.3">
      <c r="A313" t="s">
        <v>58</v>
      </c>
      <c r="B313">
        <v>35</v>
      </c>
      <c r="C313" s="6">
        <v>50000</v>
      </c>
      <c r="D313" t="s">
        <v>36</v>
      </c>
      <c r="E313" t="s">
        <v>30</v>
      </c>
      <c r="F313" t="s">
        <v>13</v>
      </c>
      <c r="G313" s="7">
        <v>43195</v>
      </c>
      <c r="H313" t="s">
        <v>14</v>
      </c>
      <c r="I313" t="s">
        <v>22</v>
      </c>
      <c r="J313" t="s">
        <v>69</v>
      </c>
      <c r="K313">
        <f>IF(HR_Data4[[#This Row],[Phone]]="Missing",0,1)</f>
        <v>0</v>
      </c>
    </row>
    <row r="314" spans="1:11" x14ac:dyDescent="0.3">
      <c r="A314" t="s">
        <v>60</v>
      </c>
      <c r="B314">
        <v>25</v>
      </c>
      <c r="C314" s="6">
        <v>50000</v>
      </c>
      <c r="D314" t="s">
        <v>18</v>
      </c>
      <c r="E314" t="s">
        <v>12</v>
      </c>
      <c r="F314" t="s">
        <v>13</v>
      </c>
      <c r="G314" s="7">
        <v>43845</v>
      </c>
      <c r="H314" t="s">
        <v>27</v>
      </c>
      <c r="I314" t="s">
        <v>22</v>
      </c>
      <c r="J314" t="s">
        <v>69</v>
      </c>
      <c r="K314">
        <f>IF(HR_Data4[[#This Row],[Phone]]="Missing",0,1)</f>
        <v>0</v>
      </c>
    </row>
    <row r="315" spans="1:11" x14ac:dyDescent="0.3">
      <c r="A315" t="s">
        <v>55</v>
      </c>
      <c r="B315">
        <v>40</v>
      </c>
      <c r="C315" s="6">
        <v>50000</v>
      </c>
      <c r="D315" t="s">
        <v>11</v>
      </c>
      <c r="E315" t="s">
        <v>19</v>
      </c>
      <c r="F315" t="s">
        <v>20</v>
      </c>
      <c r="G315" s="7">
        <v>43549</v>
      </c>
      <c r="H315" t="s">
        <v>21</v>
      </c>
      <c r="I315" t="s">
        <v>69</v>
      </c>
      <c r="J315" t="s">
        <v>45</v>
      </c>
      <c r="K315">
        <f>IF(HR_Data4[[#This Row],[Phone]]="Missing",0,1)</f>
        <v>1</v>
      </c>
    </row>
    <row r="316" spans="1:11" x14ac:dyDescent="0.3">
      <c r="A316" t="s">
        <v>57</v>
      </c>
      <c r="B316">
        <v>25</v>
      </c>
      <c r="C316" s="6">
        <v>60000</v>
      </c>
      <c r="D316" t="s">
        <v>11</v>
      </c>
      <c r="E316" t="s">
        <v>26</v>
      </c>
      <c r="F316" t="s">
        <v>43</v>
      </c>
      <c r="G316" s="7">
        <v>43549</v>
      </c>
      <c r="H316" t="s">
        <v>41</v>
      </c>
      <c r="I316" t="s">
        <v>32</v>
      </c>
      <c r="J316" t="s">
        <v>69</v>
      </c>
      <c r="K316">
        <f>IF(HR_Data4[[#This Row],[Phone]]="Missing",0,1)</f>
        <v>0</v>
      </c>
    </row>
    <row r="317" spans="1:11" x14ac:dyDescent="0.3">
      <c r="A317" t="s">
        <v>55</v>
      </c>
      <c r="B317">
        <v>30</v>
      </c>
      <c r="C317" s="6">
        <v>60000</v>
      </c>
      <c r="D317" t="s">
        <v>36</v>
      </c>
      <c r="E317" t="s">
        <v>19</v>
      </c>
      <c r="F317" t="s">
        <v>39</v>
      </c>
      <c r="G317" s="7">
        <v>43881</v>
      </c>
      <c r="H317" t="s">
        <v>31</v>
      </c>
      <c r="I317" t="s">
        <v>69</v>
      </c>
      <c r="J317" t="s">
        <v>28</v>
      </c>
      <c r="K317">
        <f>IF(HR_Data4[[#This Row],[Phone]]="Missing",0,1)</f>
        <v>1</v>
      </c>
    </row>
    <row r="318" spans="1:11" x14ac:dyDescent="0.3">
      <c r="A318" t="s">
        <v>56</v>
      </c>
      <c r="B318">
        <v>25</v>
      </c>
      <c r="C318" s="6">
        <v>65000</v>
      </c>
      <c r="D318" t="s">
        <v>18</v>
      </c>
      <c r="E318" t="s">
        <v>30</v>
      </c>
      <c r="F318" t="s">
        <v>39</v>
      </c>
      <c r="G318" s="7">
        <v>43800</v>
      </c>
      <c r="H318" t="s">
        <v>27</v>
      </c>
      <c r="I318" t="s">
        <v>32</v>
      </c>
      <c r="J318" t="s">
        <v>69</v>
      </c>
      <c r="K318">
        <f>IF(HR_Data4[[#This Row],[Phone]]="Missing",0,1)</f>
        <v>0</v>
      </c>
    </row>
    <row r="319" spans="1:11" x14ac:dyDescent="0.3">
      <c r="A319" t="s">
        <v>53</v>
      </c>
      <c r="B319">
        <v>25</v>
      </c>
      <c r="C319" s="6" t="s">
        <v>68</v>
      </c>
      <c r="D319" t="s">
        <v>36</v>
      </c>
      <c r="E319" t="s">
        <v>37</v>
      </c>
      <c r="F319" t="s">
        <v>43</v>
      </c>
      <c r="G319" s="7">
        <v>43845</v>
      </c>
      <c r="H319" t="s">
        <v>21</v>
      </c>
      <c r="I319" t="s">
        <v>32</v>
      </c>
      <c r="J319" t="s">
        <v>69</v>
      </c>
      <c r="K319">
        <f>IF(HR_Data4[[#This Row],[Phone]]="Missing",0,1)</f>
        <v>0</v>
      </c>
    </row>
    <row r="320" spans="1:11" x14ac:dyDescent="0.3">
      <c r="A320" t="s">
        <v>53</v>
      </c>
      <c r="B320">
        <v>36</v>
      </c>
      <c r="C320" s="6">
        <v>55000</v>
      </c>
      <c r="D320" t="s">
        <v>18</v>
      </c>
      <c r="E320" t="s">
        <v>12</v>
      </c>
      <c r="F320" t="s">
        <v>39</v>
      </c>
      <c r="G320" s="7">
        <v>43881</v>
      </c>
      <c r="H320" t="s">
        <v>27</v>
      </c>
      <c r="I320" t="s">
        <v>69</v>
      </c>
      <c r="J320" t="s">
        <v>69</v>
      </c>
      <c r="K320">
        <f>IF(HR_Data4[[#This Row],[Phone]]="Missing",0,1)</f>
        <v>0</v>
      </c>
    </row>
    <row r="321" spans="1:11" x14ac:dyDescent="0.3">
      <c r="A321" t="s">
        <v>58</v>
      </c>
      <c r="B321">
        <v>50</v>
      </c>
      <c r="C321" s="6">
        <v>65000</v>
      </c>
      <c r="D321" t="s">
        <v>11</v>
      </c>
      <c r="E321" t="s">
        <v>26</v>
      </c>
      <c r="F321" t="s">
        <v>13</v>
      </c>
      <c r="G321" s="7">
        <v>43195</v>
      </c>
      <c r="H321" t="s">
        <v>21</v>
      </c>
      <c r="I321" t="s">
        <v>22</v>
      </c>
      <c r="J321" t="s">
        <v>23</v>
      </c>
      <c r="K321">
        <f>IF(HR_Data4[[#This Row],[Phone]]="Missing",0,1)</f>
        <v>1</v>
      </c>
    </row>
    <row r="322" spans="1:11" x14ac:dyDescent="0.3">
      <c r="A322" t="s">
        <v>57</v>
      </c>
      <c r="B322">
        <v>35</v>
      </c>
      <c r="C322" s="6">
        <v>55000</v>
      </c>
      <c r="D322" t="s">
        <v>36</v>
      </c>
      <c r="E322" t="s">
        <v>37</v>
      </c>
      <c r="F322" t="s">
        <v>39</v>
      </c>
      <c r="G322" s="7">
        <v>43800</v>
      </c>
      <c r="H322" t="s">
        <v>14</v>
      </c>
      <c r="I322" t="s">
        <v>22</v>
      </c>
      <c r="J322" t="s">
        <v>69</v>
      </c>
      <c r="K322">
        <f>IF(HR_Data4[[#This Row],[Phone]]="Missing",0,1)</f>
        <v>0</v>
      </c>
    </row>
    <row r="323" spans="1:11" x14ac:dyDescent="0.3">
      <c r="A323" t="s">
        <v>51</v>
      </c>
      <c r="B323">
        <v>40</v>
      </c>
      <c r="C323" s="6" t="s">
        <v>68</v>
      </c>
      <c r="D323" t="s">
        <v>36</v>
      </c>
      <c r="E323" t="s">
        <v>19</v>
      </c>
      <c r="F323" t="s">
        <v>39</v>
      </c>
      <c r="G323" s="7">
        <v>43845</v>
      </c>
      <c r="H323" t="s">
        <v>27</v>
      </c>
      <c r="I323" t="s">
        <v>32</v>
      </c>
      <c r="J323" t="s">
        <v>69</v>
      </c>
      <c r="K323">
        <f>IF(HR_Data4[[#This Row],[Phone]]="Missing",0,1)</f>
        <v>0</v>
      </c>
    </row>
    <row r="324" spans="1:11" x14ac:dyDescent="0.3">
      <c r="A324" t="s">
        <v>58</v>
      </c>
      <c r="B324">
        <v>25</v>
      </c>
      <c r="C324" s="6">
        <v>60000</v>
      </c>
      <c r="D324" t="s">
        <v>11</v>
      </c>
      <c r="E324" t="s">
        <v>26</v>
      </c>
      <c r="F324" t="s">
        <v>43</v>
      </c>
      <c r="G324" s="7">
        <v>43549</v>
      </c>
      <c r="H324" t="s">
        <v>27</v>
      </c>
      <c r="I324" t="s">
        <v>22</v>
      </c>
      <c r="J324" t="s">
        <v>23</v>
      </c>
      <c r="K324">
        <f>IF(HR_Data4[[#This Row],[Phone]]="Missing",0,1)</f>
        <v>1</v>
      </c>
    </row>
    <row r="325" spans="1:11" x14ac:dyDescent="0.3">
      <c r="A325" t="s">
        <v>55</v>
      </c>
      <c r="B325">
        <v>40</v>
      </c>
      <c r="C325" s="6" t="s">
        <v>68</v>
      </c>
      <c r="D325" t="s">
        <v>36</v>
      </c>
      <c r="E325" t="s">
        <v>37</v>
      </c>
      <c r="F325" t="s">
        <v>43</v>
      </c>
      <c r="G325" s="7">
        <v>43845</v>
      </c>
      <c r="H325" t="s">
        <v>27</v>
      </c>
      <c r="I325" t="s">
        <v>15</v>
      </c>
      <c r="J325" t="s">
        <v>45</v>
      </c>
      <c r="K325">
        <f>IF(HR_Data4[[#This Row],[Phone]]="Missing",0,1)</f>
        <v>1</v>
      </c>
    </row>
    <row r="326" spans="1:11" x14ac:dyDescent="0.3">
      <c r="A326" t="s">
        <v>58</v>
      </c>
      <c r="B326">
        <v>50</v>
      </c>
      <c r="C326" s="6">
        <v>60000</v>
      </c>
      <c r="D326" t="s">
        <v>18</v>
      </c>
      <c r="E326" t="s">
        <v>26</v>
      </c>
      <c r="F326" t="s">
        <v>39</v>
      </c>
      <c r="G326" s="7">
        <v>43549</v>
      </c>
      <c r="H326" t="s">
        <v>14</v>
      </c>
      <c r="I326" t="s">
        <v>32</v>
      </c>
      <c r="J326" t="s">
        <v>23</v>
      </c>
      <c r="K326">
        <f>IF(HR_Data4[[#This Row],[Phone]]="Missing",0,1)</f>
        <v>1</v>
      </c>
    </row>
    <row r="327" spans="1:11" x14ac:dyDescent="0.3">
      <c r="A327" t="s">
        <v>55</v>
      </c>
      <c r="B327">
        <v>50</v>
      </c>
      <c r="C327" s="6" t="s">
        <v>68</v>
      </c>
      <c r="D327" t="s">
        <v>18</v>
      </c>
      <c r="E327" t="s">
        <v>30</v>
      </c>
      <c r="F327" t="s">
        <v>44</v>
      </c>
      <c r="G327" s="7">
        <v>43800</v>
      </c>
      <c r="H327" t="s">
        <v>31</v>
      </c>
      <c r="I327" t="s">
        <v>22</v>
      </c>
      <c r="J327" t="s">
        <v>28</v>
      </c>
      <c r="K327">
        <f>IF(HR_Data4[[#This Row],[Phone]]="Missing",0,1)</f>
        <v>1</v>
      </c>
    </row>
    <row r="328" spans="1:11" x14ac:dyDescent="0.3">
      <c r="A328" t="s">
        <v>59</v>
      </c>
      <c r="B328">
        <v>25</v>
      </c>
      <c r="C328" s="6">
        <v>65000</v>
      </c>
      <c r="D328" t="s">
        <v>18</v>
      </c>
      <c r="E328" t="s">
        <v>30</v>
      </c>
      <c r="F328" t="s">
        <v>43</v>
      </c>
      <c r="G328" s="7">
        <v>43549</v>
      </c>
      <c r="H328" t="s">
        <v>21</v>
      </c>
      <c r="I328" t="s">
        <v>15</v>
      </c>
      <c r="J328" t="s">
        <v>23</v>
      </c>
      <c r="K328">
        <f>IF(HR_Data4[[#This Row],[Phone]]="Missing",0,1)</f>
        <v>1</v>
      </c>
    </row>
    <row r="329" spans="1:11" x14ac:dyDescent="0.3">
      <c r="A329" t="s">
        <v>53</v>
      </c>
      <c r="B329">
        <v>30</v>
      </c>
      <c r="C329" s="6">
        <v>70000</v>
      </c>
      <c r="D329" t="s">
        <v>18</v>
      </c>
      <c r="E329" t="s">
        <v>12</v>
      </c>
      <c r="F329" t="s">
        <v>20</v>
      </c>
      <c r="G329" s="7">
        <v>43195</v>
      </c>
      <c r="H329" t="s">
        <v>27</v>
      </c>
      <c r="I329" t="s">
        <v>69</v>
      </c>
      <c r="J329" t="s">
        <v>45</v>
      </c>
      <c r="K329">
        <f>IF(HR_Data4[[#This Row],[Phone]]="Missing",0,1)</f>
        <v>1</v>
      </c>
    </row>
    <row r="330" spans="1:11" x14ac:dyDescent="0.3">
      <c r="A330" t="s">
        <v>59</v>
      </c>
      <c r="B330">
        <v>25</v>
      </c>
      <c r="C330" s="6">
        <v>65000</v>
      </c>
      <c r="D330" t="s">
        <v>11</v>
      </c>
      <c r="E330" t="s">
        <v>12</v>
      </c>
      <c r="F330" t="s">
        <v>20</v>
      </c>
      <c r="G330" s="7">
        <v>43549</v>
      </c>
      <c r="H330" t="s">
        <v>14</v>
      </c>
      <c r="I330" t="s">
        <v>22</v>
      </c>
      <c r="J330" t="s">
        <v>69</v>
      </c>
      <c r="K330">
        <f>IF(HR_Data4[[#This Row],[Phone]]="Missing",0,1)</f>
        <v>0</v>
      </c>
    </row>
    <row r="331" spans="1:11" x14ac:dyDescent="0.3">
      <c r="A331" t="s">
        <v>60</v>
      </c>
      <c r="B331">
        <v>36</v>
      </c>
      <c r="C331" s="6">
        <v>55000</v>
      </c>
      <c r="D331" t="s">
        <v>36</v>
      </c>
      <c r="E331" t="s">
        <v>30</v>
      </c>
      <c r="F331" t="s">
        <v>13</v>
      </c>
      <c r="G331" s="7">
        <v>43195</v>
      </c>
      <c r="H331" t="s">
        <v>31</v>
      </c>
      <c r="I331" t="s">
        <v>15</v>
      </c>
      <c r="J331" t="s">
        <v>23</v>
      </c>
      <c r="K331">
        <f>IF(HR_Data4[[#This Row],[Phone]]="Missing",0,1)</f>
        <v>1</v>
      </c>
    </row>
    <row r="332" spans="1:11" x14ac:dyDescent="0.3">
      <c r="A332" t="s">
        <v>57</v>
      </c>
      <c r="B332">
        <v>35</v>
      </c>
      <c r="C332" s="6">
        <v>65000</v>
      </c>
      <c r="D332" t="s">
        <v>18</v>
      </c>
      <c r="E332" t="s">
        <v>26</v>
      </c>
      <c r="F332" t="s">
        <v>39</v>
      </c>
      <c r="G332" s="7">
        <v>43800</v>
      </c>
      <c r="H332" t="s">
        <v>21</v>
      </c>
      <c r="I332" t="s">
        <v>69</v>
      </c>
      <c r="J332" t="s">
        <v>23</v>
      </c>
      <c r="K332">
        <f>IF(HR_Data4[[#This Row],[Phone]]="Missing",0,1)</f>
        <v>1</v>
      </c>
    </row>
    <row r="333" spans="1:11" x14ac:dyDescent="0.3">
      <c r="A333" t="s">
        <v>51</v>
      </c>
      <c r="B333">
        <v>30</v>
      </c>
      <c r="C333" s="6">
        <v>50000</v>
      </c>
      <c r="D333" t="s">
        <v>11</v>
      </c>
      <c r="E333" t="s">
        <v>30</v>
      </c>
      <c r="F333" t="s">
        <v>44</v>
      </c>
      <c r="G333" s="7">
        <v>43800</v>
      </c>
      <c r="H333" t="s">
        <v>14</v>
      </c>
      <c r="I333" t="s">
        <v>69</v>
      </c>
      <c r="J333" t="s">
        <v>23</v>
      </c>
      <c r="K333">
        <f>IF(HR_Data4[[#This Row],[Phone]]="Missing",0,1)</f>
        <v>1</v>
      </c>
    </row>
    <row r="334" spans="1:11" x14ac:dyDescent="0.3">
      <c r="A334" t="s">
        <v>55</v>
      </c>
      <c r="B334">
        <v>25</v>
      </c>
      <c r="C334" s="6">
        <v>55000</v>
      </c>
      <c r="D334" t="s">
        <v>36</v>
      </c>
      <c r="E334" t="s">
        <v>12</v>
      </c>
      <c r="F334" t="s">
        <v>13</v>
      </c>
      <c r="G334" s="7">
        <v>43845</v>
      </c>
      <c r="H334" t="s">
        <v>21</v>
      </c>
      <c r="I334" t="s">
        <v>15</v>
      </c>
      <c r="J334" t="s">
        <v>23</v>
      </c>
      <c r="K334">
        <f>IF(HR_Data4[[#This Row],[Phone]]="Missing",0,1)</f>
        <v>1</v>
      </c>
    </row>
    <row r="335" spans="1:11" x14ac:dyDescent="0.3">
      <c r="A335" t="s">
        <v>51</v>
      </c>
      <c r="B335">
        <v>40</v>
      </c>
      <c r="C335" s="6" t="s">
        <v>68</v>
      </c>
      <c r="D335" t="s">
        <v>36</v>
      </c>
      <c r="E335" t="s">
        <v>30</v>
      </c>
      <c r="F335" t="s">
        <v>39</v>
      </c>
      <c r="G335" s="7">
        <v>43195</v>
      </c>
      <c r="H335" t="s">
        <v>27</v>
      </c>
      <c r="I335" t="s">
        <v>32</v>
      </c>
      <c r="J335" t="s">
        <v>45</v>
      </c>
      <c r="K335">
        <f>IF(HR_Data4[[#This Row],[Phone]]="Missing",0,1)</f>
        <v>1</v>
      </c>
    </row>
    <row r="336" spans="1:11" x14ac:dyDescent="0.3">
      <c r="A336" t="s">
        <v>55</v>
      </c>
      <c r="B336">
        <v>30</v>
      </c>
      <c r="C336" s="6">
        <v>55000</v>
      </c>
      <c r="D336" t="s">
        <v>11</v>
      </c>
      <c r="E336" t="s">
        <v>30</v>
      </c>
      <c r="F336" t="s">
        <v>43</v>
      </c>
      <c r="G336" s="7">
        <v>43195</v>
      </c>
      <c r="H336" t="s">
        <v>31</v>
      </c>
      <c r="I336" t="s">
        <v>32</v>
      </c>
      <c r="J336" t="s">
        <v>69</v>
      </c>
      <c r="K336">
        <f>IF(HR_Data4[[#This Row],[Phone]]="Missing",0,1)</f>
        <v>0</v>
      </c>
    </row>
    <row r="337" spans="1:11" x14ac:dyDescent="0.3">
      <c r="A337" t="s">
        <v>56</v>
      </c>
      <c r="B337">
        <v>30</v>
      </c>
      <c r="C337" s="6">
        <v>70000</v>
      </c>
      <c r="D337" t="s">
        <v>11</v>
      </c>
      <c r="E337" t="s">
        <v>26</v>
      </c>
      <c r="F337" t="s">
        <v>20</v>
      </c>
      <c r="G337" s="7">
        <v>43881</v>
      </c>
      <c r="H337" t="s">
        <v>14</v>
      </c>
      <c r="I337" t="s">
        <v>22</v>
      </c>
      <c r="J337" t="s">
        <v>69</v>
      </c>
      <c r="K337">
        <f>IF(HR_Data4[[#This Row],[Phone]]="Missing",0,1)</f>
        <v>0</v>
      </c>
    </row>
    <row r="338" spans="1:11" x14ac:dyDescent="0.3">
      <c r="A338" t="s">
        <v>58</v>
      </c>
      <c r="B338">
        <v>25</v>
      </c>
      <c r="C338" s="6">
        <v>60000</v>
      </c>
      <c r="D338" t="s">
        <v>18</v>
      </c>
      <c r="E338" t="s">
        <v>37</v>
      </c>
      <c r="F338" t="s">
        <v>44</v>
      </c>
      <c r="G338" s="7">
        <v>43881</v>
      </c>
      <c r="H338" t="s">
        <v>31</v>
      </c>
      <c r="I338" t="s">
        <v>69</v>
      </c>
      <c r="J338" t="s">
        <v>23</v>
      </c>
      <c r="K338">
        <f>IF(HR_Data4[[#This Row],[Phone]]="Missing",0,1)</f>
        <v>1</v>
      </c>
    </row>
    <row r="339" spans="1:11" x14ac:dyDescent="0.3">
      <c r="A339" t="s">
        <v>60</v>
      </c>
      <c r="B339">
        <v>30</v>
      </c>
      <c r="C339" s="6" t="s">
        <v>68</v>
      </c>
      <c r="D339" t="s">
        <v>36</v>
      </c>
      <c r="E339" t="s">
        <v>12</v>
      </c>
      <c r="F339" t="s">
        <v>20</v>
      </c>
      <c r="G339" s="7">
        <v>43881</v>
      </c>
      <c r="H339" t="s">
        <v>27</v>
      </c>
      <c r="I339" t="s">
        <v>32</v>
      </c>
      <c r="J339" t="s">
        <v>45</v>
      </c>
      <c r="K339">
        <f>IF(HR_Data4[[#This Row],[Phone]]="Missing",0,1)</f>
        <v>1</v>
      </c>
    </row>
    <row r="340" spans="1:11" x14ac:dyDescent="0.3">
      <c r="A340" t="s">
        <v>53</v>
      </c>
      <c r="B340">
        <v>40</v>
      </c>
      <c r="C340" s="6">
        <v>55000</v>
      </c>
      <c r="D340" t="s">
        <v>36</v>
      </c>
      <c r="E340" t="s">
        <v>26</v>
      </c>
      <c r="F340" t="s">
        <v>43</v>
      </c>
      <c r="G340" s="7">
        <v>43549</v>
      </c>
      <c r="H340" t="s">
        <v>31</v>
      </c>
      <c r="I340" t="s">
        <v>32</v>
      </c>
      <c r="J340" t="s">
        <v>45</v>
      </c>
      <c r="K340">
        <f>IF(HR_Data4[[#This Row],[Phone]]="Missing",0,1)</f>
        <v>1</v>
      </c>
    </row>
    <row r="341" spans="1:11" x14ac:dyDescent="0.3">
      <c r="A341" t="s">
        <v>55</v>
      </c>
      <c r="B341">
        <v>50</v>
      </c>
      <c r="C341" s="6" t="s">
        <v>68</v>
      </c>
      <c r="D341" t="s">
        <v>11</v>
      </c>
      <c r="E341" t="s">
        <v>30</v>
      </c>
      <c r="F341" t="s">
        <v>39</v>
      </c>
      <c r="G341" s="7">
        <v>43881</v>
      </c>
      <c r="H341" t="s">
        <v>31</v>
      </c>
      <c r="I341" t="s">
        <v>69</v>
      </c>
      <c r="J341" t="s">
        <v>23</v>
      </c>
      <c r="K341">
        <f>IF(HR_Data4[[#This Row],[Phone]]="Missing",0,1)</f>
        <v>1</v>
      </c>
    </row>
    <row r="342" spans="1:11" x14ac:dyDescent="0.3">
      <c r="A342" t="s">
        <v>51</v>
      </c>
      <c r="B342">
        <v>30</v>
      </c>
      <c r="C342" s="6" t="s">
        <v>68</v>
      </c>
      <c r="D342" t="s">
        <v>36</v>
      </c>
      <c r="E342" t="s">
        <v>30</v>
      </c>
      <c r="F342" t="s">
        <v>43</v>
      </c>
      <c r="G342" s="7">
        <v>43195</v>
      </c>
      <c r="H342" t="s">
        <v>41</v>
      </c>
      <c r="I342" t="s">
        <v>69</v>
      </c>
      <c r="J342" t="s">
        <v>28</v>
      </c>
      <c r="K342">
        <f>IF(HR_Data4[[#This Row],[Phone]]="Missing",0,1)</f>
        <v>1</v>
      </c>
    </row>
    <row r="343" spans="1:11" x14ac:dyDescent="0.3">
      <c r="A343" t="s">
        <v>60</v>
      </c>
      <c r="B343">
        <v>50</v>
      </c>
      <c r="C343" s="6" t="s">
        <v>68</v>
      </c>
      <c r="D343" t="s">
        <v>18</v>
      </c>
      <c r="E343" t="s">
        <v>37</v>
      </c>
      <c r="F343" t="s">
        <v>43</v>
      </c>
      <c r="G343" s="7">
        <v>43549</v>
      </c>
      <c r="H343" t="s">
        <v>31</v>
      </c>
      <c r="I343" t="s">
        <v>32</v>
      </c>
      <c r="J343" t="s">
        <v>23</v>
      </c>
      <c r="K343">
        <f>IF(HR_Data4[[#This Row],[Phone]]="Missing",0,1)</f>
        <v>1</v>
      </c>
    </row>
    <row r="344" spans="1:11" x14ac:dyDescent="0.3">
      <c r="A344" t="s">
        <v>52</v>
      </c>
      <c r="B344">
        <v>40</v>
      </c>
      <c r="C344" s="6">
        <v>60000</v>
      </c>
      <c r="D344" t="s">
        <v>36</v>
      </c>
      <c r="E344" t="s">
        <v>12</v>
      </c>
      <c r="F344" t="s">
        <v>20</v>
      </c>
      <c r="G344" s="7">
        <v>43800</v>
      </c>
      <c r="H344" t="s">
        <v>21</v>
      </c>
      <c r="I344" t="s">
        <v>15</v>
      </c>
      <c r="J344" t="s">
        <v>28</v>
      </c>
      <c r="K344">
        <f>IF(HR_Data4[[#This Row],[Phone]]="Missing",0,1)</f>
        <v>1</v>
      </c>
    </row>
    <row r="345" spans="1:11" x14ac:dyDescent="0.3">
      <c r="A345" t="s">
        <v>52</v>
      </c>
      <c r="B345">
        <v>25</v>
      </c>
      <c r="C345" s="6">
        <v>65000</v>
      </c>
      <c r="D345" t="s">
        <v>11</v>
      </c>
      <c r="E345" t="s">
        <v>12</v>
      </c>
      <c r="F345" t="s">
        <v>44</v>
      </c>
      <c r="G345" s="7">
        <v>43845</v>
      </c>
      <c r="H345" t="s">
        <v>14</v>
      </c>
      <c r="I345" t="s">
        <v>22</v>
      </c>
      <c r="J345" t="s">
        <v>23</v>
      </c>
      <c r="K345">
        <f>IF(HR_Data4[[#This Row],[Phone]]="Missing",0,1)</f>
        <v>1</v>
      </c>
    </row>
    <row r="346" spans="1:11" x14ac:dyDescent="0.3">
      <c r="A346" t="s">
        <v>59</v>
      </c>
      <c r="B346">
        <v>35</v>
      </c>
      <c r="C346" s="6" t="s">
        <v>68</v>
      </c>
      <c r="D346" t="s">
        <v>11</v>
      </c>
      <c r="E346" t="s">
        <v>19</v>
      </c>
      <c r="F346" t="s">
        <v>43</v>
      </c>
      <c r="G346" s="7">
        <v>43881</v>
      </c>
      <c r="H346" t="s">
        <v>41</v>
      </c>
      <c r="I346" t="s">
        <v>32</v>
      </c>
      <c r="J346" t="s">
        <v>28</v>
      </c>
      <c r="K346">
        <f>IF(HR_Data4[[#This Row],[Phone]]="Missing",0,1)</f>
        <v>1</v>
      </c>
    </row>
    <row r="347" spans="1:11" x14ac:dyDescent="0.3">
      <c r="A347" t="s">
        <v>53</v>
      </c>
      <c r="B347">
        <v>30</v>
      </c>
      <c r="C347" s="6">
        <v>50000</v>
      </c>
      <c r="D347" t="s">
        <v>18</v>
      </c>
      <c r="E347" t="s">
        <v>12</v>
      </c>
      <c r="F347" t="s">
        <v>20</v>
      </c>
      <c r="G347" s="7">
        <v>43800</v>
      </c>
      <c r="H347" t="s">
        <v>14</v>
      </c>
      <c r="I347" t="s">
        <v>32</v>
      </c>
      <c r="J347" t="s">
        <v>28</v>
      </c>
      <c r="K347">
        <f>IF(HR_Data4[[#This Row],[Phone]]="Missing",0,1)</f>
        <v>1</v>
      </c>
    </row>
    <row r="348" spans="1:11" x14ac:dyDescent="0.3">
      <c r="A348" t="s">
        <v>56</v>
      </c>
      <c r="B348">
        <v>35</v>
      </c>
      <c r="C348" s="6">
        <v>70000</v>
      </c>
      <c r="D348" t="s">
        <v>18</v>
      </c>
      <c r="E348" t="s">
        <v>37</v>
      </c>
      <c r="F348" t="s">
        <v>44</v>
      </c>
      <c r="G348" s="7">
        <v>43195</v>
      </c>
      <c r="H348" t="s">
        <v>14</v>
      </c>
      <c r="I348" t="s">
        <v>69</v>
      </c>
      <c r="J348" t="s">
        <v>23</v>
      </c>
      <c r="K348">
        <f>IF(HR_Data4[[#This Row],[Phone]]="Missing",0,1)</f>
        <v>1</v>
      </c>
    </row>
    <row r="349" spans="1:11" x14ac:dyDescent="0.3">
      <c r="A349" t="s">
        <v>51</v>
      </c>
      <c r="B349">
        <v>40</v>
      </c>
      <c r="C349" s="6">
        <v>60000</v>
      </c>
      <c r="D349" t="s">
        <v>36</v>
      </c>
      <c r="E349" t="s">
        <v>19</v>
      </c>
      <c r="F349" t="s">
        <v>39</v>
      </c>
      <c r="G349" s="7">
        <v>43845</v>
      </c>
      <c r="H349" t="s">
        <v>27</v>
      </c>
      <c r="I349" t="s">
        <v>15</v>
      </c>
      <c r="J349" t="s">
        <v>28</v>
      </c>
      <c r="K349">
        <f>IF(HR_Data4[[#This Row],[Phone]]="Missing",0,1)</f>
        <v>1</v>
      </c>
    </row>
    <row r="350" spans="1:11" x14ac:dyDescent="0.3">
      <c r="A350" t="s">
        <v>58</v>
      </c>
      <c r="B350">
        <v>30</v>
      </c>
      <c r="C350" s="6">
        <v>55000</v>
      </c>
      <c r="D350" t="s">
        <v>36</v>
      </c>
      <c r="E350" t="s">
        <v>19</v>
      </c>
      <c r="F350" t="s">
        <v>39</v>
      </c>
      <c r="G350" s="7">
        <v>43800</v>
      </c>
      <c r="H350" t="s">
        <v>27</v>
      </c>
      <c r="I350" t="s">
        <v>22</v>
      </c>
      <c r="J350" t="s">
        <v>69</v>
      </c>
      <c r="K350">
        <f>IF(HR_Data4[[#This Row],[Phone]]="Missing",0,1)</f>
        <v>0</v>
      </c>
    </row>
    <row r="351" spans="1:11" x14ac:dyDescent="0.3">
      <c r="A351" t="s">
        <v>58</v>
      </c>
      <c r="B351">
        <v>50</v>
      </c>
      <c r="C351" s="6">
        <v>60000</v>
      </c>
      <c r="D351" t="s">
        <v>11</v>
      </c>
      <c r="E351" t="s">
        <v>30</v>
      </c>
      <c r="F351" t="s">
        <v>13</v>
      </c>
      <c r="G351" s="7">
        <v>43845</v>
      </c>
      <c r="H351" t="s">
        <v>41</v>
      </c>
      <c r="I351" t="s">
        <v>32</v>
      </c>
      <c r="J351" t="s">
        <v>69</v>
      </c>
      <c r="K351">
        <f>IF(HR_Data4[[#This Row],[Phone]]="Missing",0,1)</f>
        <v>0</v>
      </c>
    </row>
    <row r="352" spans="1:11" x14ac:dyDescent="0.3">
      <c r="A352" t="s">
        <v>51</v>
      </c>
      <c r="B352">
        <v>36</v>
      </c>
      <c r="C352" s="6">
        <v>55000</v>
      </c>
      <c r="D352" t="s">
        <v>18</v>
      </c>
      <c r="E352" t="s">
        <v>30</v>
      </c>
      <c r="F352" t="s">
        <v>20</v>
      </c>
      <c r="G352" s="7">
        <v>43881</v>
      </c>
      <c r="H352" t="s">
        <v>27</v>
      </c>
      <c r="I352" t="s">
        <v>22</v>
      </c>
      <c r="J352" t="s">
        <v>45</v>
      </c>
      <c r="K352">
        <f>IF(HR_Data4[[#This Row],[Phone]]="Missing",0,1)</f>
        <v>1</v>
      </c>
    </row>
    <row r="353" spans="1:11" x14ac:dyDescent="0.3">
      <c r="A353" t="s">
        <v>57</v>
      </c>
      <c r="B353">
        <v>35</v>
      </c>
      <c r="C353" s="6">
        <v>60000</v>
      </c>
      <c r="D353" t="s">
        <v>18</v>
      </c>
      <c r="E353" t="s">
        <v>12</v>
      </c>
      <c r="F353" t="s">
        <v>44</v>
      </c>
      <c r="G353" s="7">
        <v>43195</v>
      </c>
      <c r="H353" t="s">
        <v>27</v>
      </c>
      <c r="I353" t="s">
        <v>69</v>
      </c>
      <c r="J353" t="s">
        <v>28</v>
      </c>
      <c r="K353">
        <f>IF(HR_Data4[[#This Row],[Phone]]="Missing",0,1)</f>
        <v>1</v>
      </c>
    </row>
    <row r="354" spans="1:11" x14ac:dyDescent="0.3">
      <c r="A354" t="s">
        <v>56</v>
      </c>
      <c r="B354">
        <v>30</v>
      </c>
      <c r="C354" s="6">
        <v>55000</v>
      </c>
      <c r="D354" t="s">
        <v>18</v>
      </c>
      <c r="E354" t="s">
        <v>19</v>
      </c>
      <c r="F354" t="s">
        <v>43</v>
      </c>
      <c r="G354" s="7">
        <v>43845</v>
      </c>
      <c r="H354" t="s">
        <v>27</v>
      </c>
      <c r="I354" t="s">
        <v>32</v>
      </c>
      <c r="J354" t="s">
        <v>28</v>
      </c>
      <c r="K354">
        <f>IF(HR_Data4[[#This Row],[Phone]]="Missing",0,1)</f>
        <v>1</v>
      </c>
    </row>
    <row r="355" spans="1:11" x14ac:dyDescent="0.3">
      <c r="A355" t="s">
        <v>60</v>
      </c>
      <c r="B355">
        <v>35</v>
      </c>
      <c r="C355" s="6" t="s">
        <v>68</v>
      </c>
      <c r="D355" t="s">
        <v>36</v>
      </c>
      <c r="E355" t="s">
        <v>30</v>
      </c>
      <c r="F355" t="s">
        <v>39</v>
      </c>
      <c r="G355" s="7">
        <v>43800</v>
      </c>
      <c r="H355" t="s">
        <v>14</v>
      </c>
      <c r="I355" t="s">
        <v>32</v>
      </c>
      <c r="J355" t="s">
        <v>45</v>
      </c>
      <c r="K355">
        <f>IF(HR_Data4[[#This Row],[Phone]]="Missing",0,1)</f>
        <v>1</v>
      </c>
    </row>
    <row r="356" spans="1:11" x14ac:dyDescent="0.3">
      <c r="A356" t="s">
        <v>55</v>
      </c>
      <c r="B356">
        <v>30</v>
      </c>
      <c r="C356" s="6">
        <v>65000</v>
      </c>
      <c r="D356" t="s">
        <v>18</v>
      </c>
      <c r="E356" t="s">
        <v>37</v>
      </c>
      <c r="F356" t="s">
        <v>44</v>
      </c>
      <c r="G356" s="7">
        <v>43881</v>
      </c>
      <c r="H356" t="s">
        <v>41</v>
      </c>
      <c r="I356" t="s">
        <v>69</v>
      </c>
      <c r="J356" t="s">
        <v>28</v>
      </c>
      <c r="K356">
        <f>IF(HR_Data4[[#This Row],[Phone]]="Missing",0,1)</f>
        <v>1</v>
      </c>
    </row>
    <row r="357" spans="1:11" x14ac:dyDescent="0.3">
      <c r="A357" t="s">
        <v>57</v>
      </c>
      <c r="B357">
        <v>25</v>
      </c>
      <c r="C357" s="6">
        <v>55000</v>
      </c>
      <c r="D357" t="s">
        <v>11</v>
      </c>
      <c r="E357" t="s">
        <v>30</v>
      </c>
      <c r="F357" t="s">
        <v>20</v>
      </c>
      <c r="G357" s="7">
        <v>43881</v>
      </c>
      <c r="H357" t="s">
        <v>14</v>
      </c>
      <c r="I357" t="s">
        <v>69</v>
      </c>
      <c r="J357" t="s">
        <v>45</v>
      </c>
      <c r="K357">
        <f>IF(HR_Data4[[#This Row],[Phone]]="Missing",0,1)</f>
        <v>1</v>
      </c>
    </row>
    <row r="358" spans="1:11" x14ac:dyDescent="0.3">
      <c r="A358" t="s">
        <v>55</v>
      </c>
      <c r="B358">
        <v>50</v>
      </c>
      <c r="C358" s="6">
        <v>55000</v>
      </c>
      <c r="D358" t="s">
        <v>11</v>
      </c>
      <c r="E358" t="s">
        <v>30</v>
      </c>
      <c r="F358" t="s">
        <v>13</v>
      </c>
      <c r="G358" s="7">
        <v>43800</v>
      </c>
      <c r="H358" t="s">
        <v>21</v>
      </c>
      <c r="I358" t="s">
        <v>32</v>
      </c>
      <c r="J358" t="s">
        <v>23</v>
      </c>
      <c r="K358">
        <f>IF(HR_Data4[[#This Row],[Phone]]="Missing",0,1)</f>
        <v>1</v>
      </c>
    </row>
    <row r="359" spans="1:11" x14ac:dyDescent="0.3">
      <c r="A359" t="s">
        <v>55</v>
      </c>
      <c r="B359">
        <v>35</v>
      </c>
      <c r="C359" s="6">
        <v>50000</v>
      </c>
      <c r="D359" t="s">
        <v>36</v>
      </c>
      <c r="E359" t="s">
        <v>19</v>
      </c>
      <c r="F359" t="s">
        <v>39</v>
      </c>
      <c r="G359" s="7">
        <v>43800</v>
      </c>
      <c r="H359" t="s">
        <v>14</v>
      </c>
      <c r="I359" t="s">
        <v>22</v>
      </c>
      <c r="J359" t="s">
        <v>69</v>
      </c>
      <c r="K359">
        <f>IF(HR_Data4[[#This Row],[Phone]]="Missing",0,1)</f>
        <v>0</v>
      </c>
    </row>
    <row r="360" spans="1:11" x14ac:dyDescent="0.3">
      <c r="A360" t="s">
        <v>57</v>
      </c>
      <c r="B360">
        <v>36</v>
      </c>
      <c r="C360" s="6">
        <v>55000</v>
      </c>
      <c r="D360" t="s">
        <v>36</v>
      </c>
      <c r="E360" t="s">
        <v>19</v>
      </c>
      <c r="F360" t="s">
        <v>44</v>
      </c>
      <c r="G360" s="7">
        <v>43845</v>
      </c>
      <c r="H360" t="s">
        <v>21</v>
      </c>
      <c r="I360" t="s">
        <v>15</v>
      </c>
      <c r="J360" t="s">
        <v>69</v>
      </c>
      <c r="K360">
        <f>IF(HR_Data4[[#This Row],[Phone]]="Missing",0,1)</f>
        <v>0</v>
      </c>
    </row>
    <row r="361" spans="1:11" x14ac:dyDescent="0.3">
      <c r="A361" t="s">
        <v>59</v>
      </c>
      <c r="B361">
        <v>36</v>
      </c>
      <c r="C361" s="6">
        <v>50000</v>
      </c>
      <c r="D361" t="s">
        <v>18</v>
      </c>
      <c r="E361" t="s">
        <v>26</v>
      </c>
      <c r="F361" t="s">
        <v>44</v>
      </c>
      <c r="G361" s="7">
        <v>43549</v>
      </c>
      <c r="H361" t="s">
        <v>31</v>
      </c>
      <c r="I361" t="s">
        <v>22</v>
      </c>
      <c r="J361" t="s">
        <v>69</v>
      </c>
      <c r="K361">
        <f>IF(HR_Data4[[#This Row],[Phone]]="Missing",0,1)</f>
        <v>0</v>
      </c>
    </row>
    <row r="362" spans="1:11" x14ac:dyDescent="0.3">
      <c r="A362" t="s">
        <v>52</v>
      </c>
      <c r="B362">
        <v>40</v>
      </c>
      <c r="C362" s="6">
        <v>70000</v>
      </c>
      <c r="D362" t="s">
        <v>36</v>
      </c>
      <c r="E362" t="s">
        <v>37</v>
      </c>
      <c r="F362" t="s">
        <v>44</v>
      </c>
      <c r="G362" s="7">
        <v>43881</v>
      </c>
      <c r="H362" t="s">
        <v>31</v>
      </c>
      <c r="I362" t="s">
        <v>69</v>
      </c>
      <c r="J362" t="s">
        <v>28</v>
      </c>
      <c r="K362">
        <f>IF(HR_Data4[[#This Row],[Phone]]="Missing",0,1)</f>
        <v>1</v>
      </c>
    </row>
    <row r="363" spans="1:11" x14ac:dyDescent="0.3">
      <c r="A363" t="s">
        <v>55</v>
      </c>
      <c r="B363">
        <v>30</v>
      </c>
      <c r="C363" s="6" t="s">
        <v>68</v>
      </c>
      <c r="D363" t="s">
        <v>11</v>
      </c>
      <c r="E363" t="s">
        <v>19</v>
      </c>
      <c r="F363" t="s">
        <v>20</v>
      </c>
      <c r="G363" s="7">
        <v>43845</v>
      </c>
      <c r="H363" t="s">
        <v>21</v>
      </c>
      <c r="I363" t="s">
        <v>15</v>
      </c>
      <c r="J363" t="s">
        <v>69</v>
      </c>
      <c r="K363">
        <f>IF(HR_Data4[[#This Row],[Phone]]="Missing",0,1)</f>
        <v>0</v>
      </c>
    </row>
    <row r="364" spans="1:11" x14ac:dyDescent="0.3">
      <c r="A364" t="s">
        <v>57</v>
      </c>
      <c r="B364">
        <v>35</v>
      </c>
      <c r="C364" s="6">
        <v>50000</v>
      </c>
      <c r="D364" t="s">
        <v>18</v>
      </c>
      <c r="E364" t="s">
        <v>12</v>
      </c>
      <c r="F364" t="s">
        <v>20</v>
      </c>
      <c r="G364" s="7">
        <v>43800</v>
      </c>
      <c r="H364" t="s">
        <v>21</v>
      </c>
      <c r="I364" t="s">
        <v>22</v>
      </c>
      <c r="J364" t="s">
        <v>23</v>
      </c>
      <c r="K364">
        <f>IF(HR_Data4[[#This Row],[Phone]]="Missing",0,1)</f>
        <v>1</v>
      </c>
    </row>
    <row r="365" spans="1:11" x14ac:dyDescent="0.3">
      <c r="A365" t="s">
        <v>57</v>
      </c>
      <c r="B365">
        <v>40</v>
      </c>
      <c r="C365" s="6">
        <v>65000</v>
      </c>
      <c r="D365" t="s">
        <v>11</v>
      </c>
      <c r="E365" t="s">
        <v>37</v>
      </c>
      <c r="F365" t="s">
        <v>20</v>
      </c>
      <c r="G365" s="7">
        <v>43845</v>
      </c>
      <c r="H365" t="s">
        <v>14</v>
      </c>
      <c r="I365" t="s">
        <v>22</v>
      </c>
      <c r="J365" t="s">
        <v>69</v>
      </c>
      <c r="K365">
        <f>IF(HR_Data4[[#This Row],[Phone]]="Missing",0,1)</f>
        <v>0</v>
      </c>
    </row>
    <row r="366" spans="1:11" x14ac:dyDescent="0.3">
      <c r="A366" t="s">
        <v>54</v>
      </c>
      <c r="B366">
        <v>35</v>
      </c>
      <c r="C366" s="6" t="s">
        <v>68</v>
      </c>
      <c r="D366" t="s">
        <v>18</v>
      </c>
      <c r="E366" t="s">
        <v>37</v>
      </c>
      <c r="F366" t="s">
        <v>43</v>
      </c>
      <c r="G366" s="7">
        <v>43800</v>
      </c>
      <c r="H366" t="s">
        <v>21</v>
      </c>
      <c r="I366" t="s">
        <v>69</v>
      </c>
      <c r="J366" t="s">
        <v>23</v>
      </c>
      <c r="K366">
        <f>IF(HR_Data4[[#This Row],[Phone]]="Missing",0,1)</f>
        <v>1</v>
      </c>
    </row>
    <row r="367" spans="1:11" x14ac:dyDescent="0.3">
      <c r="A367" t="s">
        <v>59</v>
      </c>
      <c r="B367">
        <v>30</v>
      </c>
      <c r="C367" s="6">
        <v>50000</v>
      </c>
      <c r="D367" t="s">
        <v>36</v>
      </c>
      <c r="E367" t="s">
        <v>19</v>
      </c>
      <c r="F367" t="s">
        <v>44</v>
      </c>
      <c r="G367" s="7">
        <v>43195</v>
      </c>
      <c r="H367" t="s">
        <v>41</v>
      </c>
      <c r="I367" t="s">
        <v>69</v>
      </c>
      <c r="J367" t="s">
        <v>23</v>
      </c>
      <c r="K367">
        <f>IF(HR_Data4[[#This Row],[Phone]]="Missing",0,1)</f>
        <v>1</v>
      </c>
    </row>
    <row r="368" spans="1:11" x14ac:dyDescent="0.3">
      <c r="A368" t="s">
        <v>53</v>
      </c>
      <c r="B368">
        <v>36</v>
      </c>
      <c r="C368" s="6" t="s">
        <v>68</v>
      </c>
      <c r="D368" t="s">
        <v>18</v>
      </c>
      <c r="E368" t="s">
        <v>37</v>
      </c>
      <c r="F368" t="s">
        <v>39</v>
      </c>
      <c r="G368" s="7">
        <v>43800</v>
      </c>
      <c r="H368" t="s">
        <v>31</v>
      </c>
      <c r="I368" t="s">
        <v>69</v>
      </c>
      <c r="J368" t="s">
        <v>28</v>
      </c>
      <c r="K368">
        <f>IF(HR_Data4[[#This Row],[Phone]]="Missing",0,1)</f>
        <v>1</v>
      </c>
    </row>
    <row r="369" spans="1:11" x14ac:dyDescent="0.3">
      <c r="A369" t="s">
        <v>54</v>
      </c>
      <c r="B369">
        <v>25</v>
      </c>
      <c r="C369" s="6" t="s">
        <v>68</v>
      </c>
      <c r="D369" t="s">
        <v>18</v>
      </c>
      <c r="E369" t="s">
        <v>19</v>
      </c>
      <c r="F369" t="s">
        <v>20</v>
      </c>
      <c r="G369" s="7">
        <v>43800</v>
      </c>
      <c r="H369" t="s">
        <v>31</v>
      </c>
      <c r="I369" t="s">
        <v>15</v>
      </c>
      <c r="J369" t="s">
        <v>23</v>
      </c>
      <c r="K369">
        <f>IF(HR_Data4[[#This Row],[Phone]]="Missing",0,1)</f>
        <v>1</v>
      </c>
    </row>
    <row r="370" spans="1:11" x14ac:dyDescent="0.3">
      <c r="A370" t="s">
        <v>54</v>
      </c>
      <c r="B370">
        <v>36</v>
      </c>
      <c r="C370" s="6" t="s">
        <v>68</v>
      </c>
      <c r="D370" t="s">
        <v>11</v>
      </c>
      <c r="E370" t="s">
        <v>30</v>
      </c>
      <c r="F370" t="s">
        <v>20</v>
      </c>
      <c r="G370" s="7">
        <v>43800</v>
      </c>
      <c r="H370" t="s">
        <v>21</v>
      </c>
      <c r="I370" t="s">
        <v>69</v>
      </c>
      <c r="J370" t="s">
        <v>69</v>
      </c>
      <c r="K370">
        <f>IF(HR_Data4[[#This Row],[Phone]]="Missing",0,1)</f>
        <v>0</v>
      </c>
    </row>
    <row r="371" spans="1:11" x14ac:dyDescent="0.3">
      <c r="A371" t="s">
        <v>51</v>
      </c>
      <c r="B371">
        <v>40</v>
      </c>
      <c r="C371" s="6">
        <v>70000</v>
      </c>
      <c r="D371" t="s">
        <v>11</v>
      </c>
      <c r="E371" t="s">
        <v>26</v>
      </c>
      <c r="F371" t="s">
        <v>44</v>
      </c>
      <c r="G371" s="7">
        <v>43549</v>
      </c>
      <c r="H371" t="s">
        <v>27</v>
      </c>
      <c r="I371" t="s">
        <v>69</v>
      </c>
      <c r="J371" t="s">
        <v>69</v>
      </c>
      <c r="K371">
        <f>IF(HR_Data4[[#This Row],[Phone]]="Missing",0,1)</f>
        <v>0</v>
      </c>
    </row>
    <row r="372" spans="1:11" x14ac:dyDescent="0.3">
      <c r="A372" t="s">
        <v>52</v>
      </c>
      <c r="B372">
        <v>50</v>
      </c>
      <c r="C372" s="6">
        <v>65000</v>
      </c>
      <c r="D372" t="s">
        <v>18</v>
      </c>
      <c r="E372" t="s">
        <v>30</v>
      </c>
      <c r="F372" t="s">
        <v>20</v>
      </c>
      <c r="G372" s="7">
        <v>43800</v>
      </c>
      <c r="H372" t="s">
        <v>27</v>
      </c>
      <c r="I372" t="s">
        <v>32</v>
      </c>
      <c r="J372" t="s">
        <v>69</v>
      </c>
      <c r="K372">
        <f>IF(HR_Data4[[#This Row],[Phone]]="Missing",0,1)</f>
        <v>0</v>
      </c>
    </row>
    <row r="373" spans="1:11" x14ac:dyDescent="0.3">
      <c r="A373" t="s">
        <v>57</v>
      </c>
      <c r="B373">
        <v>25</v>
      </c>
      <c r="C373" s="6">
        <v>60000</v>
      </c>
      <c r="D373" t="s">
        <v>36</v>
      </c>
      <c r="E373" t="s">
        <v>19</v>
      </c>
      <c r="F373" t="s">
        <v>43</v>
      </c>
      <c r="G373" s="7">
        <v>43881</v>
      </c>
      <c r="H373" t="s">
        <v>21</v>
      </c>
      <c r="I373" t="s">
        <v>32</v>
      </c>
      <c r="J373" t="s">
        <v>28</v>
      </c>
      <c r="K373">
        <f>IF(HR_Data4[[#This Row],[Phone]]="Missing",0,1)</f>
        <v>1</v>
      </c>
    </row>
    <row r="374" spans="1:11" x14ac:dyDescent="0.3">
      <c r="A374" t="s">
        <v>52</v>
      </c>
      <c r="B374">
        <v>40</v>
      </c>
      <c r="C374" s="6">
        <v>60000</v>
      </c>
      <c r="D374" t="s">
        <v>36</v>
      </c>
      <c r="E374" t="s">
        <v>19</v>
      </c>
      <c r="F374" t="s">
        <v>43</v>
      </c>
      <c r="G374" s="7">
        <v>43881</v>
      </c>
      <c r="H374" t="s">
        <v>41</v>
      </c>
      <c r="I374" t="s">
        <v>15</v>
      </c>
      <c r="J374" t="s">
        <v>69</v>
      </c>
      <c r="K374">
        <f>IF(HR_Data4[[#This Row],[Phone]]="Missing",0,1)</f>
        <v>0</v>
      </c>
    </row>
    <row r="375" spans="1:11" x14ac:dyDescent="0.3">
      <c r="A375" t="s">
        <v>56</v>
      </c>
      <c r="B375">
        <v>30</v>
      </c>
      <c r="C375" s="6">
        <v>50000</v>
      </c>
      <c r="D375" t="s">
        <v>11</v>
      </c>
      <c r="E375" t="s">
        <v>30</v>
      </c>
      <c r="F375" t="s">
        <v>20</v>
      </c>
      <c r="G375" s="7">
        <v>43845</v>
      </c>
      <c r="H375" t="s">
        <v>27</v>
      </c>
      <c r="I375" t="s">
        <v>32</v>
      </c>
      <c r="J375" t="s">
        <v>45</v>
      </c>
      <c r="K375">
        <f>IF(HR_Data4[[#This Row],[Phone]]="Missing",0,1)</f>
        <v>1</v>
      </c>
    </row>
    <row r="376" spans="1:11" x14ac:dyDescent="0.3">
      <c r="A376" t="s">
        <v>51</v>
      </c>
      <c r="B376">
        <v>25</v>
      </c>
      <c r="C376" s="6" t="s">
        <v>68</v>
      </c>
      <c r="D376" t="s">
        <v>36</v>
      </c>
      <c r="E376" t="s">
        <v>12</v>
      </c>
      <c r="F376" t="s">
        <v>44</v>
      </c>
      <c r="G376" s="7">
        <v>43549</v>
      </c>
      <c r="H376" t="s">
        <v>21</v>
      </c>
      <c r="I376" t="s">
        <v>69</v>
      </c>
      <c r="J376" t="s">
        <v>69</v>
      </c>
      <c r="K376">
        <f>IF(HR_Data4[[#This Row],[Phone]]="Missing",0,1)</f>
        <v>0</v>
      </c>
    </row>
    <row r="377" spans="1:11" x14ac:dyDescent="0.3">
      <c r="A377" t="s">
        <v>53</v>
      </c>
      <c r="B377">
        <v>40</v>
      </c>
      <c r="C377" s="6">
        <v>50000</v>
      </c>
      <c r="D377" t="s">
        <v>11</v>
      </c>
      <c r="E377" t="s">
        <v>12</v>
      </c>
      <c r="F377" t="s">
        <v>44</v>
      </c>
      <c r="G377" s="7">
        <v>43845</v>
      </c>
      <c r="H377" t="s">
        <v>41</v>
      </c>
      <c r="I377" t="s">
        <v>15</v>
      </c>
      <c r="J377" t="s">
        <v>45</v>
      </c>
      <c r="K377">
        <f>IF(HR_Data4[[#This Row],[Phone]]="Missing",0,1)</f>
        <v>1</v>
      </c>
    </row>
    <row r="378" spans="1:11" x14ac:dyDescent="0.3">
      <c r="A378" t="s">
        <v>52</v>
      </c>
      <c r="B378">
        <v>30</v>
      </c>
      <c r="C378" s="6">
        <v>70000</v>
      </c>
      <c r="D378" t="s">
        <v>36</v>
      </c>
      <c r="E378" t="s">
        <v>12</v>
      </c>
      <c r="F378" t="s">
        <v>44</v>
      </c>
      <c r="G378" s="7">
        <v>43881</v>
      </c>
      <c r="H378" t="s">
        <v>41</v>
      </c>
      <c r="I378" t="s">
        <v>69</v>
      </c>
      <c r="J378" t="s">
        <v>45</v>
      </c>
      <c r="K378">
        <f>IF(HR_Data4[[#This Row],[Phone]]="Missing",0,1)</f>
        <v>1</v>
      </c>
    </row>
    <row r="379" spans="1:11" x14ac:dyDescent="0.3">
      <c r="A379" t="s">
        <v>58</v>
      </c>
      <c r="B379">
        <v>36</v>
      </c>
      <c r="C379" s="6">
        <v>70000</v>
      </c>
      <c r="D379" t="s">
        <v>18</v>
      </c>
      <c r="E379" t="s">
        <v>19</v>
      </c>
      <c r="F379" t="s">
        <v>13</v>
      </c>
      <c r="G379" s="7">
        <v>43881</v>
      </c>
      <c r="H379" t="s">
        <v>14</v>
      </c>
      <c r="I379" t="s">
        <v>15</v>
      </c>
      <c r="J379" t="s">
        <v>28</v>
      </c>
      <c r="K379">
        <f>IF(HR_Data4[[#This Row],[Phone]]="Missing",0,1)</f>
        <v>1</v>
      </c>
    </row>
    <row r="380" spans="1:11" x14ac:dyDescent="0.3">
      <c r="A380" t="s">
        <v>55</v>
      </c>
      <c r="B380">
        <v>50</v>
      </c>
      <c r="C380" s="6">
        <v>55000</v>
      </c>
      <c r="D380" t="s">
        <v>11</v>
      </c>
      <c r="E380" t="s">
        <v>37</v>
      </c>
      <c r="F380" t="s">
        <v>20</v>
      </c>
      <c r="G380" s="7">
        <v>43195</v>
      </c>
      <c r="H380" t="s">
        <v>41</v>
      </c>
      <c r="I380" t="s">
        <v>15</v>
      </c>
      <c r="J380" t="s">
        <v>23</v>
      </c>
      <c r="K380">
        <f>IF(HR_Data4[[#This Row],[Phone]]="Missing",0,1)</f>
        <v>1</v>
      </c>
    </row>
    <row r="381" spans="1:11" x14ac:dyDescent="0.3">
      <c r="A381" t="s">
        <v>56</v>
      </c>
      <c r="B381">
        <v>30</v>
      </c>
      <c r="C381" s="6">
        <v>70000</v>
      </c>
      <c r="D381" t="s">
        <v>11</v>
      </c>
      <c r="E381" t="s">
        <v>19</v>
      </c>
      <c r="F381" t="s">
        <v>44</v>
      </c>
      <c r="G381" s="7">
        <v>43800</v>
      </c>
      <c r="H381" t="s">
        <v>27</v>
      </c>
      <c r="I381" t="s">
        <v>22</v>
      </c>
      <c r="J381" t="s">
        <v>45</v>
      </c>
      <c r="K381">
        <f>IF(HR_Data4[[#This Row],[Phone]]="Missing",0,1)</f>
        <v>1</v>
      </c>
    </row>
    <row r="382" spans="1:11" x14ac:dyDescent="0.3">
      <c r="A382" t="s">
        <v>59</v>
      </c>
      <c r="B382">
        <v>35</v>
      </c>
      <c r="C382" s="6">
        <v>55000</v>
      </c>
      <c r="D382" t="s">
        <v>18</v>
      </c>
      <c r="E382" t="s">
        <v>37</v>
      </c>
      <c r="F382" t="s">
        <v>43</v>
      </c>
      <c r="G382" s="7">
        <v>43881</v>
      </c>
      <c r="H382" t="s">
        <v>27</v>
      </c>
      <c r="I382" t="s">
        <v>22</v>
      </c>
      <c r="J382" t="s">
        <v>69</v>
      </c>
      <c r="K382">
        <f>IF(HR_Data4[[#This Row],[Phone]]="Missing",0,1)</f>
        <v>0</v>
      </c>
    </row>
    <row r="383" spans="1:11" x14ac:dyDescent="0.3">
      <c r="A383" t="s">
        <v>53</v>
      </c>
      <c r="B383">
        <v>30</v>
      </c>
      <c r="C383" s="6">
        <v>65000</v>
      </c>
      <c r="D383" t="s">
        <v>11</v>
      </c>
      <c r="E383" t="s">
        <v>30</v>
      </c>
      <c r="F383" t="s">
        <v>39</v>
      </c>
      <c r="G383" s="7">
        <v>43845</v>
      </c>
      <c r="H383" t="s">
        <v>21</v>
      </c>
      <c r="I383" t="s">
        <v>15</v>
      </c>
      <c r="J383" t="s">
        <v>23</v>
      </c>
      <c r="K383">
        <f>IF(HR_Data4[[#This Row],[Phone]]="Missing",0,1)</f>
        <v>1</v>
      </c>
    </row>
    <row r="384" spans="1:11" x14ac:dyDescent="0.3">
      <c r="A384" t="s">
        <v>56</v>
      </c>
      <c r="B384">
        <v>30</v>
      </c>
      <c r="C384" s="6">
        <v>50000</v>
      </c>
      <c r="D384" t="s">
        <v>36</v>
      </c>
      <c r="E384" t="s">
        <v>26</v>
      </c>
      <c r="F384" t="s">
        <v>39</v>
      </c>
      <c r="G384" s="7">
        <v>43845</v>
      </c>
      <c r="H384" t="s">
        <v>21</v>
      </c>
      <c r="I384" t="s">
        <v>32</v>
      </c>
      <c r="J384" t="s">
        <v>69</v>
      </c>
      <c r="K384">
        <f>IF(HR_Data4[[#This Row],[Phone]]="Missing",0,1)</f>
        <v>0</v>
      </c>
    </row>
    <row r="385" spans="1:11" x14ac:dyDescent="0.3">
      <c r="A385" t="s">
        <v>55</v>
      </c>
      <c r="B385">
        <v>50</v>
      </c>
      <c r="C385" s="6">
        <v>65000</v>
      </c>
      <c r="D385" t="s">
        <v>36</v>
      </c>
      <c r="E385" t="s">
        <v>37</v>
      </c>
      <c r="F385" t="s">
        <v>44</v>
      </c>
      <c r="G385" s="7">
        <v>43800</v>
      </c>
      <c r="H385" t="s">
        <v>41</v>
      </c>
      <c r="I385" t="s">
        <v>22</v>
      </c>
      <c r="J385" t="s">
        <v>69</v>
      </c>
      <c r="K385">
        <f>IF(HR_Data4[[#This Row],[Phone]]="Missing",0,1)</f>
        <v>0</v>
      </c>
    </row>
    <row r="386" spans="1:11" x14ac:dyDescent="0.3">
      <c r="A386" t="s">
        <v>51</v>
      </c>
      <c r="B386">
        <v>35</v>
      </c>
      <c r="C386" s="6">
        <v>70000</v>
      </c>
      <c r="D386" t="s">
        <v>11</v>
      </c>
      <c r="E386" t="s">
        <v>12</v>
      </c>
      <c r="F386" t="s">
        <v>39</v>
      </c>
      <c r="G386" s="7">
        <v>43800</v>
      </c>
      <c r="H386" t="s">
        <v>31</v>
      </c>
      <c r="I386" t="s">
        <v>69</v>
      </c>
      <c r="J386" t="s">
        <v>23</v>
      </c>
      <c r="K386">
        <f>IF(HR_Data4[[#This Row],[Phone]]="Missing",0,1)</f>
        <v>1</v>
      </c>
    </row>
    <row r="387" spans="1:11" x14ac:dyDescent="0.3">
      <c r="A387" t="s">
        <v>55</v>
      </c>
      <c r="B387">
        <v>40</v>
      </c>
      <c r="C387" s="6">
        <v>65000</v>
      </c>
      <c r="D387" t="s">
        <v>36</v>
      </c>
      <c r="E387" t="s">
        <v>19</v>
      </c>
      <c r="F387" t="s">
        <v>39</v>
      </c>
      <c r="G387" s="7">
        <v>43195</v>
      </c>
      <c r="H387" t="s">
        <v>14</v>
      </c>
      <c r="I387" t="s">
        <v>69</v>
      </c>
      <c r="J387" t="s">
        <v>23</v>
      </c>
      <c r="K387">
        <f>IF(HR_Data4[[#This Row],[Phone]]="Missing",0,1)</f>
        <v>1</v>
      </c>
    </row>
    <row r="388" spans="1:11" x14ac:dyDescent="0.3">
      <c r="A388" t="s">
        <v>54</v>
      </c>
      <c r="B388">
        <v>40</v>
      </c>
      <c r="C388" s="6">
        <v>65000</v>
      </c>
      <c r="D388" t="s">
        <v>11</v>
      </c>
      <c r="E388" t="s">
        <v>30</v>
      </c>
      <c r="F388" t="s">
        <v>13</v>
      </c>
      <c r="G388" s="7">
        <v>43549</v>
      </c>
      <c r="H388" t="s">
        <v>31</v>
      </c>
      <c r="I388" t="s">
        <v>22</v>
      </c>
      <c r="J388" t="s">
        <v>69</v>
      </c>
      <c r="K388">
        <f>IF(HR_Data4[[#This Row],[Phone]]="Missing",0,1)</f>
        <v>0</v>
      </c>
    </row>
    <row r="389" spans="1:11" x14ac:dyDescent="0.3">
      <c r="A389" t="s">
        <v>55</v>
      </c>
      <c r="B389">
        <v>30</v>
      </c>
      <c r="C389" s="6">
        <v>65000</v>
      </c>
      <c r="D389" t="s">
        <v>18</v>
      </c>
      <c r="E389" t="s">
        <v>12</v>
      </c>
      <c r="F389" t="s">
        <v>43</v>
      </c>
      <c r="G389" s="7">
        <v>43845</v>
      </c>
      <c r="H389" t="s">
        <v>41</v>
      </c>
      <c r="I389" t="s">
        <v>15</v>
      </c>
      <c r="J389" t="s">
        <v>28</v>
      </c>
      <c r="K389">
        <f>IF(HR_Data4[[#This Row],[Phone]]="Missing",0,1)</f>
        <v>1</v>
      </c>
    </row>
    <row r="390" spans="1:11" x14ac:dyDescent="0.3">
      <c r="A390" t="s">
        <v>54</v>
      </c>
      <c r="B390">
        <v>35</v>
      </c>
      <c r="C390" s="6">
        <v>70000</v>
      </c>
      <c r="D390" t="s">
        <v>11</v>
      </c>
      <c r="E390" t="s">
        <v>30</v>
      </c>
      <c r="F390" t="s">
        <v>43</v>
      </c>
      <c r="G390" s="7">
        <v>43800</v>
      </c>
      <c r="H390" t="s">
        <v>41</v>
      </c>
      <c r="I390" t="s">
        <v>32</v>
      </c>
      <c r="J390" t="s">
        <v>69</v>
      </c>
      <c r="K390">
        <f>IF(HR_Data4[[#This Row],[Phone]]="Missing",0,1)</f>
        <v>0</v>
      </c>
    </row>
    <row r="391" spans="1:11" x14ac:dyDescent="0.3">
      <c r="A391" t="s">
        <v>51</v>
      </c>
      <c r="B391">
        <v>35</v>
      </c>
      <c r="C391" s="6" t="s">
        <v>68</v>
      </c>
      <c r="D391" t="s">
        <v>18</v>
      </c>
      <c r="E391" t="s">
        <v>26</v>
      </c>
      <c r="F391" t="s">
        <v>13</v>
      </c>
      <c r="G391" s="7">
        <v>43845</v>
      </c>
      <c r="H391" t="s">
        <v>31</v>
      </c>
      <c r="I391" t="s">
        <v>69</v>
      </c>
      <c r="J391" t="s">
        <v>69</v>
      </c>
      <c r="K391">
        <f>IF(HR_Data4[[#This Row],[Phone]]="Missing",0,1)</f>
        <v>0</v>
      </c>
    </row>
    <row r="392" spans="1:11" x14ac:dyDescent="0.3">
      <c r="A392" t="s">
        <v>60</v>
      </c>
      <c r="B392">
        <v>50</v>
      </c>
      <c r="C392" s="6">
        <v>65000</v>
      </c>
      <c r="D392" t="s">
        <v>36</v>
      </c>
      <c r="E392" t="s">
        <v>19</v>
      </c>
      <c r="F392" t="s">
        <v>13</v>
      </c>
      <c r="G392" s="7">
        <v>43800</v>
      </c>
      <c r="H392" t="s">
        <v>14</v>
      </c>
      <c r="I392" t="s">
        <v>22</v>
      </c>
      <c r="J392" t="s">
        <v>28</v>
      </c>
      <c r="K392">
        <f>IF(HR_Data4[[#This Row],[Phone]]="Missing",0,1)</f>
        <v>1</v>
      </c>
    </row>
    <row r="393" spans="1:11" x14ac:dyDescent="0.3">
      <c r="A393" t="s">
        <v>54</v>
      </c>
      <c r="B393">
        <v>36</v>
      </c>
      <c r="C393" s="6">
        <v>55000</v>
      </c>
      <c r="D393" t="s">
        <v>18</v>
      </c>
      <c r="E393" t="s">
        <v>19</v>
      </c>
      <c r="F393" t="s">
        <v>39</v>
      </c>
      <c r="G393" s="7">
        <v>43881</v>
      </c>
      <c r="H393" t="s">
        <v>31</v>
      </c>
      <c r="I393" t="s">
        <v>32</v>
      </c>
      <c r="J393" t="s">
        <v>23</v>
      </c>
      <c r="K393">
        <f>IF(HR_Data4[[#This Row],[Phone]]="Missing",0,1)</f>
        <v>1</v>
      </c>
    </row>
    <row r="394" spans="1:11" x14ac:dyDescent="0.3">
      <c r="A394" t="s">
        <v>59</v>
      </c>
      <c r="B394">
        <v>40</v>
      </c>
      <c r="C394" s="6">
        <v>70000</v>
      </c>
      <c r="D394" t="s">
        <v>36</v>
      </c>
      <c r="E394" t="s">
        <v>26</v>
      </c>
      <c r="F394" t="s">
        <v>20</v>
      </c>
      <c r="G394" s="7">
        <v>43845</v>
      </c>
      <c r="H394" t="s">
        <v>21</v>
      </c>
      <c r="I394" t="s">
        <v>32</v>
      </c>
      <c r="J394" t="s">
        <v>69</v>
      </c>
      <c r="K394">
        <f>IF(HR_Data4[[#This Row],[Phone]]="Missing",0,1)</f>
        <v>0</v>
      </c>
    </row>
    <row r="395" spans="1:11" x14ac:dyDescent="0.3">
      <c r="A395" t="s">
        <v>55</v>
      </c>
      <c r="B395">
        <v>50</v>
      </c>
      <c r="C395" s="6">
        <v>65000</v>
      </c>
      <c r="D395" t="s">
        <v>11</v>
      </c>
      <c r="E395" t="s">
        <v>19</v>
      </c>
      <c r="F395" t="s">
        <v>39</v>
      </c>
      <c r="G395" s="7">
        <v>43881</v>
      </c>
      <c r="H395" t="s">
        <v>27</v>
      </c>
      <c r="I395" t="s">
        <v>32</v>
      </c>
      <c r="J395" t="s">
        <v>69</v>
      </c>
      <c r="K395">
        <f>IF(HR_Data4[[#This Row],[Phone]]="Missing",0,1)</f>
        <v>0</v>
      </c>
    </row>
    <row r="396" spans="1:11" x14ac:dyDescent="0.3">
      <c r="A396" t="s">
        <v>55</v>
      </c>
      <c r="B396">
        <v>25</v>
      </c>
      <c r="C396" s="6" t="s">
        <v>68</v>
      </c>
      <c r="D396" t="s">
        <v>36</v>
      </c>
      <c r="E396" t="s">
        <v>37</v>
      </c>
      <c r="F396" t="s">
        <v>13</v>
      </c>
      <c r="G396" s="7">
        <v>43845</v>
      </c>
      <c r="H396" t="s">
        <v>21</v>
      </c>
      <c r="I396" t="s">
        <v>15</v>
      </c>
      <c r="J396" t="s">
        <v>69</v>
      </c>
      <c r="K396">
        <f>IF(HR_Data4[[#This Row],[Phone]]="Missing",0,1)</f>
        <v>0</v>
      </c>
    </row>
    <row r="397" spans="1:11" x14ac:dyDescent="0.3">
      <c r="A397" t="s">
        <v>59</v>
      </c>
      <c r="B397">
        <v>40</v>
      </c>
      <c r="C397" s="6">
        <v>70000</v>
      </c>
      <c r="D397" t="s">
        <v>11</v>
      </c>
      <c r="E397" t="s">
        <v>30</v>
      </c>
      <c r="F397" t="s">
        <v>43</v>
      </c>
      <c r="G397" s="7">
        <v>43549</v>
      </c>
      <c r="H397" t="s">
        <v>27</v>
      </c>
      <c r="I397" t="s">
        <v>69</v>
      </c>
      <c r="J397" t="s">
        <v>28</v>
      </c>
      <c r="K397">
        <f>IF(HR_Data4[[#This Row],[Phone]]="Missing",0,1)</f>
        <v>1</v>
      </c>
    </row>
    <row r="398" spans="1:11" x14ac:dyDescent="0.3">
      <c r="A398" t="s">
        <v>58</v>
      </c>
      <c r="B398">
        <v>50</v>
      </c>
      <c r="C398" s="6">
        <v>60000</v>
      </c>
      <c r="D398" t="s">
        <v>11</v>
      </c>
      <c r="E398" t="s">
        <v>12</v>
      </c>
      <c r="F398" t="s">
        <v>39</v>
      </c>
      <c r="G398" s="7">
        <v>43195</v>
      </c>
      <c r="H398" t="s">
        <v>41</v>
      </c>
      <c r="I398" t="s">
        <v>32</v>
      </c>
      <c r="J398" t="s">
        <v>69</v>
      </c>
      <c r="K398">
        <f>IF(HR_Data4[[#This Row],[Phone]]="Missing",0,1)</f>
        <v>0</v>
      </c>
    </row>
    <row r="399" spans="1:11" x14ac:dyDescent="0.3">
      <c r="A399" t="s">
        <v>57</v>
      </c>
      <c r="B399">
        <v>40</v>
      </c>
      <c r="C399" s="6" t="s">
        <v>68</v>
      </c>
      <c r="D399" t="s">
        <v>18</v>
      </c>
      <c r="E399" t="s">
        <v>26</v>
      </c>
      <c r="F399" t="s">
        <v>20</v>
      </c>
      <c r="G399" s="7">
        <v>43881</v>
      </c>
      <c r="H399" t="s">
        <v>14</v>
      </c>
      <c r="I399" t="s">
        <v>69</v>
      </c>
      <c r="J399" t="s">
        <v>28</v>
      </c>
      <c r="K399">
        <f>IF(HR_Data4[[#This Row],[Phone]]="Missing",0,1)</f>
        <v>1</v>
      </c>
    </row>
    <row r="400" spans="1:11" x14ac:dyDescent="0.3">
      <c r="A400" t="s">
        <v>60</v>
      </c>
      <c r="B400">
        <v>36</v>
      </c>
      <c r="C400" s="6">
        <v>55000</v>
      </c>
      <c r="D400" t="s">
        <v>18</v>
      </c>
      <c r="E400" t="s">
        <v>37</v>
      </c>
      <c r="F400" t="s">
        <v>39</v>
      </c>
      <c r="G400" s="7">
        <v>43800</v>
      </c>
      <c r="H400" t="s">
        <v>31</v>
      </c>
      <c r="I400" t="s">
        <v>22</v>
      </c>
      <c r="J400" t="s">
        <v>23</v>
      </c>
      <c r="K400">
        <f>IF(HR_Data4[[#This Row],[Phone]]="Missing",0,1)</f>
        <v>1</v>
      </c>
    </row>
    <row r="401" spans="1:11" x14ac:dyDescent="0.3">
      <c r="A401" t="s">
        <v>53</v>
      </c>
      <c r="B401">
        <v>25</v>
      </c>
      <c r="C401" s="6">
        <v>65000</v>
      </c>
      <c r="D401" t="s">
        <v>18</v>
      </c>
      <c r="E401" t="s">
        <v>12</v>
      </c>
      <c r="F401" t="s">
        <v>44</v>
      </c>
      <c r="G401" s="7">
        <v>43549</v>
      </c>
      <c r="H401" t="s">
        <v>14</v>
      </c>
      <c r="I401" t="s">
        <v>69</v>
      </c>
      <c r="J401" t="s">
        <v>28</v>
      </c>
      <c r="K401">
        <f>IF(HR_Data4[[#This Row],[Phone]]="Missing",0,1)</f>
        <v>1</v>
      </c>
    </row>
    <row r="402" spans="1:11" x14ac:dyDescent="0.3">
      <c r="A402" t="s">
        <v>54</v>
      </c>
      <c r="B402">
        <v>36</v>
      </c>
      <c r="C402" s="6">
        <v>60000</v>
      </c>
      <c r="D402" t="s">
        <v>18</v>
      </c>
      <c r="E402" t="s">
        <v>12</v>
      </c>
      <c r="F402" t="s">
        <v>39</v>
      </c>
      <c r="G402" s="7">
        <v>43845</v>
      </c>
      <c r="H402" t="s">
        <v>31</v>
      </c>
      <c r="I402" t="s">
        <v>15</v>
      </c>
      <c r="J402" t="s">
        <v>28</v>
      </c>
      <c r="K402">
        <f>IF(HR_Data4[[#This Row],[Phone]]="Missing",0,1)</f>
        <v>1</v>
      </c>
    </row>
    <row r="403" spans="1:11" x14ac:dyDescent="0.3">
      <c r="A403" t="s">
        <v>59</v>
      </c>
      <c r="B403">
        <v>25</v>
      </c>
      <c r="C403" s="6">
        <v>60000</v>
      </c>
      <c r="D403" t="s">
        <v>36</v>
      </c>
      <c r="E403" t="s">
        <v>26</v>
      </c>
      <c r="F403" t="s">
        <v>13</v>
      </c>
      <c r="G403" s="7">
        <v>43881</v>
      </c>
      <c r="H403" t="s">
        <v>21</v>
      </c>
      <c r="I403" t="s">
        <v>15</v>
      </c>
      <c r="J403" t="s">
        <v>69</v>
      </c>
      <c r="K403">
        <f>IF(HR_Data4[[#This Row],[Phone]]="Missing",0,1)</f>
        <v>0</v>
      </c>
    </row>
    <row r="404" spans="1:11" x14ac:dyDescent="0.3">
      <c r="A404" t="s">
        <v>51</v>
      </c>
      <c r="B404">
        <v>30</v>
      </c>
      <c r="C404" s="6">
        <v>70000</v>
      </c>
      <c r="D404" t="s">
        <v>36</v>
      </c>
      <c r="E404" t="s">
        <v>37</v>
      </c>
      <c r="F404" t="s">
        <v>43</v>
      </c>
      <c r="G404" s="7">
        <v>43845</v>
      </c>
      <c r="H404" t="s">
        <v>21</v>
      </c>
      <c r="I404" t="s">
        <v>69</v>
      </c>
      <c r="J404" t="s">
        <v>69</v>
      </c>
      <c r="K404">
        <f>IF(HR_Data4[[#This Row],[Phone]]="Missing",0,1)</f>
        <v>0</v>
      </c>
    </row>
    <row r="405" spans="1:11" x14ac:dyDescent="0.3">
      <c r="A405" t="s">
        <v>54</v>
      </c>
      <c r="B405">
        <v>50</v>
      </c>
      <c r="C405" s="6">
        <v>60000</v>
      </c>
      <c r="D405" t="s">
        <v>36</v>
      </c>
      <c r="E405" t="s">
        <v>12</v>
      </c>
      <c r="F405" t="s">
        <v>43</v>
      </c>
      <c r="G405" s="7">
        <v>43845</v>
      </c>
      <c r="H405" t="s">
        <v>31</v>
      </c>
      <c r="I405" t="s">
        <v>69</v>
      </c>
      <c r="J405" t="s">
        <v>69</v>
      </c>
      <c r="K405">
        <f>IF(HR_Data4[[#This Row],[Phone]]="Missing",0,1)</f>
        <v>0</v>
      </c>
    </row>
    <row r="406" spans="1:11" x14ac:dyDescent="0.3">
      <c r="A406" t="s">
        <v>57</v>
      </c>
      <c r="B406">
        <v>25</v>
      </c>
      <c r="C406" s="6">
        <v>55000</v>
      </c>
      <c r="D406" t="s">
        <v>11</v>
      </c>
      <c r="E406" t="s">
        <v>12</v>
      </c>
      <c r="F406" t="s">
        <v>13</v>
      </c>
      <c r="G406" s="7">
        <v>43845</v>
      </c>
      <c r="H406" t="s">
        <v>14</v>
      </c>
      <c r="I406" t="s">
        <v>15</v>
      </c>
      <c r="J406" t="s">
        <v>45</v>
      </c>
      <c r="K406">
        <f>IF(HR_Data4[[#This Row],[Phone]]="Missing",0,1)</f>
        <v>1</v>
      </c>
    </row>
    <row r="407" spans="1:11" x14ac:dyDescent="0.3">
      <c r="A407" t="s">
        <v>51</v>
      </c>
      <c r="B407">
        <v>36</v>
      </c>
      <c r="C407" s="6">
        <v>55000</v>
      </c>
      <c r="D407" t="s">
        <v>36</v>
      </c>
      <c r="E407" t="s">
        <v>37</v>
      </c>
      <c r="F407" t="s">
        <v>44</v>
      </c>
      <c r="G407" s="7">
        <v>43195</v>
      </c>
      <c r="H407" t="s">
        <v>31</v>
      </c>
      <c r="I407" t="s">
        <v>15</v>
      </c>
      <c r="J407" t="s">
        <v>28</v>
      </c>
      <c r="K407">
        <f>IF(HR_Data4[[#This Row],[Phone]]="Missing",0,1)</f>
        <v>1</v>
      </c>
    </row>
    <row r="408" spans="1:11" x14ac:dyDescent="0.3">
      <c r="A408" t="s">
        <v>56</v>
      </c>
      <c r="B408">
        <v>40</v>
      </c>
      <c r="C408" s="6">
        <v>50000</v>
      </c>
      <c r="D408" t="s">
        <v>36</v>
      </c>
      <c r="E408" t="s">
        <v>19</v>
      </c>
      <c r="F408" t="s">
        <v>13</v>
      </c>
      <c r="G408" s="7">
        <v>43195</v>
      </c>
      <c r="H408" t="s">
        <v>41</v>
      </c>
      <c r="I408" t="s">
        <v>69</v>
      </c>
      <c r="J408" t="s">
        <v>45</v>
      </c>
      <c r="K408">
        <f>IF(HR_Data4[[#This Row],[Phone]]="Missing",0,1)</f>
        <v>1</v>
      </c>
    </row>
    <row r="409" spans="1:11" x14ac:dyDescent="0.3">
      <c r="A409" t="s">
        <v>55</v>
      </c>
      <c r="B409">
        <v>25</v>
      </c>
      <c r="C409" s="6">
        <v>55000</v>
      </c>
      <c r="D409" t="s">
        <v>36</v>
      </c>
      <c r="E409" t="s">
        <v>12</v>
      </c>
      <c r="F409" t="s">
        <v>39</v>
      </c>
      <c r="G409" s="7">
        <v>43800</v>
      </c>
      <c r="H409" t="s">
        <v>21</v>
      </c>
      <c r="I409" t="s">
        <v>15</v>
      </c>
      <c r="J409" t="s">
        <v>69</v>
      </c>
      <c r="K409">
        <f>IF(HR_Data4[[#This Row],[Phone]]="Missing",0,1)</f>
        <v>0</v>
      </c>
    </row>
    <row r="410" spans="1:11" x14ac:dyDescent="0.3">
      <c r="A410" t="s">
        <v>56</v>
      </c>
      <c r="B410">
        <v>50</v>
      </c>
      <c r="C410" s="6" t="s">
        <v>68</v>
      </c>
      <c r="D410" t="s">
        <v>18</v>
      </c>
      <c r="E410" t="s">
        <v>30</v>
      </c>
      <c r="F410" t="s">
        <v>13</v>
      </c>
      <c r="G410" s="7">
        <v>43881</v>
      </c>
      <c r="H410" t="s">
        <v>41</v>
      </c>
      <c r="I410" t="s">
        <v>69</v>
      </c>
      <c r="J410" t="s">
        <v>69</v>
      </c>
      <c r="K410">
        <f>IF(HR_Data4[[#This Row],[Phone]]="Missing",0,1)</f>
        <v>0</v>
      </c>
    </row>
    <row r="411" spans="1:11" x14ac:dyDescent="0.3">
      <c r="A411" t="s">
        <v>54</v>
      </c>
      <c r="B411">
        <v>25</v>
      </c>
      <c r="C411" s="6">
        <v>60000</v>
      </c>
      <c r="D411" t="s">
        <v>36</v>
      </c>
      <c r="E411" t="s">
        <v>37</v>
      </c>
      <c r="F411" t="s">
        <v>13</v>
      </c>
      <c r="G411" s="7">
        <v>43549</v>
      </c>
      <c r="H411" t="s">
        <v>21</v>
      </c>
      <c r="I411" t="s">
        <v>69</v>
      </c>
      <c r="J411" t="s">
        <v>69</v>
      </c>
      <c r="K411">
        <f>IF(HR_Data4[[#This Row],[Phone]]="Missing",0,1)</f>
        <v>0</v>
      </c>
    </row>
    <row r="412" spans="1:11" x14ac:dyDescent="0.3">
      <c r="A412" t="s">
        <v>57</v>
      </c>
      <c r="B412">
        <v>35</v>
      </c>
      <c r="C412" s="6">
        <v>55000</v>
      </c>
      <c r="D412" t="s">
        <v>11</v>
      </c>
      <c r="E412" t="s">
        <v>12</v>
      </c>
      <c r="F412" t="s">
        <v>44</v>
      </c>
      <c r="G412" s="7">
        <v>43549</v>
      </c>
      <c r="H412" t="s">
        <v>21</v>
      </c>
      <c r="I412" t="s">
        <v>69</v>
      </c>
      <c r="J412" t="s">
        <v>69</v>
      </c>
      <c r="K412">
        <f>IF(HR_Data4[[#This Row],[Phone]]="Missing",0,1)</f>
        <v>0</v>
      </c>
    </row>
    <row r="413" spans="1:11" x14ac:dyDescent="0.3">
      <c r="A413" t="s">
        <v>60</v>
      </c>
      <c r="B413">
        <v>40</v>
      </c>
      <c r="C413" s="6">
        <v>70000</v>
      </c>
      <c r="D413" t="s">
        <v>18</v>
      </c>
      <c r="E413" t="s">
        <v>26</v>
      </c>
      <c r="F413" t="s">
        <v>39</v>
      </c>
      <c r="G413" s="7">
        <v>43549</v>
      </c>
      <c r="H413" t="s">
        <v>27</v>
      </c>
      <c r="I413" t="s">
        <v>22</v>
      </c>
      <c r="J413" t="s">
        <v>69</v>
      </c>
      <c r="K413">
        <f>IF(HR_Data4[[#This Row],[Phone]]="Missing",0,1)</f>
        <v>0</v>
      </c>
    </row>
    <row r="414" spans="1:11" x14ac:dyDescent="0.3">
      <c r="A414" t="s">
        <v>54</v>
      </c>
      <c r="B414">
        <v>50</v>
      </c>
      <c r="C414" s="6">
        <v>50000</v>
      </c>
      <c r="D414" t="s">
        <v>11</v>
      </c>
      <c r="E414" t="s">
        <v>30</v>
      </c>
      <c r="F414" t="s">
        <v>20</v>
      </c>
      <c r="G414" s="7">
        <v>43845</v>
      </c>
      <c r="H414" t="s">
        <v>41</v>
      </c>
      <c r="I414" t="s">
        <v>69</v>
      </c>
      <c r="J414" t="s">
        <v>23</v>
      </c>
      <c r="K414">
        <f>IF(HR_Data4[[#This Row],[Phone]]="Missing",0,1)</f>
        <v>1</v>
      </c>
    </row>
    <row r="415" spans="1:11" x14ac:dyDescent="0.3">
      <c r="A415" t="s">
        <v>59</v>
      </c>
      <c r="B415">
        <v>50</v>
      </c>
      <c r="C415" s="6">
        <v>60000</v>
      </c>
      <c r="D415" t="s">
        <v>36</v>
      </c>
      <c r="E415" t="s">
        <v>12</v>
      </c>
      <c r="F415" t="s">
        <v>20</v>
      </c>
      <c r="G415" s="7">
        <v>43195</v>
      </c>
      <c r="H415" t="s">
        <v>41</v>
      </c>
      <c r="I415" t="s">
        <v>69</v>
      </c>
      <c r="J415" t="s">
        <v>28</v>
      </c>
      <c r="K415">
        <f>IF(HR_Data4[[#This Row],[Phone]]="Missing",0,1)</f>
        <v>1</v>
      </c>
    </row>
    <row r="416" spans="1:11" x14ac:dyDescent="0.3">
      <c r="A416" t="s">
        <v>52</v>
      </c>
      <c r="B416">
        <v>30</v>
      </c>
      <c r="C416" s="6">
        <v>50000</v>
      </c>
      <c r="D416" t="s">
        <v>18</v>
      </c>
      <c r="E416" t="s">
        <v>30</v>
      </c>
      <c r="F416" t="s">
        <v>43</v>
      </c>
      <c r="G416" s="7">
        <v>43881</v>
      </c>
      <c r="H416" t="s">
        <v>27</v>
      </c>
      <c r="I416" t="s">
        <v>22</v>
      </c>
      <c r="J416" t="s">
        <v>69</v>
      </c>
      <c r="K416">
        <f>IF(HR_Data4[[#This Row],[Phone]]="Missing",0,1)</f>
        <v>0</v>
      </c>
    </row>
    <row r="417" spans="1:11" x14ac:dyDescent="0.3">
      <c r="A417" t="s">
        <v>54</v>
      </c>
      <c r="B417">
        <v>36</v>
      </c>
      <c r="C417" s="6">
        <v>60000</v>
      </c>
      <c r="D417" t="s">
        <v>11</v>
      </c>
      <c r="E417" t="s">
        <v>30</v>
      </c>
      <c r="F417" t="s">
        <v>13</v>
      </c>
      <c r="G417" s="7">
        <v>43845</v>
      </c>
      <c r="H417" t="s">
        <v>14</v>
      </c>
      <c r="I417" t="s">
        <v>32</v>
      </c>
      <c r="J417" t="s">
        <v>69</v>
      </c>
      <c r="K417">
        <f>IF(HR_Data4[[#This Row],[Phone]]="Missing",0,1)</f>
        <v>0</v>
      </c>
    </row>
    <row r="418" spans="1:11" x14ac:dyDescent="0.3">
      <c r="A418" t="s">
        <v>55</v>
      </c>
      <c r="B418">
        <v>30</v>
      </c>
      <c r="C418" s="6">
        <v>70000</v>
      </c>
      <c r="D418" t="s">
        <v>36</v>
      </c>
      <c r="E418" t="s">
        <v>19</v>
      </c>
      <c r="F418" t="s">
        <v>43</v>
      </c>
      <c r="G418" s="7">
        <v>43195</v>
      </c>
      <c r="H418" t="s">
        <v>41</v>
      </c>
      <c r="I418" t="s">
        <v>15</v>
      </c>
      <c r="J418" t="s">
        <v>69</v>
      </c>
      <c r="K418">
        <f>IF(HR_Data4[[#This Row],[Phone]]="Missing",0,1)</f>
        <v>0</v>
      </c>
    </row>
    <row r="419" spans="1:11" x14ac:dyDescent="0.3">
      <c r="A419" t="s">
        <v>55</v>
      </c>
      <c r="B419">
        <v>50</v>
      </c>
      <c r="C419" s="6">
        <v>50000</v>
      </c>
      <c r="D419" t="s">
        <v>11</v>
      </c>
      <c r="E419" t="s">
        <v>30</v>
      </c>
      <c r="F419" t="s">
        <v>44</v>
      </c>
      <c r="G419" s="7">
        <v>43195</v>
      </c>
      <c r="H419" t="s">
        <v>31</v>
      </c>
      <c r="I419" t="s">
        <v>69</v>
      </c>
      <c r="J419" t="s">
        <v>69</v>
      </c>
      <c r="K419">
        <f>IF(HR_Data4[[#This Row],[Phone]]="Missing",0,1)</f>
        <v>0</v>
      </c>
    </row>
    <row r="420" spans="1:11" x14ac:dyDescent="0.3">
      <c r="A420" t="s">
        <v>54</v>
      </c>
      <c r="B420">
        <v>40</v>
      </c>
      <c r="C420" s="6">
        <v>65000</v>
      </c>
      <c r="D420" t="s">
        <v>11</v>
      </c>
      <c r="E420" t="s">
        <v>19</v>
      </c>
      <c r="F420" t="s">
        <v>20</v>
      </c>
      <c r="G420" s="7">
        <v>43881</v>
      </c>
      <c r="H420" t="s">
        <v>27</v>
      </c>
      <c r="I420" t="s">
        <v>15</v>
      </c>
      <c r="J420" t="s">
        <v>69</v>
      </c>
      <c r="K420">
        <f>IF(HR_Data4[[#This Row],[Phone]]="Missing",0,1)</f>
        <v>0</v>
      </c>
    </row>
    <row r="421" spans="1:11" x14ac:dyDescent="0.3">
      <c r="A421" t="s">
        <v>51</v>
      </c>
      <c r="B421">
        <v>25</v>
      </c>
      <c r="C421" s="6" t="s">
        <v>68</v>
      </c>
      <c r="D421" t="s">
        <v>11</v>
      </c>
      <c r="E421" t="s">
        <v>37</v>
      </c>
      <c r="F421" t="s">
        <v>13</v>
      </c>
      <c r="G421" s="7">
        <v>43881</v>
      </c>
      <c r="H421" t="s">
        <v>41</v>
      </c>
      <c r="I421" t="s">
        <v>69</v>
      </c>
      <c r="J421" t="s">
        <v>45</v>
      </c>
      <c r="K421">
        <f>IF(HR_Data4[[#This Row],[Phone]]="Missing",0,1)</f>
        <v>1</v>
      </c>
    </row>
    <row r="422" spans="1:11" x14ac:dyDescent="0.3">
      <c r="A422" t="s">
        <v>52</v>
      </c>
      <c r="B422">
        <v>25</v>
      </c>
      <c r="C422" s="6" t="s">
        <v>68</v>
      </c>
      <c r="D422" t="s">
        <v>36</v>
      </c>
      <c r="E422" t="s">
        <v>19</v>
      </c>
      <c r="F422" t="s">
        <v>44</v>
      </c>
      <c r="G422" s="7">
        <v>43881</v>
      </c>
      <c r="H422" t="s">
        <v>14</v>
      </c>
      <c r="I422" t="s">
        <v>15</v>
      </c>
      <c r="J422" t="s">
        <v>28</v>
      </c>
      <c r="K422">
        <f>IF(HR_Data4[[#This Row],[Phone]]="Missing",0,1)</f>
        <v>1</v>
      </c>
    </row>
    <row r="423" spans="1:11" x14ac:dyDescent="0.3">
      <c r="A423" t="s">
        <v>59</v>
      </c>
      <c r="B423">
        <v>40</v>
      </c>
      <c r="C423" s="6">
        <v>60000</v>
      </c>
      <c r="D423" t="s">
        <v>36</v>
      </c>
      <c r="E423" t="s">
        <v>26</v>
      </c>
      <c r="F423" t="s">
        <v>44</v>
      </c>
      <c r="G423" s="7">
        <v>43845</v>
      </c>
      <c r="H423" t="s">
        <v>41</v>
      </c>
      <c r="I423" t="s">
        <v>22</v>
      </c>
      <c r="J423" t="s">
        <v>28</v>
      </c>
      <c r="K423">
        <f>IF(HR_Data4[[#This Row],[Phone]]="Missing",0,1)</f>
        <v>1</v>
      </c>
    </row>
    <row r="424" spans="1:11" x14ac:dyDescent="0.3">
      <c r="A424" t="s">
        <v>54</v>
      </c>
      <c r="B424">
        <v>50</v>
      </c>
      <c r="C424" s="6">
        <v>65000</v>
      </c>
      <c r="D424" t="s">
        <v>11</v>
      </c>
      <c r="E424" t="s">
        <v>12</v>
      </c>
      <c r="F424" t="s">
        <v>13</v>
      </c>
      <c r="G424" s="7">
        <v>43800</v>
      </c>
      <c r="H424" t="s">
        <v>21</v>
      </c>
      <c r="I424" t="s">
        <v>15</v>
      </c>
      <c r="J424" t="s">
        <v>23</v>
      </c>
      <c r="K424">
        <f>IF(HR_Data4[[#This Row],[Phone]]="Missing",0,1)</f>
        <v>1</v>
      </c>
    </row>
    <row r="425" spans="1:11" x14ac:dyDescent="0.3">
      <c r="A425" t="s">
        <v>51</v>
      </c>
      <c r="B425">
        <v>25</v>
      </c>
      <c r="C425" s="6">
        <v>50000</v>
      </c>
      <c r="D425" t="s">
        <v>18</v>
      </c>
      <c r="E425" t="s">
        <v>37</v>
      </c>
      <c r="F425" t="s">
        <v>44</v>
      </c>
      <c r="G425" s="7">
        <v>43881</v>
      </c>
      <c r="H425" t="s">
        <v>31</v>
      </c>
      <c r="I425" t="s">
        <v>15</v>
      </c>
      <c r="J425" t="s">
        <v>23</v>
      </c>
      <c r="K425">
        <f>IF(HR_Data4[[#This Row],[Phone]]="Missing",0,1)</f>
        <v>1</v>
      </c>
    </row>
    <row r="426" spans="1:11" x14ac:dyDescent="0.3">
      <c r="A426" t="s">
        <v>55</v>
      </c>
      <c r="B426">
        <v>25</v>
      </c>
      <c r="C426" s="6">
        <v>65000</v>
      </c>
      <c r="D426" t="s">
        <v>18</v>
      </c>
      <c r="E426" t="s">
        <v>37</v>
      </c>
      <c r="F426" t="s">
        <v>13</v>
      </c>
      <c r="G426" s="7">
        <v>43800</v>
      </c>
      <c r="H426" t="s">
        <v>27</v>
      </c>
      <c r="I426" t="s">
        <v>15</v>
      </c>
      <c r="J426" t="s">
        <v>23</v>
      </c>
      <c r="K426">
        <f>IF(HR_Data4[[#This Row],[Phone]]="Missing",0,1)</f>
        <v>1</v>
      </c>
    </row>
    <row r="427" spans="1:11" x14ac:dyDescent="0.3">
      <c r="A427" t="s">
        <v>55</v>
      </c>
      <c r="B427">
        <v>25</v>
      </c>
      <c r="C427" s="6">
        <v>65000</v>
      </c>
      <c r="D427" t="s">
        <v>36</v>
      </c>
      <c r="E427" t="s">
        <v>26</v>
      </c>
      <c r="F427" t="s">
        <v>13</v>
      </c>
      <c r="G427" s="7">
        <v>43845</v>
      </c>
      <c r="H427" t="s">
        <v>21</v>
      </c>
      <c r="I427" t="s">
        <v>32</v>
      </c>
      <c r="J427" t="s">
        <v>28</v>
      </c>
      <c r="K427">
        <f>IF(HR_Data4[[#This Row],[Phone]]="Missing",0,1)</f>
        <v>1</v>
      </c>
    </row>
    <row r="428" spans="1:11" x14ac:dyDescent="0.3">
      <c r="A428" t="s">
        <v>57</v>
      </c>
      <c r="B428">
        <v>36</v>
      </c>
      <c r="C428" s="6">
        <v>50000</v>
      </c>
      <c r="D428" t="s">
        <v>36</v>
      </c>
      <c r="E428" t="s">
        <v>19</v>
      </c>
      <c r="F428" t="s">
        <v>39</v>
      </c>
      <c r="G428" s="7">
        <v>43800</v>
      </c>
      <c r="H428" t="s">
        <v>14</v>
      </c>
      <c r="I428" t="s">
        <v>32</v>
      </c>
      <c r="J428" t="s">
        <v>45</v>
      </c>
      <c r="K428">
        <f>IF(HR_Data4[[#This Row],[Phone]]="Missing",0,1)</f>
        <v>1</v>
      </c>
    </row>
    <row r="429" spans="1:11" x14ac:dyDescent="0.3">
      <c r="A429" t="s">
        <v>54</v>
      </c>
      <c r="B429">
        <v>36</v>
      </c>
      <c r="C429" s="6">
        <v>70000</v>
      </c>
      <c r="D429" t="s">
        <v>36</v>
      </c>
      <c r="E429" t="s">
        <v>12</v>
      </c>
      <c r="F429" t="s">
        <v>43</v>
      </c>
      <c r="G429" s="7">
        <v>43549</v>
      </c>
      <c r="H429" t="s">
        <v>21</v>
      </c>
      <c r="I429" t="s">
        <v>69</v>
      </c>
      <c r="J429" t="s">
        <v>28</v>
      </c>
      <c r="K429">
        <f>IF(HR_Data4[[#This Row],[Phone]]="Missing",0,1)</f>
        <v>1</v>
      </c>
    </row>
    <row r="430" spans="1:11" x14ac:dyDescent="0.3">
      <c r="A430" t="s">
        <v>52</v>
      </c>
      <c r="B430">
        <v>35</v>
      </c>
      <c r="C430" s="6">
        <v>65000</v>
      </c>
      <c r="D430" t="s">
        <v>36</v>
      </c>
      <c r="E430" t="s">
        <v>19</v>
      </c>
      <c r="F430" t="s">
        <v>44</v>
      </c>
      <c r="G430" s="7">
        <v>43800</v>
      </c>
      <c r="H430" t="s">
        <v>21</v>
      </c>
      <c r="I430" t="s">
        <v>22</v>
      </c>
      <c r="J430" t="s">
        <v>28</v>
      </c>
      <c r="K430">
        <f>IF(HR_Data4[[#This Row],[Phone]]="Missing",0,1)</f>
        <v>1</v>
      </c>
    </row>
    <row r="431" spans="1:11" x14ac:dyDescent="0.3">
      <c r="A431" t="s">
        <v>58</v>
      </c>
      <c r="B431">
        <v>30</v>
      </c>
      <c r="C431" s="6">
        <v>65000</v>
      </c>
      <c r="D431" t="s">
        <v>36</v>
      </c>
      <c r="E431" t="s">
        <v>30</v>
      </c>
      <c r="F431" t="s">
        <v>44</v>
      </c>
      <c r="G431" s="7">
        <v>43881</v>
      </c>
      <c r="H431" t="s">
        <v>14</v>
      </c>
      <c r="I431" t="s">
        <v>15</v>
      </c>
      <c r="J431" t="s">
        <v>28</v>
      </c>
      <c r="K431">
        <f>IF(HR_Data4[[#This Row],[Phone]]="Missing",0,1)</f>
        <v>1</v>
      </c>
    </row>
    <row r="432" spans="1:11" x14ac:dyDescent="0.3">
      <c r="A432" t="s">
        <v>52</v>
      </c>
      <c r="B432">
        <v>40</v>
      </c>
      <c r="C432" s="6">
        <v>70000</v>
      </c>
      <c r="D432" t="s">
        <v>18</v>
      </c>
      <c r="E432" t="s">
        <v>19</v>
      </c>
      <c r="F432" t="s">
        <v>39</v>
      </c>
      <c r="G432" s="7">
        <v>43845</v>
      </c>
      <c r="H432" t="s">
        <v>21</v>
      </c>
      <c r="I432" t="s">
        <v>15</v>
      </c>
      <c r="J432" t="s">
        <v>28</v>
      </c>
      <c r="K432">
        <f>IF(HR_Data4[[#This Row],[Phone]]="Missing",0,1)</f>
        <v>1</v>
      </c>
    </row>
    <row r="433" spans="1:11" x14ac:dyDescent="0.3">
      <c r="A433" t="s">
        <v>55</v>
      </c>
      <c r="B433">
        <v>40</v>
      </c>
      <c r="C433" s="6">
        <v>65000</v>
      </c>
      <c r="D433" t="s">
        <v>36</v>
      </c>
      <c r="E433" t="s">
        <v>37</v>
      </c>
      <c r="F433" t="s">
        <v>39</v>
      </c>
      <c r="G433" s="7">
        <v>43881</v>
      </c>
      <c r="H433" t="s">
        <v>27</v>
      </c>
      <c r="I433" t="s">
        <v>15</v>
      </c>
      <c r="J433" t="s">
        <v>45</v>
      </c>
      <c r="K433">
        <f>IF(HR_Data4[[#This Row],[Phone]]="Missing",0,1)</f>
        <v>1</v>
      </c>
    </row>
    <row r="434" spans="1:11" x14ac:dyDescent="0.3">
      <c r="A434" t="s">
        <v>55</v>
      </c>
      <c r="B434">
        <v>40</v>
      </c>
      <c r="C434" s="6">
        <v>65000</v>
      </c>
      <c r="D434" t="s">
        <v>11</v>
      </c>
      <c r="E434" t="s">
        <v>12</v>
      </c>
      <c r="F434" t="s">
        <v>39</v>
      </c>
      <c r="G434" s="7">
        <v>43549</v>
      </c>
      <c r="H434" t="s">
        <v>41</v>
      </c>
      <c r="I434" t="s">
        <v>15</v>
      </c>
      <c r="J434" t="s">
        <v>23</v>
      </c>
      <c r="K434">
        <f>IF(HR_Data4[[#This Row],[Phone]]="Missing",0,1)</f>
        <v>1</v>
      </c>
    </row>
    <row r="435" spans="1:11" x14ac:dyDescent="0.3">
      <c r="A435" t="s">
        <v>56</v>
      </c>
      <c r="B435">
        <v>35</v>
      </c>
      <c r="C435" s="6">
        <v>65000</v>
      </c>
      <c r="D435" t="s">
        <v>11</v>
      </c>
      <c r="E435" t="s">
        <v>19</v>
      </c>
      <c r="F435" t="s">
        <v>20</v>
      </c>
      <c r="G435" s="7">
        <v>43881</v>
      </c>
      <c r="H435" t="s">
        <v>21</v>
      </c>
      <c r="I435" t="s">
        <v>32</v>
      </c>
      <c r="J435" t="s">
        <v>69</v>
      </c>
      <c r="K435">
        <f>IF(HR_Data4[[#This Row],[Phone]]="Missing",0,1)</f>
        <v>0</v>
      </c>
    </row>
    <row r="436" spans="1:11" x14ac:dyDescent="0.3">
      <c r="A436" t="s">
        <v>55</v>
      </c>
      <c r="B436">
        <v>36</v>
      </c>
      <c r="C436" s="6" t="s">
        <v>68</v>
      </c>
      <c r="D436" t="s">
        <v>18</v>
      </c>
      <c r="E436" t="s">
        <v>12</v>
      </c>
      <c r="F436" t="s">
        <v>20</v>
      </c>
      <c r="G436" s="7">
        <v>43881</v>
      </c>
      <c r="H436" t="s">
        <v>27</v>
      </c>
      <c r="I436" t="s">
        <v>69</v>
      </c>
      <c r="J436" t="s">
        <v>23</v>
      </c>
      <c r="K436">
        <f>IF(HR_Data4[[#This Row],[Phone]]="Missing",0,1)</f>
        <v>1</v>
      </c>
    </row>
    <row r="437" spans="1:11" x14ac:dyDescent="0.3">
      <c r="A437" t="s">
        <v>59</v>
      </c>
      <c r="B437">
        <v>50</v>
      </c>
      <c r="C437" s="6">
        <v>55000</v>
      </c>
      <c r="D437" t="s">
        <v>11</v>
      </c>
      <c r="E437" t="s">
        <v>12</v>
      </c>
      <c r="F437" t="s">
        <v>20</v>
      </c>
      <c r="G437" s="7">
        <v>43881</v>
      </c>
      <c r="H437" t="s">
        <v>41</v>
      </c>
      <c r="I437" t="s">
        <v>69</v>
      </c>
      <c r="J437" t="s">
        <v>23</v>
      </c>
      <c r="K437">
        <f>IF(HR_Data4[[#This Row],[Phone]]="Missing",0,1)</f>
        <v>1</v>
      </c>
    </row>
    <row r="438" spans="1:11" x14ac:dyDescent="0.3">
      <c r="A438" t="s">
        <v>53</v>
      </c>
      <c r="B438">
        <v>50</v>
      </c>
      <c r="C438" s="6">
        <v>70000</v>
      </c>
      <c r="D438" t="s">
        <v>18</v>
      </c>
      <c r="E438" t="s">
        <v>30</v>
      </c>
      <c r="F438" t="s">
        <v>13</v>
      </c>
      <c r="G438" s="7">
        <v>43195</v>
      </c>
      <c r="H438" t="s">
        <v>41</v>
      </c>
      <c r="I438" t="s">
        <v>22</v>
      </c>
      <c r="J438" t="s">
        <v>69</v>
      </c>
      <c r="K438">
        <f>IF(HR_Data4[[#This Row],[Phone]]="Missing",0,1)</f>
        <v>0</v>
      </c>
    </row>
    <row r="439" spans="1:11" x14ac:dyDescent="0.3">
      <c r="A439" t="s">
        <v>54</v>
      </c>
      <c r="B439">
        <v>35</v>
      </c>
      <c r="C439" s="6">
        <v>65000</v>
      </c>
      <c r="D439" t="s">
        <v>18</v>
      </c>
      <c r="E439" t="s">
        <v>30</v>
      </c>
      <c r="F439" t="s">
        <v>44</v>
      </c>
      <c r="G439" s="7">
        <v>43549</v>
      </c>
      <c r="H439" t="s">
        <v>21</v>
      </c>
      <c r="I439" t="s">
        <v>15</v>
      </c>
      <c r="J439" t="s">
        <v>28</v>
      </c>
      <c r="K439">
        <f>IF(HR_Data4[[#This Row],[Phone]]="Missing",0,1)</f>
        <v>1</v>
      </c>
    </row>
    <row r="440" spans="1:11" x14ac:dyDescent="0.3">
      <c r="A440" t="s">
        <v>52</v>
      </c>
      <c r="B440">
        <v>50</v>
      </c>
      <c r="C440" s="6" t="s">
        <v>68</v>
      </c>
      <c r="D440" t="s">
        <v>11</v>
      </c>
      <c r="E440" t="s">
        <v>37</v>
      </c>
      <c r="F440" t="s">
        <v>43</v>
      </c>
      <c r="G440" s="7">
        <v>43881</v>
      </c>
      <c r="H440" t="s">
        <v>27</v>
      </c>
      <c r="I440" t="s">
        <v>69</v>
      </c>
      <c r="J440" t="s">
        <v>45</v>
      </c>
      <c r="K440">
        <f>IF(HR_Data4[[#This Row],[Phone]]="Missing",0,1)</f>
        <v>1</v>
      </c>
    </row>
    <row r="441" spans="1:11" x14ac:dyDescent="0.3">
      <c r="A441" t="s">
        <v>53</v>
      </c>
      <c r="B441">
        <v>40</v>
      </c>
      <c r="C441" s="6">
        <v>70000</v>
      </c>
      <c r="D441" t="s">
        <v>36</v>
      </c>
      <c r="E441" t="s">
        <v>26</v>
      </c>
      <c r="F441" t="s">
        <v>13</v>
      </c>
      <c r="G441" s="7">
        <v>43881</v>
      </c>
      <c r="H441" t="s">
        <v>21</v>
      </c>
      <c r="I441" t="s">
        <v>69</v>
      </c>
      <c r="J441" t="s">
        <v>45</v>
      </c>
      <c r="K441">
        <f>IF(HR_Data4[[#This Row],[Phone]]="Missing",0,1)</f>
        <v>1</v>
      </c>
    </row>
    <row r="442" spans="1:11" x14ac:dyDescent="0.3">
      <c r="A442" t="s">
        <v>51</v>
      </c>
      <c r="B442">
        <v>30</v>
      </c>
      <c r="C442" s="6">
        <v>60000</v>
      </c>
      <c r="D442" t="s">
        <v>11</v>
      </c>
      <c r="E442" t="s">
        <v>12</v>
      </c>
      <c r="F442" t="s">
        <v>44</v>
      </c>
      <c r="G442" s="7">
        <v>43881</v>
      </c>
      <c r="H442" t="s">
        <v>14</v>
      </c>
      <c r="I442" t="s">
        <v>69</v>
      </c>
      <c r="J442" t="s">
        <v>23</v>
      </c>
      <c r="K442">
        <f>IF(HR_Data4[[#This Row],[Phone]]="Missing",0,1)</f>
        <v>1</v>
      </c>
    </row>
    <row r="443" spans="1:11" x14ac:dyDescent="0.3">
      <c r="A443" t="s">
        <v>58</v>
      </c>
      <c r="B443">
        <v>25</v>
      </c>
      <c r="C443" s="6">
        <v>60000</v>
      </c>
      <c r="D443" t="s">
        <v>11</v>
      </c>
      <c r="E443" t="s">
        <v>26</v>
      </c>
      <c r="F443" t="s">
        <v>44</v>
      </c>
      <c r="G443" s="7">
        <v>43845</v>
      </c>
      <c r="H443" t="s">
        <v>41</v>
      </c>
      <c r="I443" t="s">
        <v>32</v>
      </c>
      <c r="J443" t="s">
        <v>69</v>
      </c>
      <c r="K443">
        <f>IF(HR_Data4[[#This Row],[Phone]]="Missing",0,1)</f>
        <v>0</v>
      </c>
    </row>
    <row r="444" spans="1:11" x14ac:dyDescent="0.3">
      <c r="A444" t="s">
        <v>59</v>
      </c>
      <c r="B444">
        <v>36</v>
      </c>
      <c r="C444" s="6">
        <v>65000</v>
      </c>
      <c r="D444" t="s">
        <v>18</v>
      </c>
      <c r="E444" t="s">
        <v>37</v>
      </c>
      <c r="F444" t="s">
        <v>39</v>
      </c>
      <c r="G444" s="7">
        <v>43195</v>
      </c>
      <c r="H444" t="s">
        <v>21</v>
      </c>
      <c r="I444" t="s">
        <v>69</v>
      </c>
      <c r="J444" t="s">
        <v>69</v>
      </c>
      <c r="K444">
        <f>IF(HR_Data4[[#This Row],[Phone]]="Missing",0,1)</f>
        <v>0</v>
      </c>
    </row>
    <row r="445" spans="1:11" x14ac:dyDescent="0.3">
      <c r="A445" t="s">
        <v>52</v>
      </c>
      <c r="B445">
        <v>36</v>
      </c>
      <c r="C445" s="6" t="s">
        <v>68</v>
      </c>
      <c r="D445" t="s">
        <v>11</v>
      </c>
      <c r="E445" t="s">
        <v>12</v>
      </c>
      <c r="F445" t="s">
        <v>39</v>
      </c>
      <c r="G445" s="7">
        <v>43845</v>
      </c>
      <c r="H445" t="s">
        <v>41</v>
      </c>
      <c r="I445" t="s">
        <v>69</v>
      </c>
      <c r="J445" t="s">
        <v>28</v>
      </c>
      <c r="K445">
        <f>IF(HR_Data4[[#This Row],[Phone]]="Missing",0,1)</f>
        <v>1</v>
      </c>
    </row>
    <row r="446" spans="1:11" x14ac:dyDescent="0.3">
      <c r="A446" t="s">
        <v>53</v>
      </c>
      <c r="B446">
        <v>35</v>
      </c>
      <c r="C446" s="6" t="s">
        <v>68</v>
      </c>
      <c r="D446" t="s">
        <v>18</v>
      </c>
      <c r="E446" t="s">
        <v>12</v>
      </c>
      <c r="F446" t="s">
        <v>13</v>
      </c>
      <c r="G446" s="7">
        <v>43195</v>
      </c>
      <c r="H446" t="s">
        <v>27</v>
      </c>
      <c r="I446" t="s">
        <v>32</v>
      </c>
      <c r="J446" t="s">
        <v>23</v>
      </c>
      <c r="K446">
        <f>IF(HR_Data4[[#This Row],[Phone]]="Missing",0,1)</f>
        <v>1</v>
      </c>
    </row>
    <row r="447" spans="1:11" x14ac:dyDescent="0.3">
      <c r="A447" t="s">
        <v>58</v>
      </c>
      <c r="B447">
        <v>36</v>
      </c>
      <c r="C447" s="6">
        <v>70000</v>
      </c>
      <c r="D447" t="s">
        <v>36</v>
      </c>
      <c r="E447" t="s">
        <v>26</v>
      </c>
      <c r="F447" t="s">
        <v>39</v>
      </c>
      <c r="G447" s="7">
        <v>43881</v>
      </c>
      <c r="H447" t="s">
        <v>31</v>
      </c>
      <c r="I447" t="s">
        <v>69</v>
      </c>
      <c r="J447" t="s">
        <v>45</v>
      </c>
      <c r="K447">
        <f>IF(HR_Data4[[#This Row],[Phone]]="Missing",0,1)</f>
        <v>1</v>
      </c>
    </row>
    <row r="448" spans="1:11" x14ac:dyDescent="0.3">
      <c r="A448" t="s">
        <v>56</v>
      </c>
      <c r="B448">
        <v>40</v>
      </c>
      <c r="C448" s="6">
        <v>70000</v>
      </c>
      <c r="D448" t="s">
        <v>36</v>
      </c>
      <c r="E448" t="s">
        <v>19</v>
      </c>
      <c r="F448" t="s">
        <v>44</v>
      </c>
      <c r="G448" s="7">
        <v>43549</v>
      </c>
      <c r="H448" t="s">
        <v>21</v>
      </c>
      <c r="I448" t="s">
        <v>69</v>
      </c>
      <c r="J448" t="s">
        <v>69</v>
      </c>
      <c r="K448">
        <f>IF(HR_Data4[[#This Row],[Phone]]="Missing",0,1)</f>
        <v>0</v>
      </c>
    </row>
    <row r="449" spans="1:11" x14ac:dyDescent="0.3">
      <c r="A449" t="s">
        <v>59</v>
      </c>
      <c r="B449">
        <v>50</v>
      </c>
      <c r="C449" s="6" t="s">
        <v>68</v>
      </c>
      <c r="D449" t="s">
        <v>36</v>
      </c>
      <c r="E449" t="s">
        <v>30</v>
      </c>
      <c r="F449" t="s">
        <v>39</v>
      </c>
      <c r="G449" s="7">
        <v>43800</v>
      </c>
      <c r="H449" t="s">
        <v>21</v>
      </c>
      <c r="I449" t="s">
        <v>69</v>
      </c>
      <c r="J449" t="s">
        <v>69</v>
      </c>
      <c r="K449">
        <f>IF(HR_Data4[[#This Row],[Phone]]="Missing",0,1)</f>
        <v>0</v>
      </c>
    </row>
    <row r="450" spans="1:11" x14ac:dyDescent="0.3">
      <c r="A450" t="s">
        <v>59</v>
      </c>
      <c r="B450">
        <v>40</v>
      </c>
      <c r="C450" s="6">
        <v>70000</v>
      </c>
      <c r="D450" t="s">
        <v>11</v>
      </c>
      <c r="E450" t="s">
        <v>19</v>
      </c>
      <c r="F450" t="s">
        <v>20</v>
      </c>
      <c r="G450" s="7">
        <v>43800</v>
      </c>
      <c r="H450" t="s">
        <v>41</v>
      </c>
      <c r="I450" t="s">
        <v>32</v>
      </c>
      <c r="J450" t="s">
        <v>23</v>
      </c>
      <c r="K450">
        <f>IF(HR_Data4[[#This Row],[Phone]]="Missing",0,1)</f>
        <v>1</v>
      </c>
    </row>
    <row r="451" spans="1:11" x14ac:dyDescent="0.3">
      <c r="A451" t="s">
        <v>56</v>
      </c>
      <c r="B451">
        <v>35</v>
      </c>
      <c r="C451" s="6" t="s">
        <v>68</v>
      </c>
      <c r="D451" t="s">
        <v>18</v>
      </c>
      <c r="E451" t="s">
        <v>26</v>
      </c>
      <c r="F451" t="s">
        <v>39</v>
      </c>
      <c r="G451" s="7">
        <v>43881</v>
      </c>
      <c r="H451" t="s">
        <v>27</v>
      </c>
      <c r="I451" t="s">
        <v>15</v>
      </c>
      <c r="J451" t="s">
        <v>69</v>
      </c>
      <c r="K451">
        <f>IF(HR_Data4[[#This Row],[Phone]]="Missing",0,1)</f>
        <v>0</v>
      </c>
    </row>
    <row r="452" spans="1:11" x14ac:dyDescent="0.3">
      <c r="A452" t="s">
        <v>54</v>
      </c>
      <c r="B452">
        <v>40</v>
      </c>
      <c r="C452" s="6">
        <v>55000</v>
      </c>
      <c r="D452" t="s">
        <v>36</v>
      </c>
      <c r="E452" t="s">
        <v>30</v>
      </c>
      <c r="F452" t="s">
        <v>44</v>
      </c>
      <c r="G452" s="7">
        <v>43845</v>
      </c>
      <c r="H452" t="s">
        <v>14</v>
      </c>
      <c r="I452" t="s">
        <v>22</v>
      </c>
      <c r="J452" t="s">
        <v>45</v>
      </c>
      <c r="K452">
        <f>IF(HR_Data4[[#This Row],[Phone]]="Missing",0,1)</f>
        <v>1</v>
      </c>
    </row>
    <row r="453" spans="1:11" x14ac:dyDescent="0.3">
      <c r="A453" t="s">
        <v>56</v>
      </c>
      <c r="B453">
        <v>50</v>
      </c>
      <c r="C453" s="6" t="s">
        <v>68</v>
      </c>
      <c r="D453" t="s">
        <v>18</v>
      </c>
      <c r="E453" t="s">
        <v>19</v>
      </c>
      <c r="F453" t="s">
        <v>13</v>
      </c>
      <c r="G453" s="7">
        <v>43549</v>
      </c>
      <c r="H453" t="s">
        <v>27</v>
      </c>
      <c r="I453" t="s">
        <v>69</v>
      </c>
      <c r="J453" t="s">
        <v>23</v>
      </c>
      <c r="K453">
        <f>IF(HR_Data4[[#This Row],[Phone]]="Missing",0,1)</f>
        <v>1</v>
      </c>
    </row>
    <row r="454" spans="1:11" x14ac:dyDescent="0.3">
      <c r="A454" t="s">
        <v>59</v>
      </c>
      <c r="B454">
        <v>30</v>
      </c>
      <c r="C454" s="6">
        <v>60000</v>
      </c>
      <c r="D454" t="s">
        <v>18</v>
      </c>
      <c r="E454" t="s">
        <v>30</v>
      </c>
      <c r="F454" t="s">
        <v>43</v>
      </c>
      <c r="G454" s="7">
        <v>43195</v>
      </c>
      <c r="H454" t="s">
        <v>21</v>
      </c>
      <c r="I454" t="s">
        <v>32</v>
      </c>
      <c r="J454" t="s">
        <v>69</v>
      </c>
      <c r="K454">
        <f>IF(HR_Data4[[#This Row],[Phone]]="Missing",0,1)</f>
        <v>0</v>
      </c>
    </row>
    <row r="455" spans="1:11" x14ac:dyDescent="0.3">
      <c r="A455" t="s">
        <v>59</v>
      </c>
      <c r="B455">
        <v>35</v>
      </c>
      <c r="C455" s="6">
        <v>70000</v>
      </c>
      <c r="D455" t="s">
        <v>36</v>
      </c>
      <c r="E455" t="s">
        <v>12</v>
      </c>
      <c r="F455" t="s">
        <v>39</v>
      </c>
      <c r="G455" s="7">
        <v>43881</v>
      </c>
      <c r="H455" t="s">
        <v>14</v>
      </c>
      <c r="I455" t="s">
        <v>69</v>
      </c>
      <c r="J455" t="s">
        <v>69</v>
      </c>
      <c r="K455">
        <f>IF(HR_Data4[[#This Row],[Phone]]="Missing",0,1)</f>
        <v>0</v>
      </c>
    </row>
    <row r="456" spans="1:11" x14ac:dyDescent="0.3">
      <c r="A456" t="s">
        <v>53</v>
      </c>
      <c r="B456">
        <v>30</v>
      </c>
      <c r="C456" s="6" t="s">
        <v>68</v>
      </c>
      <c r="D456" t="s">
        <v>36</v>
      </c>
      <c r="E456" t="s">
        <v>19</v>
      </c>
      <c r="F456" t="s">
        <v>44</v>
      </c>
      <c r="G456" s="7">
        <v>43549</v>
      </c>
      <c r="H456" t="s">
        <v>27</v>
      </c>
      <c r="I456" t="s">
        <v>32</v>
      </c>
      <c r="J456" t="s">
        <v>28</v>
      </c>
      <c r="K456">
        <f>IF(HR_Data4[[#This Row],[Phone]]="Missing",0,1)</f>
        <v>1</v>
      </c>
    </row>
    <row r="457" spans="1:11" x14ac:dyDescent="0.3">
      <c r="A457" t="s">
        <v>55</v>
      </c>
      <c r="B457">
        <v>25</v>
      </c>
      <c r="C457" s="6" t="s">
        <v>68</v>
      </c>
      <c r="D457" t="s">
        <v>18</v>
      </c>
      <c r="E457" t="s">
        <v>30</v>
      </c>
      <c r="F457" t="s">
        <v>43</v>
      </c>
      <c r="G457" s="7">
        <v>43549</v>
      </c>
      <c r="H457" t="s">
        <v>31</v>
      </c>
      <c r="I457" t="s">
        <v>22</v>
      </c>
      <c r="J457" t="s">
        <v>45</v>
      </c>
      <c r="K457">
        <f>IF(HR_Data4[[#This Row],[Phone]]="Missing",0,1)</f>
        <v>1</v>
      </c>
    </row>
    <row r="458" spans="1:11" x14ac:dyDescent="0.3">
      <c r="A458" t="s">
        <v>58</v>
      </c>
      <c r="B458">
        <v>30</v>
      </c>
      <c r="C458" s="6">
        <v>70000</v>
      </c>
      <c r="D458" t="s">
        <v>36</v>
      </c>
      <c r="E458" t="s">
        <v>30</v>
      </c>
      <c r="F458" t="s">
        <v>43</v>
      </c>
      <c r="G458" s="7">
        <v>43195</v>
      </c>
      <c r="H458" t="s">
        <v>41</v>
      </c>
      <c r="I458" t="s">
        <v>22</v>
      </c>
      <c r="J458" t="s">
        <v>45</v>
      </c>
      <c r="K458">
        <f>IF(HR_Data4[[#This Row],[Phone]]="Missing",0,1)</f>
        <v>1</v>
      </c>
    </row>
    <row r="459" spans="1:11" x14ac:dyDescent="0.3">
      <c r="A459" t="s">
        <v>56</v>
      </c>
      <c r="B459">
        <v>25</v>
      </c>
      <c r="C459" s="6">
        <v>55000</v>
      </c>
      <c r="D459" t="s">
        <v>18</v>
      </c>
      <c r="E459" t="s">
        <v>30</v>
      </c>
      <c r="F459" t="s">
        <v>20</v>
      </c>
      <c r="G459" s="7">
        <v>43549</v>
      </c>
      <c r="H459" t="s">
        <v>27</v>
      </c>
      <c r="I459" t="s">
        <v>15</v>
      </c>
      <c r="J459" t="s">
        <v>69</v>
      </c>
      <c r="K459">
        <f>IF(HR_Data4[[#This Row],[Phone]]="Missing",0,1)</f>
        <v>0</v>
      </c>
    </row>
    <row r="460" spans="1:11" x14ac:dyDescent="0.3">
      <c r="A460" t="s">
        <v>58</v>
      </c>
      <c r="B460">
        <v>25</v>
      </c>
      <c r="C460" s="6">
        <v>55000</v>
      </c>
      <c r="D460" t="s">
        <v>18</v>
      </c>
      <c r="E460" t="s">
        <v>19</v>
      </c>
      <c r="F460" t="s">
        <v>43</v>
      </c>
      <c r="G460" s="7">
        <v>43845</v>
      </c>
      <c r="H460" t="s">
        <v>27</v>
      </c>
      <c r="I460" t="s">
        <v>15</v>
      </c>
      <c r="J460" t="s">
        <v>23</v>
      </c>
      <c r="K460">
        <f>IF(HR_Data4[[#This Row],[Phone]]="Missing",0,1)</f>
        <v>1</v>
      </c>
    </row>
    <row r="461" spans="1:11" x14ac:dyDescent="0.3">
      <c r="A461" t="s">
        <v>56</v>
      </c>
      <c r="B461">
        <v>30</v>
      </c>
      <c r="C461" s="6">
        <v>70000</v>
      </c>
      <c r="D461" t="s">
        <v>36</v>
      </c>
      <c r="E461" t="s">
        <v>37</v>
      </c>
      <c r="F461" t="s">
        <v>44</v>
      </c>
      <c r="G461" s="7">
        <v>43845</v>
      </c>
      <c r="H461" t="s">
        <v>31</v>
      </c>
      <c r="I461" t="s">
        <v>22</v>
      </c>
      <c r="J461" t="s">
        <v>69</v>
      </c>
      <c r="K461">
        <f>IF(HR_Data4[[#This Row],[Phone]]="Missing",0,1)</f>
        <v>0</v>
      </c>
    </row>
    <row r="462" spans="1:11" x14ac:dyDescent="0.3">
      <c r="A462" t="s">
        <v>51</v>
      </c>
      <c r="B462">
        <v>35</v>
      </c>
      <c r="C462" s="6">
        <v>50000</v>
      </c>
      <c r="D462" t="s">
        <v>11</v>
      </c>
      <c r="E462" t="s">
        <v>19</v>
      </c>
      <c r="F462" t="s">
        <v>44</v>
      </c>
      <c r="G462" s="7">
        <v>43845</v>
      </c>
      <c r="H462" t="s">
        <v>21</v>
      </c>
      <c r="I462" t="s">
        <v>69</v>
      </c>
      <c r="J462" t="s">
        <v>69</v>
      </c>
      <c r="K462">
        <f>IF(HR_Data4[[#This Row],[Phone]]="Missing",0,1)</f>
        <v>0</v>
      </c>
    </row>
    <row r="463" spans="1:11" x14ac:dyDescent="0.3">
      <c r="A463" t="s">
        <v>59</v>
      </c>
      <c r="B463">
        <v>50</v>
      </c>
      <c r="C463" s="6">
        <v>70000</v>
      </c>
      <c r="D463" t="s">
        <v>36</v>
      </c>
      <c r="E463" t="s">
        <v>26</v>
      </c>
      <c r="F463" t="s">
        <v>39</v>
      </c>
      <c r="G463" s="7">
        <v>43549</v>
      </c>
      <c r="H463" t="s">
        <v>41</v>
      </c>
      <c r="I463" t="s">
        <v>69</v>
      </c>
      <c r="J463" t="s">
        <v>28</v>
      </c>
      <c r="K463">
        <f>IF(HR_Data4[[#This Row],[Phone]]="Missing",0,1)</f>
        <v>1</v>
      </c>
    </row>
    <row r="464" spans="1:11" x14ac:dyDescent="0.3">
      <c r="A464" t="s">
        <v>55</v>
      </c>
      <c r="B464">
        <v>40</v>
      </c>
      <c r="C464" s="6">
        <v>70000</v>
      </c>
      <c r="D464" t="s">
        <v>11</v>
      </c>
      <c r="E464" t="s">
        <v>19</v>
      </c>
      <c r="F464" t="s">
        <v>39</v>
      </c>
      <c r="G464" s="7">
        <v>43845</v>
      </c>
      <c r="H464" t="s">
        <v>27</v>
      </c>
      <c r="I464" t="s">
        <v>69</v>
      </c>
      <c r="J464" t="s">
        <v>28</v>
      </c>
      <c r="K464">
        <f>IF(HR_Data4[[#This Row],[Phone]]="Missing",0,1)</f>
        <v>1</v>
      </c>
    </row>
    <row r="465" spans="1:11" x14ac:dyDescent="0.3">
      <c r="A465" t="s">
        <v>53</v>
      </c>
      <c r="B465">
        <v>40</v>
      </c>
      <c r="C465" s="6">
        <v>55000</v>
      </c>
      <c r="D465" t="s">
        <v>18</v>
      </c>
      <c r="E465" t="s">
        <v>30</v>
      </c>
      <c r="F465" t="s">
        <v>39</v>
      </c>
      <c r="G465" s="7">
        <v>43195</v>
      </c>
      <c r="H465" t="s">
        <v>14</v>
      </c>
      <c r="I465" t="s">
        <v>15</v>
      </c>
      <c r="J465" t="s">
        <v>28</v>
      </c>
      <c r="K465">
        <f>IF(HR_Data4[[#This Row],[Phone]]="Missing",0,1)</f>
        <v>1</v>
      </c>
    </row>
    <row r="466" spans="1:11" x14ac:dyDescent="0.3">
      <c r="A466" t="s">
        <v>55</v>
      </c>
      <c r="B466">
        <v>50</v>
      </c>
      <c r="C466" s="6">
        <v>55000</v>
      </c>
      <c r="D466" t="s">
        <v>18</v>
      </c>
      <c r="E466" t="s">
        <v>12</v>
      </c>
      <c r="F466" t="s">
        <v>43</v>
      </c>
      <c r="G466" s="7">
        <v>43549</v>
      </c>
      <c r="H466" t="s">
        <v>27</v>
      </c>
      <c r="I466" t="s">
        <v>69</v>
      </c>
      <c r="J466" t="s">
        <v>69</v>
      </c>
      <c r="K466">
        <f>IF(HR_Data4[[#This Row],[Phone]]="Missing",0,1)</f>
        <v>0</v>
      </c>
    </row>
    <row r="467" spans="1:11" x14ac:dyDescent="0.3">
      <c r="A467" t="s">
        <v>55</v>
      </c>
      <c r="B467">
        <v>25</v>
      </c>
      <c r="C467" s="6">
        <v>70000</v>
      </c>
      <c r="D467" t="s">
        <v>11</v>
      </c>
      <c r="E467" t="s">
        <v>19</v>
      </c>
      <c r="F467" t="s">
        <v>43</v>
      </c>
      <c r="G467" s="7">
        <v>43800</v>
      </c>
      <c r="H467" t="s">
        <v>41</v>
      </c>
      <c r="I467" t="s">
        <v>15</v>
      </c>
      <c r="J467" t="s">
        <v>69</v>
      </c>
      <c r="K467">
        <f>IF(HR_Data4[[#This Row],[Phone]]="Missing",0,1)</f>
        <v>0</v>
      </c>
    </row>
    <row r="468" spans="1:11" x14ac:dyDescent="0.3">
      <c r="A468" t="s">
        <v>55</v>
      </c>
      <c r="B468">
        <v>25</v>
      </c>
      <c r="C468" s="6">
        <v>70000</v>
      </c>
      <c r="D468" t="s">
        <v>18</v>
      </c>
      <c r="E468" t="s">
        <v>19</v>
      </c>
      <c r="F468" t="s">
        <v>20</v>
      </c>
      <c r="G468" s="7">
        <v>43549</v>
      </c>
      <c r="H468" t="s">
        <v>27</v>
      </c>
      <c r="I468" t="s">
        <v>22</v>
      </c>
      <c r="J468" t="s">
        <v>45</v>
      </c>
      <c r="K468">
        <f>IF(HR_Data4[[#This Row],[Phone]]="Missing",0,1)</f>
        <v>1</v>
      </c>
    </row>
    <row r="469" spans="1:11" x14ac:dyDescent="0.3">
      <c r="A469" t="s">
        <v>58</v>
      </c>
      <c r="B469">
        <v>35</v>
      </c>
      <c r="C469" s="6">
        <v>70000</v>
      </c>
      <c r="D469" t="s">
        <v>11</v>
      </c>
      <c r="E469" t="s">
        <v>30</v>
      </c>
      <c r="F469" t="s">
        <v>39</v>
      </c>
      <c r="G469" s="7">
        <v>43195</v>
      </c>
      <c r="H469" t="s">
        <v>31</v>
      </c>
      <c r="I469" t="s">
        <v>69</v>
      </c>
      <c r="J469" t="s">
        <v>23</v>
      </c>
      <c r="K469">
        <f>IF(HR_Data4[[#This Row],[Phone]]="Missing",0,1)</f>
        <v>1</v>
      </c>
    </row>
    <row r="470" spans="1:11" x14ac:dyDescent="0.3">
      <c r="A470" t="s">
        <v>56</v>
      </c>
      <c r="B470">
        <v>36</v>
      </c>
      <c r="C470" s="6">
        <v>55000</v>
      </c>
      <c r="D470" t="s">
        <v>11</v>
      </c>
      <c r="E470" t="s">
        <v>12</v>
      </c>
      <c r="F470" t="s">
        <v>13</v>
      </c>
      <c r="G470" s="7">
        <v>43800</v>
      </c>
      <c r="H470" t="s">
        <v>27</v>
      </c>
      <c r="I470" t="s">
        <v>69</v>
      </c>
      <c r="J470" t="s">
        <v>45</v>
      </c>
      <c r="K470">
        <f>IF(HR_Data4[[#This Row],[Phone]]="Missing",0,1)</f>
        <v>1</v>
      </c>
    </row>
    <row r="471" spans="1:11" x14ac:dyDescent="0.3">
      <c r="A471" t="s">
        <v>60</v>
      </c>
      <c r="B471">
        <v>30</v>
      </c>
      <c r="C471" s="6">
        <v>70000</v>
      </c>
      <c r="D471" t="s">
        <v>18</v>
      </c>
      <c r="E471" t="s">
        <v>12</v>
      </c>
      <c r="F471" t="s">
        <v>20</v>
      </c>
      <c r="G471" s="7">
        <v>43549</v>
      </c>
      <c r="H471" t="s">
        <v>27</v>
      </c>
      <c r="I471" t="s">
        <v>22</v>
      </c>
      <c r="J471" t="s">
        <v>69</v>
      </c>
      <c r="K471">
        <f>IF(HR_Data4[[#This Row],[Phone]]="Missing",0,1)</f>
        <v>0</v>
      </c>
    </row>
    <row r="472" spans="1:11" x14ac:dyDescent="0.3">
      <c r="A472" t="s">
        <v>51</v>
      </c>
      <c r="B472">
        <v>25</v>
      </c>
      <c r="C472" s="6">
        <v>70000</v>
      </c>
      <c r="D472" t="s">
        <v>11</v>
      </c>
      <c r="E472" t="s">
        <v>26</v>
      </c>
      <c r="F472" t="s">
        <v>13</v>
      </c>
      <c r="G472" s="7">
        <v>43845</v>
      </c>
      <c r="H472" t="s">
        <v>14</v>
      </c>
      <c r="I472" t="s">
        <v>69</v>
      </c>
      <c r="J472" t="s">
        <v>45</v>
      </c>
      <c r="K472">
        <f>IF(HR_Data4[[#This Row],[Phone]]="Missing",0,1)</f>
        <v>1</v>
      </c>
    </row>
    <row r="473" spans="1:11" x14ac:dyDescent="0.3">
      <c r="A473" t="s">
        <v>52</v>
      </c>
      <c r="B473">
        <v>40</v>
      </c>
      <c r="C473" s="6">
        <v>65000</v>
      </c>
      <c r="D473" t="s">
        <v>36</v>
      </c>
      <c r="E473" t="s">
        <v>19</v>
      </c>
      <c r="F473" t="s">
        <v>43</v>
      </c>
      <c r="G473" s="7">
        <v>43881</v>
      </c>
      <c r="H473" t="s">
        <v>31</v>
      </c>
      <c r="I473" t="s">
        <v>69</v>
      </c>
      <c r="J473" t="s">
        <v>69</v>
      </c>
      <c r="K473">
        <f>IF(HR_Data4[[#This Row],[Phone]]="Missing",0,1)</f>
        <v>0</v>
      </c>
    </row>
    <row r="474" spans="1:11" x14ac:dyDescent="0.3">
      <c r="A474" t="s">
        <v>55</v>
      </c>
      <c r="B474">
        <v>35</v>
      </c>
      <c r="C474" s="6">
        <v>50000</v>
      </c>
      <c r="D474" t="s">
        <v>36</v>
      </c>
      <c r="E474" t="s">
        <v>12</v>
      </c>
      <c r="F474" t="s">
        <v>20</v>
      </c>
      <c r="G474" s="7">
        <v>43881</v>
      </c>
      <c r="H474" t="s">
        <v>31</v>
      </c>
      <c r="I474" t="s">
        <v>32</v>
      </c>
      <c r="J474" t="s">
        <v>28</v>
      </c>
      <c r="K474">
        <f>IF(HR_Data4[[#This Row],[Phone]]="Missing",0,1)</f>
        <v>1</v>
      </c>
    </row>
    <row r="475" spans="1:11" x14ac:dyDescent="0.3">
      <c r="A475" t="s">
        <v>54</v>
      </c>
      <c r="B475">
        <v>30</v>
      </c>
      <c r="C475" s="6">
        <v>60000</v>
      </c>
      <c r="D475" t="s">
        <v>18</v>
      </c>
      <c r="E475" t="s">
        <v>12</v>
      </c>
      <c r="F475" t="s">
        <v>20</v>
      </c>
      <c r="G475" s="7">
        <v>43845</v>
      </c>
      <c r="H475" t="s">
        <v>27</v>
      </c>
      <c r="I475" t="s">
        <v>15</v>
      </c>
      <c r="J475" t="s">
        <v>69</v>
      </c>
      <c r="K475">
        <f>IF(HR_Data4[[#This Row],[Phone]]="Missing",0,1)</f>
        <v>0</v>
      </c>
    </row>
    <row r="476" spans="1:11" x14ac:dyDescent="0.3">
      <c r="A476" t="s">
        <v>58</v>
      </c>
      <c r="B476">
        <v>35</v>
      </c>
      <c r="C476" s="6">
        <v>50000</v>
      </c>
      <c r="D476" t="s">
        <v>18</v>
      </c>
      <c r="E476" t="s">
        <v>37</v>
      </c>
      <c r="F476" t="s">
        <v>44</v>
      </c>
      <c r="G476" s="7">
        <v>43881</v>
      </c>
      <c r="H476" t="s">
        <v>14</v>
      </c>
      <c r="I476" t="s">
        <v>69</v>
      </c>
      <c r="J476" t="s">
        <v>69</v>
      </c>
      <c r="K476">
        <f>IF(HR_Data4[[#This Row],[Phone]]="Missing",0,1)</f>
        <v>0</v>
      </c>
    </row>
    <row r="477" spans="1:11" x14ac:dyDescent="0.3">
      <c r="A477" t="s">
        <v>53</v>
      </c>
      <c r="B477">
        <v>30</v>
      </c>
      <c r="C477" s="6">
        <v>65000</v>
      </c>
      <c r="D477" t="s">
        <v>11</v>
      </c>
      <c r="E477" t="s">
        <v>37</v>
      </c>
      <c r="F477" t="s">
        <v>43</v>
      </c>
      <c r="G477" s="7">
        <v>43881</v>
      </c>
      <c r="H477" t="s">
        <v>27</v>
      </c>
      <c r="I477" t="s">
        <v>22</v>
      </c>
      <c r="J477" t="s">
        <v>45</v>
      </c>
      <c r="K477">
        <f>IF(HR_Data4[[#This Row],[Phone]]="Missing",0,1)</f>
        <v>1</v>
      </c>
    </row>
    <row r="478" spans="1:11" x14ac:dyDescent="0.3">
      <c r="A478" t="s">
        <v>52</v>
      </c>
      <c r="B478">
        <v>30</v>
      </c>
      <c r="C478" s="6">
        <v>60000</v>
      </c>
      <c r="D478" t="s">
        <v>11</v>
      </c>
      <c r="E478" t="s">
        <v>12</v>
      </c>
      <c r="F478" t="s">
        <v>43</v>
      </c>
      <c r="G478" s="7">
        <v>43845</v>
      </c>
      <c r="H478" t="s">
        <v>27</v>
      </c>
      <c r="I478" t="s">
        <v>69</v>
      </c>
      <c r="J478" t="s">
        <v>69</v>
      </c>
      <c r="K478">
        <f>IF(HR_Data4[[#This Row],[Phone]]="Missing",0,1)</f>
        <v>0</v>
      </c>
    </row>
    <row r="479" spans="1:11" x14ac:dyDescent="0.3">
      <c r="A479" t="s">
        <v>60</v>
      </c>
      <c r="B479">
        <v>50</v>
      </c>
      <c r="C479" s="6">
        <v>70000</v>
      </c>
      <c r="D479" t="s">
        <v>11</v>
      </c>
      <c r="E479" t="s">
        <v>26</v>
      </c>
      <c r="F479" t="s">
        <v>20</v>
      </c>
      <c r="G479" s="7">
        <v>43845</v>
      </c>
      <c r="H479" t="s">
        <v>41</v>
      </c>
      <c r="I479" t="s">
        <v>69</v>
      </c>
      <c r="J479" t="s">
        <v>45</v>
      </c>
      <c r="K479">
        <f>IF(HR_Data4[[#This Row],[Phone]]="Missing",0,1)</f>
        <v>1</v>
      </c>
    </row>
    <row r="480" spans="1:11" x14ac:dyDescent="0.3">
      <c r="A480" t="s">
        <v>54</v>
      </c>
      <c r="B480">
        <v>25</v>
      </c>
      <c r="C480" s="6">
        <v>65000</v>
      </c>
      <c r="D480" t="s">
        <v>11</v>
      </c>
      <c r="E480" t="s">
        <v>12</v>
      </c>
      <c r="F480" t="s">
        <v>43</v>
      </c>
      <c r="G480" s="7">
        <v>43549</v>
      </c>
      <c r="H480" t="s">
        <v>41</v>
      </c>
      <c r="I480" t="s">
        <v>15</v>
      </c>
      <c r="J480" t="s">
        <v>45</v>
      </c>
      <c r="K480">
        <f>IF(HR_Data4[[#This Row],[Phone]]="Missing",0,1)</f>
        <v>1</v>
      </c>
    </row>
    <row r="481" spans="1:11" x14ac:dyDescent="0.3">
      <c r="A481" t="s">
        <v>60</v>
      </c>
      <c r="B481">
        <v>35</v>
      </c>
      <c r="C481" s="6">
        <v>70000</v>
      </c>
      <c r="D481" t="s">
        <v>36</v>
      </c>
      <c r="E481" t="s">
        <v>30</v>
      </c>
      <c r="F481" t="s">
        <v>20</v>
      </c>
      <c r="G481" s="7">
        <v>43549</v>
      </c>
      <c r="H481" t="s">
        <v>14</v>
      </c>
      <c r="I481" t="s">
        <v>32</v>
      </c>
      <c r="J481" t="s">
        <v>69</v>
      </c>
      <c r="K481">
        <f>IF(HR_Data4[[#This Row],[Phone]]="Missing",0,1)</f>
        <v>0</v>
      </c>
    </row>
    <row r="482" spans="1:11" x14ac:dyDescent="0.3">
      <c r="A482" t="s">
        <v>52</v>
      </c>
      <c r="B482">
        <v>35</v>
      </c>
      <c r="C482" s="6">
        <v>55000</v>
      </c>
      <c r="D482" t="s">
        <v>36</v>
      </c>
      <c r="E482" t="s">
        <v>19</v>
      </c>
      <c r="F482" t="s">
        <v>44</v>
      </c>
      <c r="G482" s="7">
        <v>43845</v>
      </c>
      <c r="H482" t="s">
        <v>21</v>
      </c>
      <c r="I482" t="s">
        <v>15</v>
      </c>
      <c r="J482" t="s">
        <v>45</v>
      </c>
      <c r="K482">
        <f>IF(HR_Data4[[#This Row],[Phone]]="Missing",0,1)</f>
        <v>1</v>
      </c>
    </row>
    <row r="483" spans="1:11" x14ac:dyDescent="0.3">
      <c r="A483" t="s">
        <v>55</v>
      </c>
      <c r="B483">
        <v>50</v>
      </c>
      <c r="C483" s="6" t="s">
        <v>68</v>
      </c>
      <c r="D483" t="s">
        <v>18</v>
      </c>
      <c r="E483" t="s">
        <v>26</v>
      </c>
      <c r="F483" t="s">
        <v>20</v>
      </c>
      <c r="G483" s="7">
        <v>43195</v>
      </c>
      <c r="H483" t="s">
        <v>41</v>
      </c>
      <c r="I483" t="s">
        <v>69</v>
      </c>
      <c r="J483" t="s">
        <v>28</v>
      </c>
      <c r="K483">
        <f>IF(HR_Data4[[#This Row],[Phone]]="Missing",0,1)</f>
        <v>1</v>
      </c>
    </row>
    <row r="484" spans="1:11" x14ac:dyDescent="0.3">
      <c r="A484" t="s">
        <v>54</v>
      </c>
      <c r="B484">
        <v>40</v>
      </c>
      <c r="C484" s="6">
        <v>65000</v>
      </c>
      <c r="D484" t="s">
        <v>11</v>
      </c>
      <c r="E484" t="s">
        <v>30</v>
      </c>
      <c r="F484" t="s">
        <v>43</v>
      </c>
      <c r="G484" s="7">
        <v>43881</v>
      </c>
      <c r="H484" t="s">
        <v>21</v>
      </c>
      <c r="I484" t="s">
        <v>69</v>
      </c>
      <c r="J484" t="s">
        <v>45</v>
      </c>
      <c r="K484">
        <f>IF(HR_Data4[[#This Row],[Phone]]="Missing",0,1)</f>
        <v>1</v>
      </c>
    </row>
    <row r="485" spans="1:11" x14ac:dyDescent="0.3">
      <c r="A485" t="s">
        <v>60</v>
      </c>
      <c r="B485">
        <v>40</v>
      </c>
      <c r="C485" s="6">
        <v>55000</v>
      </c>
      <c r="D485" t="s">
        <v>11</v>
      </c>
      <c r="E485" t="s">
        <v>26</v>
      </c>
      <c r="F485" t="s">
        <v>43</v>
      </c>
      <c r="G485" s="7">
        <v>43549</v>
      </c>
      <c r="H485" t="s">
        <v>31</v>
      </c>
      <c r="I485" t="s">
        <v>69</v>
      </c>
      <c r="J485" t="s">
        <v>28</v>
      </c>
      <c r="K485">
        <f>IF(HR_Data4[[#This Row],[Phone]]="Missing",0,1)</f>
        <v>1</v>
      </c>
    </row>
    <row r="486" spans="1:11" x14ac:dyDescent="0.3">
      <c r="A486" t="s">
        <v>53</v>
      </c>
      <c r="B486">
        <v>25</v>
      </c>
      <c r="C486" s="6">
        <v>65000</v>
      </c>
      <c r="D486" t="s">
        <v>18</v>
      </c>
      <c r="E486" t="s">
        <v>30</v>
      </c>
      <c r="F486" t="s">
        <v>20</v>
      </c>
      <c r="G486" s="7">
        <v>43881</v>
      </c>
      <c r="H486" t="s">
        <v>41</v>
      </c>
      <c r="I486" t="s">
        <v>69</v>
      </c>
      <c r="J486" t="s">
        <v>69</v>
      </c>
      <c r="K486">
        <f>IF(HR_Data4[[#This Row],[Phone]]="Missing",0,1)</f>
        <v>0</v>
      </c>
    </row>
    <row r="487" spans="1:11" x14ac:dyDescent="0.3">
      <c r="A487" t="s">
        <v>56</v>
      </c>
      <c r="B487">
        <v>25</v>
      </c>
      <c r="C487" s="6">
        <v>65000</v>
      </c>
      <c r="D487" t="s">
        <v>11</v>
      </c>
      <c r="E487" t="s">
        <v>19</v>
      </c>
      <c r="F487" t="s">
        <v>20</v>
      </c>
      <c r="G487" s="7">
        <v>43800</v>
      </c>
      <c r="H487" t="s">
        <v>41</v>
      </c>
      <c r="I487" t="s">
        <v>22</v>
      </c>
      <c r="J487" t="s">
        <v>69</v>
      </c>
      <c r="K487">
        <f>IF(HR_Data4[[#This Row],[Phone]]="Missing",0,1)</f>
        <v>0</v>
      </c>
    </row>
    <row r="488" spans="1:11" x14ac:dyDescent="0.3">
      <c r="A488" t="s">
        <v>59</v>
      </c>
      <c r="B488">
        <v>36</v>
      </c>
      <c r="C488" s="6">
        <v>55000</v>
      </c>
      <c r="D488" t="s">
        <v>11</v>
      </c>
      <c r="E488" t="s">
        <v>19</v>
      </c>
      <c r="F488" t="s">
        <v>20</v>
      </c>
      <c r="G488" s="7">
        <v>43845</v>
      </c>
      <c r="H488" t="s">
        <v>14</v>
      </c>
      <c r="I488" t="s">
        <v>32</v>
      </c>
      <c r="J488" t="s">
        <v>28</v>
      </c>
      <c r="K488">
        <f>IF(HR_Data4[[#This Row],[Phone]]="Missing",0,1)</f>
        <v>1</v>
      </c>
    </row>
    <row r="489" spans="1:11" x14ac:dyDescent="0.3">
      <c r="A489" t="s">
        <v>56</v>
      </c>
      <c r="B489">
        <v>50</v>
      </c>
      <c r="C489" s="6">
        <v>60000</v>
      </c>
      <c r="D489" t="s">
        <v>11</v>
      </c>
      <c r="E489" t="s">
        <v>37</v>
      </c>
      <c r="F489" t="s">
        <v>39</v>
      </c>
      <c r="G489" s="7">
        <v>43195</v>
      </c>
      <c r="H489" t="s">
        <v>21</v>
      </c>
      <c r="I489" t="s">
        <v>69</v>
      </c>
      <c r="J489" t="s">
        <v>69</v>
      </c>
      <c r="K489">
        <f>IF(HR_Data4[[#This Row],[Phone]]="Missing",0,1)</f>
        <v>0</v>
      </c>
    </row>
    <row r="490" spans="1:11" x14ac:dyDescent="0.3">
      <c r="A490" t="s">
        <v>52</v>
      </c>
      <c r="B490">
        <v>40</v>
      </c>
      <c r="C490" s="6">
        <v>50000</v>
      </c>
      <c r="D490" t="s">
        <v>11</v>
      </c>
      <c r="E490" t="s">
        <v>30</v>
      </c>
      <c r="F490" t="s">
        <v>43</v>
      </c>
      <c r="G490" s="7">
        <v>43800</v>
      </c>
      <c r="H490" t="s">
        <v>41</v>
      </c>
      <c r="I490" t="s">
        <v>69</v>
      </c>
      <c r="J490" t="s">
        <v>69</v>
      </c>
      <c r="K490">
        <f>IF(HR_Data4[[#This Row],[Phone]]="Missing",0,1)</f>
        <v>0</v>
      </c>
    </row>
    <row r="491" spans="1:11" x14ac:dyDescent="0.3">
      <c r="A491" t="s">
        <v>58</v>
      </c>
      <c r="B491">
        <v>30</v>
      </c>
      <c r="C491" s="6">
        <v>70000</v>
      </c>
      <c r="D491" t="s">
        <v>11</v>
      </c>
      <c r="E491" t="s">
        <v>37</v>
      </c>
      <c r="F491" t="s">
        <v>43</v>
      </c>
      <c r="G491" s="7">
        <v>43800</v>
      </c>
      <c r="H491" t="s">
        <v>41</v>
      </c>
      <c r="I491" t="s">
        <v>69</v>
      </c>
      <c r="J491" t="s">
        <v>28</v>
      </c>
      <c r="K491">
        <f>IF(HR_Data4[[#This Row],[Phone]]="Missing",0,1)</f>
        <v>1</v>
      </c>
    </row>
    <row r="492" spans="1:11" x14ac:dyDescent="0.3">
      <c r="A492" t="s">
        <v>59</v>
      </c>
      <c r="B492">
        <v>35</v>
      </c>
      <c r="C492" s="6">
        <v>65000</v>
      </c>
      <c r="D492" t="s">
        <v>18</v>
      </c>
      <c r="E492" t="s">
        <v>30</v>
      </c>
      <c r="F492" t="s">
        <v>39</v>
      </c>
      <c r="G492" s="7">
        <v>43800</v>
      </c>
      <c r="H492" t="s">
        <v>14</v>
      </c>
      <c r="I492" t="s">
        <v>32</v>
      </c>
      <c r="J492" t="s">
        <v>69</v>
      </c>
      <c r="K492">
        <f>IF(HR_Data4[[#This Row],[Phone]]="Missing",0,1)</f>
        <v>0</v>
      </c>
    </row>
    <row r="493" spans="1:11" x14ac:dyDescent="0.3">
      <c r="A493" t="s">
        <v>51</v>
      </c>
      <c r="B493">
        <v>25</v>
      </c>
      <c r="C493" s="6">
        <v>70000</v>
      </c>
      <c r="D493" t="s">
        <v>11</v>
      </c>
      <c r="E493" t="s">
        <v>37</v>
      </c>
      <c r="F493" t="s">
        <v>20</v>
      </c>
      <c r="G493" s="7">
        <v>43845</v>
      </c>
      <c r="H493" t="s">
        <v>14</v>
      </c>
      <c r="I493" t="s">
        <v>15</v>
      </c>
      <c r="J493" t="s">
        <v>23</v>
      </c>
      <c r="K493">
        <f>IF(HR_Data4[[#This Row],[Phone]]="Missing",0,1)</f>
        <v>1</v>
      </c>
    </row>
    <row r="494" spans="1:11" x14ac:dyDescent="0.3">
      <c r="A494" t="s">
        <v>53</v>
      </c>
      <c r="B494">
        <v>35</v>
      </c>
      <c r="C494" s="6" t="s">
        <v>68</v>
      </c>
      <c r="D494" t="s">
        <v>18</v>
      </c>
      <c r="E494" t="s">
        <v>19</v>
      </c>
      <c r="F494" t="s">
        <v>44</v>
      </c>
      <c r="G494" s="7">
        <v>43549</v>
      </c>
      <c r="H494" t="s">
        <v>21</v>
      </c>
      <c r="I494" t="s">
        <v>32</v>
      </c>
      <c r="J494" t="s">
        <v>69</v>
      </c>
      <c r="K494">
        <f>IF(HR_Data4[[#This Row],[Phone]]="Missing",0,1)</f>
        <v>0</v>
      </c>
    </row>
    <row r="495" spans="1:11" x14ac:dyDescent="0.3">
      <c r="A495" t="s">
        <v>51</v>
      </c>
      <c r="B495">
        <v>35</v>
      </c>
      <c r="C495" s="6">
        <v>55000</v>
      </c>
      <c r="D495" t="s">
        <v>11</v>
      </c>
      <c r="E495" t="s">
        <v>26</v>
      </c>
      <c r="F495" t="s">
        <v>20</v>
      </c>
      <c r="G495" s="7">
        <v>43845</v>
      </c>
      <c r="H495" t="s">
        <v>31</v>
      </c>
      <c r="I495" t="s">
        <v>32</v>
      </c>
      <c r="J495" t="s">
        <v>69</v>
      </c>
      <c r="K495">
        <f>IF(HR_Data4[[#This Row],[Phone]]="Missing",0,1)</f>
        <v>0</v>
      </c>
    </row>
    <row r="496" spans="1:11" x14ac:dyDescent="0.3">
      <c r="A496" t="s">
        <v>54</v>
      </c>
      <c r="B496">
        <v>36</v>
      </c>
      <c r="C496" s="6">
        <v>70000</v>
      </c>
      <c r="D496" t="s">
        <v>36</v>
      </c>
      <c r="E496" t="s">
        <v>37</v>
      </c>
      <c r="F496" t="s">
        <v>20</v>
      </c>
      <c r="G496" s="7">
        <v>43549</v>
      </c>
      <c r="H496" t="s">
        <v>31</v>
      </c>
      <c r="I496" t="s">
        <v>32</v>
      </c>
      <c r="J496" t="s">
        <v>69</v>
      </c>
      <c r="K496">
        <f>IF(HR_Data4[[#This Row],[Phone]]="Missing",0,1)</f>
        <v>0</v>
      </c>
    </row>
    <row r="497" spans="1:11" x14ac:dyDescent="0.3">
      <c r="A497" t="s">
        <v>59</v>
      </c>
      <c r="B497">
        <v>40</v>
      </c>
      <c r="C497" s="6">
        <v>55000</v>
      </c>
      <c r="D497" t="s">
        <v>36</v>
      </c>
      <c r="E497" t="s">
        <v>30</v>
      </c>
      <c r="F497" t="s">
        <v>39</v>
      </c>
      <c r="G497" s="7">
        <v>43800</v>
      </c>
      <c r="H497" t="s">
        <v>27</v>
      </c>
      <c r="I497" t="s">
        <v>69</v>
      </c>
      <c r="J497" t="s">
        <v>69</v>
      </c>
      <c r="K497">
        <f>IF(HR_Data4[[#This Row],[Phone]]="Missing",0,1)</f>
        <v>0</v>
      </c>
    </row>
    <row r="498" spans="1:11" x14ac:dyDescent="0.3">
      <c r="A498" t="s">
        <v>51</v>
      </c>
      <c r="B498">
        <v>25</v>
      </c>
      <c r="C498" s="6">
        <v>70000</v>
      </c>
      <c r="D498" t="s">
        <v>36</v>
      </c>
      <c r="E498" t="s">
        <v>30</v>
      </c>
      <c r="F498" t="s">
        <v>43</v>
      </c>
      <c r="G498" s="7">
        <v>43800</v>
      </c>
      <c r="H498" t="s">
        <v>41</v>
      </c>
      <c r="I498" t="s">
        <v>69</v>
      </c>
      <c r="J498" t="s">
        <v>45</v>
      </c>
      <c r="K498">
        <f>IF(HR_Data4[[#This Row],[Phone]]="Missing",0,1)</f>
        <v>1</v>
      </c>
    </row>
    <row r="499" spans="1:11" x14ac:dyDescent="0.3">
      <c r="A499" t="s">
        <v>51</v>
      </c>
      <c r="B499">
        <v>35</v>
      </c>
      <c r="C499" s="6">
        <v>50000</v>
      </c>
      <c r="D499" t="s">
        <v>36</v>
      </c>
      <c r="E499" t="s">
        <v>19</v>
      </c>
      <c r="F499" t="s">
        <v>20</v>
      </c>
      <c r="G499" s="7">
        <v>43195</v>
      </c>
      <c r="H499" t="s">
        <v>21</v>
      </c>
      <c r="I499" t="s">
        <v>22</v>
      </c>
      <c r="J499" t="s">
        <v>69</v>
      </c>
      <c r="K499">
        <f>IF(HR_Data4[[#This Row],[Phone]]="Missing",0,1)</f>
        <v>0</v>
      </c>
    </row>
    <row r="500" spans="1:11" x14ac:dyDescent="0.3">
      <c r="A500" t="s">
        <v>60</v>
      </c>
      <c r="B500">
        <v>25</v>
      </c>
      <c r="C500" s="6">
        <v>50000</v>
      </c>
      <c r="D500" t="s">
        <v>18</v>
      </c>
      <c r="E500" t="s">
        <v>30</v>
      </c>
      <c r="F500" t="s">
        <v>43</v>
      </c>
      <c r="G500" s="7">
        <v>43549</v>
      </c>
      <c r="H500" t="s">
        <v>41</v>
      </c>
      <c r="I500" t="s">
        <v>15</v>
      </c>
      <c r="J500" t="s">
        <v>69</v>
      </c>
      <c r="K500">
        <f>IF(HR_Data4[[#This Row],[Phone]]="Missing",0,1)</f>
        <v>0</v>
      </c>
    </row>
    <row r="501" spans="1:11" x14ac:dyDescent="0.3">
      <c r="A501" t="s">
        <v>56</v>
      </c>
      <c r="B501">
        <v>30</v>
      </c>
      <c r="C501" s="6">
        <v>50000</v>
      </c>
      <c r="D501" t="s">
        <v>18</v>
      </c>
      <c r="E501" t="s">
        <v>12</v>
      </c>
      <c r="F501" t="s">
        <v>13</v>
      </c>
      <c r="G501" s="7">
        <v>43800</v>
      </c>
      <c r="H501" t="s">
        <v>21</v>
      </c>
      <c r="I501" t="s">
        <v>69</v>
      </c>
      <c r="J501" t="s">
        <v>28</v>
      </c>
      <c r="K501">
        <f>IF(HR_Data4[[#This Row],[Phone]]="Missing",0,1)</f>
        <v>1</v>
      </c>
    </row>
    <row r="502" spans="1:11" x14ac:dyDescent="0.3">
      <c r="A502" t="s">
        <v>60</v>
      </c>
      <c r="B502">
        <v>36</v>
      </c>
      <c r="C502" s="6">
        <v>50000</v>
      </c>
      <c r="D502" t="s">
        <v>11</v>
      </c>
      <c r="E502" t="s">
        <v>26</v>
      </c>
      <c r="F502" t="s">
        <v>43</v>
      </c>
      <c r="G502" s="7">
        <v>43881</v>
      </c>
      <c r="H502" t="s">
        <v>21</v>
      </c>
      <c r="I502" t="s">
        <v>32</v>
      </c>
      <c r="J502" t="s">
        <v>23</v>
      </c>
      <c r="K502">
        <f>IF(HR_Data4[[#This Row],[Phone]]="Missing",0,1)</f>
        <v>1</v>
      </c>
    </row>
    <row r="503" spans="1:11" x14ac:dyDescent="0.3">
      <c r="A503" t="s">
        <v>59</v>
      </c>
      <c r="B503">
        <v>30</v>
      </c>
      <c r="C503" s="6">
        <v>50000</v>
      </c>
      <c r="D503" t="s">
        <v>36</v>
      </c>
      <c r="E503" t="s">
        <v>37</v>
      </c>
      <c r="F503" t="s">
        <v>44</v>
      </c>
      <c r="G503" s="7">
        <v>43195</v>
      </c>
      <c r="H503" t="s">
        <v>21</v>
      </c>
      <c r="I503" t="s">
        <v>15</v>
      </c>
      <c r="J503" t="s">
        <v>45</v>
      </c>
      <c r="K503">
        <f>IF(HR_Data4[[#This Row],[Phone]]="Missing",0,1)</f>
        <v>1</v>
      </c>
    </row>
    <row r="504" spans="1:11" x14ac:dyDescent="0.3">
      <c r="A504" t="s">
        <v>59</v>
      </c>
      <c r="B504">
        <v>25</v>
      </c>
      <c r="C504" s="6">
        <v>50000</v>
      </c>
      <c r="D504" t="s">
        <v>18</v>
      </c>
      <c r="E504" t="s">
        <v>26</v>
      </c>
      <c r="F504" t="s">
        <v>44</v>
      </c>
      <c r="G504" s="7">
        <v>43845</v>
      </c>
      <c r="H504" t="s">
        <v>41</v>
      </c>
      <c r="I504" t="s">
        <v>15</v>
      </c>
      <c r="J504" t="s">
        <v>28</v>
      </c>
      <c r="K504">
        <f>IF(HR_Data4[[#This Row],[Phone]]="Missing",0,1)</f>
        <v>1</v>
      </c>
    </row>
    <row r="505" spans="1:11" x14ac:dyDescent="0.3">
      <c r="A505" t="s">
        <v>52</v>
      </c>
      <c r="B505">
        <v>25</v>
      </c>
      <c r="C505" s="6">
        <v>55000</v>
      </c>
      <c r="D505" t="s">
        <v>11</v>
      </c>
      <c r="E505" t="s">
        <v>19</v>
      </c>
      <c r="F505" t="s">
        <v>20</v>
      </c>
      <c r="G505" s="7">
        <v>43195</v>
      </c>
      <c r="H505" t="s">
        <v>14</v>
      </c>
      <c r="I505" t="s">
        <v>22</v>
      </c>
      <c r="J505" t="s">
        <v>23</v>
      </c>
      <c r="K505">
        <f>IF(HR_Data4[[#This Row],[Phone]]="Missing",0,1)</f>
        <v>1</v>
      </c>
    </row>
    <row r="506" spans="1:11" x14ac:dyDescent="0.3">
      <c r="A506" t="s">
        <v>60</v>
      </c>
      <c r="B506">
        <v>40</v>
      </c>
      <c r="C506" s="6">
        <v>65000</v>
      </c>
      <c r="D506" t="s">
        <v>11</v>
      </c>
      <c r="E506" t="s">
        <v>37</v>
      </c>
      <c r="F506" t="s">
        <v>43</v>
      </c>
      <c r="G506" s="7">
        <v>43881</v>
      </c>
      <c r="H506" t="s">
        <v>41</v>
      </c>
      <c r="I506" t="s">
        <v>69</v>
      </c>
      <c r="J506" t="s">
        <v>23</v>
      </c>
      <c r="K506">
        <f>IF(HR_Data4[[#This Row],[Phone]]="Missing",0,1)</f>
        <v>1</v>
      </c>
    </row>
    <row r="507" spans="1:11" x14ac:dyDescent="0.3">
      <c r="A507" t="s">
        <v>57</v>
      </c>
      <c r="B507">
        <v>35</v>
      </c>
      <c r="C507" s="6">
        <v>70000</v>
      </c>
      <c r="D507" t="s">
        <v>18</v>
      </c>
      <c r="E507" t="s">
        <v>37</v>
      </c>
      <c r="F507" t="s">
        <v>20</v>
      </c>
      <c r="G507" s="7">
        <v>43549</v>
      </c>
      <c r="H507" t="s">
        <v>21</v>
      </c>
      <c r="I507" t="s">
        <v>32</v>
      </c>
      <c r="J507" t="s">
        <v>23</v>
      </c>
      <c r="K507">
        <f>IF(HR_Data4[[#This Row],[Phone]]="Missing",0,1)</f>
        <v>1</v>
      </c>
    </row>
    <row r="508" spans="1:11" x14ac:dyDescent="0.3">
      <c r="A508" t="s">
        <v>56</v>
      </c>
      <c r="B508">
        <v>35</v>
      </c>
      <c r="C508" s="6">
        <v>50000</v>
      </c>
      <c r="D508" t="s">
        <v>36</v>
      </c>
      <c r="E508" t="s">
        <v>12</v>
      </c>
      <c r="F508" t="s">
        <v>39</v>
      </c>
      <c r="G508" s="7">
        <v>43845</v>
      </c>
      <c r="H508" t="s">
        <v>27</v>
      </c>
      <c r="I508" t="s">
        <v>69</v>
      </c>
      <c r="J508" t="s">
        <v>28</v>
      </c>
      <c r="K508">
        <f>IF(HR_Data4[[#This Row],[Phone]]="Missing",0,1)</f>
        <v>1</v>
      </c>
    </row>
    <row r="509" spans="1:11" x14ac:dyDescent="0.3">
      <c r="A509" t="s">
        <v>59</v>
      </c>
      <c r="B509">
        <v>30</v>
      </c>
      <c r="C509" s="6">
        <v>55000</v>
      </c>
      <c r="D509" t="s">
        <v>11</v>
      </c>
      <c r="E509" t="s">
        <v>19</v>
      </c>
      <c r="F509" t="s">
        <v>44</v>
      </c>
      <c r="G509" s="7">
        <v>43845</v>
      </c>
      <c r="H509" t="s">
        <v>31</v>
      </c>
      <c r="I509" t="s">
        <v>22</v>
      </c>
      <c r="J509" t="s">
        <v>45</v>
      </c>
      <c r="K509">
        <f>IF(HR_Data4[[#This Row],[Phone]]="Missing",0,1)</f>
        <v>1</v>
      </c>
    </row>
    <row r="510" spans="1:11" x14ac:dyDescent="0.3">
      <c r="A510" t="s">
        <v>52</v>
      </c>
      <c r="B510">
        <v>36</v>
      </c>
      <c r="C510" s="6">
        <v>55000</v>
      </c>
      <c r="D510" t="s">
        <v>36</v>
      </c>
      <c r="E510" t="s">
        <v>30</v>
      </c>
      <c r="F510" t="s">
        <v>20</v>
      </c>
      <c r="G510" s="7">
        <v>43549</v>
      </c>
      <c r="H510" t="s">
        <v>21</v>
      </c>
      <c r="I510" t="s">
        <v>69</v>
      </c>
      <c r="J510" t="s">
        <v>45</v>
      </c>
      <c r="K510">
        <f>IF(HR_Data4[[#This Row],[Phone]]="Missing",0,1)</f>
        <v>1</v>
      </c>
    </row>
    <row r="511" spans="1:11" x14ac:dyDescent="0.3">
      <c r="A511" t="s">
        <v>60</v>
      </c>
      <c r="B511">
        <v>50</v>
      </c>
      <c r="C511" s="6">
        <v>55000</v>
      </c>
      <c r="D511" t="s">
        <v>36</v>
      </c>
      <c r="E511" t="s">
        <v>12</v>
      </c>
      <c r="F511" t="s">
        <v>39</v>
      </c>
      <c r="G511" s="7">
        <v>43195</v>
      </c>
      <c r="H511" t="s">
        <v>27</v>
      </c>
      <c r="I511" t="s">
        <v>15</v>
      </c>
      <c r="J511" t="s">
        <v>23</v>
      </c>
      <c r="K511">
        <f>IF(HR_Data4[[#This Row],[Phone]]="Missing",0,1)</f>
        <v>1</v>
      </c>
    </row>
    <row r="512" spans="1:11" x14ac:dyDescent="0.3">
      <c r="A512" t="s">
        <v>56</v>
      </c>
      <c r="B512">
        <v>35</v>
      </c>
      <c r="C512" s="6">
        <v>65000</v>
      </c>
      <c r="D512" t="s">
        <v>36</v>
      </c>
      <c r="E512" t="s">
        <v>12</v>
      </c>
      <c r="F512" t="s">
        <v>20</v>
      </c>
      <c r="G512" s="7">
        <v>43800</v>
      </c>
      <c r="H512" t="s">
        <v>14</v>
      </c>
      <c r="I512" t="s">
        <v>32</v>
      </c>
      <c r="J512" t="s">
        <v>28</v>
      </c>
      <c r="K512">
        <f>IF(HR_Data4[[#This Row],[Phone]]="Missing",0,1)</f>
        <v>1</v>
      </c>
    </row>
    <row r="513" spans="1:11" x14ac:dyDescent="0.3">
      <c r="A513" t="s">
        <v>60</v>
      </c>
      <c r="B513">
        <v>40</v>
      </c>
      <c r="C513" s="6">
        <v>70000</v>
      </c>
      <c r="D513" t="s">
        <v>11</v>
      </c>
      <c r="E513" t="s">
        <v>26</v>
      </c>
      <c r="F513" t="s">
        <v>43</v>
      </c>
      <c r="G513" s="7">
        <v>43195</v>
      </c>
      <c r="H513" t="s">
        <v>21</v>
      </c>
      <c r="I513" t="s">
        <v>69</v>
      </c>
      <c r="J513" t="s">
        <v>23</v>
      </c>
      <c r="K513">
        <f>IF(HR_Data4[[#This Row],[Phone]]="Missing",0,1)</f>
        <v>1</v>
      </c>
    </row>
    <row r="514" spans="1:11" x14ac:dyDescent="0.3">
      <c r="A514" t="s">
        <v>51</v>
      </c>
      <c r="B514">
        <v>30</v>
      </c>
      <c r="C514" s="6">
        <v>65000</v>
      </c>
      <c r="D514" t="s">
        <v>36</v>
      </c>
      <c r="E514" t="s">
        <v>26</v>
      </c>
      <c r="F514" t="s">
        <v>43</v>
      </c>
      <c r="G514" s="7">
        <v>43881</v>
      </c>
      <c r="H514" t="s">
        <v>27</v>
      </c>
      <c r="I514" t="s">
        <v>22</v>
      </c>
      <c r="J514" t="s">
        <v>69</v>
      </c>
      <c r="K514">
        <f>IF(HR_Data4[[#This Row],[Phone]]="Missing",0,1)</f>
        <v>0</v>
      </c>
    </row>
    <row r="515" spans="1:11" x14ac:dyDescent="0.3">
      <c r="A515" t="s">
        <v>52</v>
      </c>
      <c r="B515">
        <v>30</v>
      </c>
      <c r="C515" s="6">
        <v>60000</v>
      </c>
      <c r="D515" t="s">
        <v>11</v>
      </c>
      <c r="E515" t="s">
        <v>26</v>
      </c>
      <c r="F515" t="s">
        <v>43</v>
      </c>
      <c r="G515" s="7">
        <v>43800</v>
      </c>
      <c r="H515" t="s">
        <v>21</v>
      </c>
      <c r="I515" t="s">
        <v>69</v>
      </c>
      <c r="J515" t="s">
        <v>45</v>
      </c>
      <c r="K515">
        <f>IF(HR_Data4[[#This Row],[Phone]]="Missing",0,1)</f>
        <v>1</v>
      </c>
    </row>
    <row r="516" spans="1:11" x14ac:dyDescent="0.3">
      <c r="A516" t="s">
        <v>56</v>
      </c>
      <c r="B516">
        <v>50</v>
      </c>
      <c r="C516" s="6">
        <v>55000</v>
      </c>
      <c r="D516" t="s">
        <v>36</v>
      </c>
      <c r="E516" t="s">
        <v>12</v>
      </c>
      <c r="F516" t="s">
        <v>43</v>
      </c>
      <c r="G516" s="7">
        <v>43195</v>
      </c>
      <c r="H516" t="s">
        <v>41</v>
      </c>
      <c r="I516" t="s">
        <v>15</v>
      </c>
      <c r="J516" t="s">
        <v>69</v>
      </c>
      <c r="K516">
        <f>IF(HR_Data4[[#This Row],[Phone]]="Missing",0,1)</f>
        <v>0</v>
      </c>
    </row>
    <row r="517" spans="1:11" x14ac:dyDescent="0.3">
      <c r="A517" t="s">
        <v>55</v>
      </c>
      <c r="B517">
        <v>40</v>
      </c>
      <c r="C517" s="6">
        <v>60000</v>
      </c>
      <c r="D517" t="s">
        <v>11</v>
      </c>
      <c r="E517" t="s">
        <v>30</v>
      </c>
      <c r="F517" t="s">
        <v>13</v>
      </c>
      <c r="G517" s="7">
        <v>43549</v>
      </c>
      <c r="H517" t="s">
        <v>27</v>
      </c>
      <c r="I517" t="s">
        <v>32</v>
      </c>
      <c r="J517" t="s">
        <v>23</v>
      </c>
      <c r="K517">
        <f>IF(HR_Data4[[#This Row],[Phone]]="Missing",0,1)</f>
        <v>1</v>
      </c>
    </row>
    <row r="518" spans="1:11" x14ac:dyDescent="0.3">
      <c r="A518" t="s">
        <v>54</v>
      </c>
      <c r="B518">
        <v>36</v>
      </c>
      <c r="C518" s="6" t="s">
        <v>68</v>
      </c>
      <c r="D518" t="s">
        <v>36</v>
      </c>
      <c r="E518" t="s">
        <v>37</v>
      </c>
      <c r="F518" t="s">
        <v>39</v>
      </c>
      <c r="G518" s="7">
        <v>43881</v>
      </c>
      <c r="H518" t="s">
        <v>41</v>
      </c>
      <c r="I518" t="s">
        <v>69</v>
      </c>
      <c r="J518" t="s">
        <v>69</v>
      </c>
      <c r="K518">
        <f>IF(HR_Data4[[#This Row],[Phone]]="Missing",0,1)</f>
        <v>0</v>
      </c>
    </row>
    <row r="519" spans="1:11" x14ac:dyDescent="0.3">
      <c r="A519" t="s">
        <v>54</v>
      </c>
      <c r="B519">
        <v>40</v>
      </c>
      <c r="C519" s="6">
        <v>50000</v>
      </c>
      <c r="D519" t="s">
        <v>18</v>
      </c>
      <c r="E519" t="s">
        <v>26</v>
      </c>
      <c r="F519" t="s">
        <v>39</v>
      </c>
      <c r="G519" s="7">
        <v>43881</v>
      </c>
      <c r="H519" t="s">
        <v>41</v>
      </c>
      <c r="I519" t="s">
        <v>69</v>
      </c>
      <c r="J519" t="s">
        <v>45</v>
      </c>
      <c r="K519">
        <f>IF(HR_Data4[[#This Row],[Phone]]="Missing",0,1)</f>
        <v>1</v>
      </c>
    </row>
    <row r="520" spans="1:11" x14ac:dyDescent="0.3">
      <c r="A520" t="s">
        <v>56</v>
      </c>
      <c r="B520">
        <v>36</v>
      </c>
      <c r="C520" s="6">
        <v>50000</v>
      </c>
      <c r="D520" t="s">
        <v>36</v>
      </c>
      <c r="E520" t="s">
        <v>30</v>
      </c>
      <c r="F520" t="s">
        <v>43</v>
      </c>
      <c r="G520" s="7">
        <v>43881</v>
      </c>
      <c r="H520" t="s">
        <v>27</v>
      </c>
      <c r="I520" t="s">
        <v>15</v>
      </c>
      <c r="J520" t="s">
        <v>28</v>
      </c>
      <c r="K520">
        <f>IF(HR_Data4[[#This Row],[Phone]]="Missing",0,1)</f>
        <v>1</v>
      </c>
    </row>
    <row r="521" spans="1:11" x14ac:dyDescent="0.3">
      <c r="A521" t="s">
        <v>60</v>
      </c>
      <c r="B521">
        <v>40</v>
      </c>
      <c r="C521" s="6">
        <v>65000</v>
      </c>
      <c r="D521" t="s">
        <v>36</v>
      </c>
      <c r="E521" t="s">
        <v>19</v>
      </c>
      <c r="F521" t="s">
        <v>13</v>
      </c>
      <c r="G521" s="7">
        <v>43800</v>
      </c>
      <c r="H521" t="s">
        <v>31</v>
      </c>
      <c r="I521" t="s">
        <v>69</v>
      </c>
      <c r="J521" t="s">
        <v>45</v>
      </c>
      <c r="K521">
        <f>IF(HR_Data4[[#This Row],[Phone]]="Missing",0,1)</f>
        <v>1</v>
      </c>
    </row>
    <row r="522" spans="1:11" x14ac:dyDescent="0.3">
      <c r="A522" t="s">
        <v>52</v>
      </c>
      <c r="B522">
        <v>40</v>
      </c>
      <c r="C522" s="6">
        <v>70000</v>
      </c>
      <c r="D522" t="s">
        <v>11</v>
      </c>
      <c r="E522" t="s">
        <v>26</v>
      </c>
      <c r="F522" t="s">
        <v>43</v>
      </c>
      <c r="G522" s="7">
        <v>43845</v>
      </c>
      <c r="H522" t="s">
        <v>27</v>
      </c>
      <c r="I522" t="s">
        <v>22</v>
      </c>
      <c r="J522" t="s">
        <v>28</v>
      </c>
      <c r="K522">
        <f>IF(HR_Data4[[#This Row],[Phone]]="Missing",0,1)</f>
        <v>1</v>
      </c>
    </row>
    <row r="523" spans="1:11" x14ac:dyDescent="0.3">
      <c r="A523" t="s">
        <v>54</v>
      </c>
      <c r="B523">
        <v>25</v>
      </c>
      <c r="C523" s="6">
        <v>60000</v>
      </c>
      <c r="D523" t="s">
        <v>11</v>
      </c>
      <c r="E523" t="s">
        <v>37</v>
      </c>
      <c r="F523" t="s">
        <v>13</v>
      </c>
      <c r="G523" s="7">
        <v>43800</v>
      </c>
      <c r="H523" t="s">
        <v>31</v>
      </c>
      <c r="I523" t="s">
        <v>69</v>
      </c>
      <c r="J523" t="s">
        <v>28</v>
      </c>
      <c r="K523">
        <f>IF(HR_Data4[[#This Row],[Phone]]="Missing",0,1)</f>
        <v>1</v>
      </c>
    </row>
    <row r="524" spans="1:11" x14ac:dyDescent="0.3">
      <c r="A524" t="s">
        <v>52</v>
      </c>
      <c r="B524">
        <v>30</v>
      </c>
      <c r="C524" s="6">
        <v>70000</v>
      </c>
      <c r="D524" t="s">
        <v>36</v>
      </c>
      <c r="E524" t="s">
        <v>19</v>
      </c>
      <c r="F524" t="s">
        <v>43</v>
      </c>
      <c r="G524" s="7">
        <v>43195</v>
      </c>
      <c r="H524" t="s">
        <v>21</v>
      </c>
      <c r="I524" t="s">
        <v>69</v>
      </c>
      <c r="J524" t="s">
        <v>23</v>
      </c>
      <c r="K524">
        <f>IF(HR_Data4[[#This Row],[Phone]]="Missing",0,1)</f>
        <v>1</v>
      </c>
    </row>
    <row r="525" spans="1:11" x14ac:dyDescent="0.3">
      <c r="A525" t="s">
        <v>54</v>
      </c>
      <c r="B525">
        <v>40</v>
      </c>
      <c r="C525" s="6">
        <v>65000</v>
      </c>
      <c r="D525" t="s">
        <v>18</v>
      </c>
      <c r="E525" t="s">
        <v>19</v>
      </c>
      <c r="F525" t="s">
        <v>44</v>
      </c>
      <c r="G525" s="7">
        <v>43845</v>
      </c>
      <c r="H525" t="s">
        <v>21</v>
      </c>
      <c r="I525" t="s">
        <v>69</v>
      </c>
      <c r="J525" t="s">
        <v>23</v>
      </c>
      <c r="K525">
        <f>IF(HR_Data4[[#This Row],[Phone]]="Missing",0,1)</f>
        <v>1</v>
      </c>
    </row>
    <row r="526" spans="1:11" x14ac:dyDescent="0.3">
      <c r="A526" t="s">
        <v>51</v>
      </c>
      <c r="B526">
        <v>50</v>
      </c>
      <c r="C526" s="6">
        <v>50000</v>
      </c>
      <c r="D526" t="s">
        <v>18</v>
      </c>
      <c r="E526" t="s">
        <v>37</v>
      </c>
      <c r="F526" t="s">
        <v>44</v>
      </c>
      <c r="G526" s="7">
        <v>43195</v>
      </c>
      <c r="H526" t="s">
        <v>27</v>
      </c>
      <c r="I526" t="s">
        <v>15</v>
      </c>
      <c r="J526" t="s">
        <v>45</v>
      </c>
      <c r="K526">
        <f>IF(HR_Data4[[#This Row],[Phone]]="Missing",0,1)</f>
        <v>1</v>
      </c>
    </row>
    <row r="527" spans="1:11" x14ac:dyDescent="0.3">
      <c r="A527" t="s">
        <v>60</v>
      </c>
      <c r="B527">
        <v>40</v>
      </c>
      <c r="C527" s="6">
        <v>70000</v>
      </c>
      <c r="D527" t="s">
        <v>11</v>
      </c>
      <c r="E527" t="s">
        <v>26</v>
      </c>
      <c r="F527" t="s">
        <v>20</v>
      </c>
      <c r="G527" s="7">
        <v>43845</v>
      </c>
      <c r="H527" t="s">
        <v>21</v>
      </c>
      <c r="I527" t="s">
        <v>15</v>
      </c>
      <c r="J527" t="s">
        <v>69</v>
      </c>
      <c r="K527">
        <f>IF(HR_Data4[[#This Row],[Phone]]="Missing",0,1)</f>
        <v>0</v>
      </c>
    </row>
    <row r="528" spans="1:11" x14ac:dyDescent="0.3">
      <c r="A528" t="s">
        <v>51</v>
      </c>
      <c r="B528">
        <v>35</v>
      </c>
      <c r="C528" s="6">
        <v>70000</v>
      </c>
      <c r="D528" t="s">
        <v>18</v>
      </c>
      <c r="E528" t="s">
        <v>12</v>
      </c>
      <c r="F528" t="s">
        <v>43</v>
      </c>
      <c r="G528" s="7">
        <v>43800</v>
      </c>
      <c r="H528" t="s">
        <v>14</v>
      </c>
      <c r="I528" t="s">
        <v>22</v>
      </c>
      <c r="J528" t="s">
        <v>45</v>
      </c>
      <c r="K528">
        <f>IF(HR_Data4[[#This Row],[Phone]]="Missing",0,1)</f>
        <v>1</v>
      </c>
    </row>
    <row r="529" spans="1:11" x14ac:dyDescent="0.3">
      <c r="A529" t="s">
        <v>54</v>
      </c>
      <c r="B529">
        <v>30</v>
      </c>
      <c r="C529" s="6">
        <v>50000</v>
      </c>
      <c r="D529" t="s">
        <v>36</v>
      </c>
      <c r="E529" t="s">
        <v>37</v>
      </c>
      <c r="F529" t="s">
        <v>39</v>
      </c>
      <c r="G529" s="7">
        <v>43881</v>
      </c>
      <c r="H529" t="s">
        <v>41</v>
      </c>
      <c r="I529" t="s">
        <v>69</v>
      </c>
      <c r="J529" t="s">
        <v>69</v>
      </c>
      <c r="K529">
        <f>IF(HR_Data4[[#This Row],[Phone]]="Missing",0,1)</f>
        <v>0</v>
      </c>
    </row>
    <row r="530" spans="1:11" x14ac:dyDescent="0.3">
      <c r="A530" t="s">
        <v>55</v>
      </c>
      <c r="B530">
        <v>35</v>
      </c>
      <c r="C530" s="6">
        <v>60000</v>
      </c>
      <c r="D530" t="s">
        <v>11</v>
      </c>
      <c r="E530" t="s">
        <v>37</v>
      </c>
      <c r="F530" t="s">
        <v>20</v>
      </c>
      <c r="G530" s="7">
        <v>43549</v>
      </c>
      <c r="H530" t="s">
        <v>41</v>
      </c>
      <c r="I530" t="s">
        <v>15</v>
      </c>
      <c r="J530" t="s">
        <v>28</v>
      </c>
      <c r="K530">
        <f>IF(HR_Data4[[#This Row],[Phone]]="Missing",0,1)</f>
        <v>1</v>
      </c>
    </row>
    <row r="531" spans="1:11" x14ac:dyDescent="0.3">
      <c r="A531" t="s">
        <v>55</v>
      </c>
      <c r="B531">
        <v>30</v>
      </c>
      <c r="C531" s="6">
        <v>50000</v>
      </c>
      <c r="D531" t="s">
        <v>36</v>
      </c>
      <c r="E531" t="s">
        <v>37</v>
      </c>
      <c r="F531" t="s">
        <v>44</v>
      </c>
      <c r="G531" s="7">
        <v>43881</v>
      </c>
      <c r="H531" t="s">
        <v>31</v>
      </c>
      <c r="I531" t="s">
        <v>22</v>
      </c>
      <c r="J531" t="s">
        <v>28</v>
      </c>
      <c r="K531">
        <f>IF(HR_Data4[[#This Row],[Phone]]="Missing",0,1)</f>
        <v>1</v>
      </c>
    </row>
    <row r="532" spans="1:11" x14ac:dyDescent="0.3">
      <c r="A532" t="s">
        <v>51</v>
      </c>
      <c r="B532">
        <v>35</v>
      </c>
      <c r="C532" s="6">
        <v>70000</v>
      </c>
      <c r="D532" t="s">
        <v>11</v>
      </c>
      <c r="E532" t="s">
        <v>19</v>
      </c>
      <c r="F532" t="s">
        <v>43</v>
      </c>
      <c r="G532" s="7">
        <v>43800</v>
      </c>
      <c r="H532" t="s">
        <v>21</v>
      </c>
      <c r="I532" t="s">
        <v>22</v>
      </c>
      <c r="J532" t="s">
        <v>23</v>
      </c>
      <c r="K532">
        <f>IF(HR_Data4[[#This Row],[Phone]]="Missing",0,1)</f>
        <v>1</v>
      </c>
    </row>
    <row r="533" spans="1:11" x14ac:dyDescent="0.3">
      <c r="A533" t="s">
        <v>55</v>
      </c>
      <c r="B533">
        <v>40</v>
      </c>
      <c r="C533" s="6">
        <v>60000</v>
      </c>
      <c r="D533" t="s">
        <v>11</v>
      </c>
      <c r="E533" t="s">
        <v>30</v>
      </c>
      <c r="F533" t="s">
        <v>20</v>
      </c>
      <c r="G533" s="7">
        <v>43845</v>
      </c>
      <c r="H533" t="s">
        <v>31</v>
      </c>
      <c r="I533" t="s">
        <v>69</v>
      </c>
      <c r="J533" t="s">
        <v>69</v>
      </c>
      <c r="K533">
        <f>IF(HR_Data4[[#This Row],[Phone]]="Missing",0,1)</f>
        <v>0</v>
      </c>
    </row>
    <row r="534" spans="1:11" x14ac:dyDescent="0.3">
      <c r="A534" t="s">
        <v>54</v>
      </c>
      <c r="B534">
        <v>40</v>
      </c>
      <c r="C534" s="6">
        <v>60000</v>
      </c>
      <c r="D534" t="s">
        <v>11</v>
      </c>
      <c r="E534" t="s">
        <v>12</v>
      </c>
      <c r="F534" t="s">
        <v>43</v>
      </c>
      <c r="G534" s="7">
        <v>43881</v>
      </c>
      <c r="H534" t="s">
        <v>41</v>
      </c>
      <c r="I534" t="s">
        <v>32</v>
      </c>
      <c r="J534" t="s">
        <v>23</v>
      </c>
      <c r="K534">
        <f>IF(HR_Data4[[#This Row],[Phone]]="Missing",0,1)</f>
        <v>1</v>
      </c>
    </row>
    <row r="535" spans="1:11" x14ac:dyDescent="0.3">
      <c r="A535" t="s">
        <v>56</v>
      </c>
      <c r="B535">
        <v>25</v>
      </c>
      <c r="C535" s="6">
        <v>50000</v>
      </c>
      <c r="D535" t="s">
        <v>11</v>
      </c>
      <c r="E535" t="s">
        <v>26</v>
      </c>
      <c r="F535" t="s">
        <v>44</v>
      </c>
      <c r="G535" s="7">
        <v>43800</v>
      </c>
      <c r="H535" t="s">
        <v>41</v>
      </c>
      <c r="I535" t="s">
        <v>69</v>
      </c>
      <c r="J535" t="s">
        <v>69</v>
      </c>
      <c r="K535">
        <f>IF(HR_Data4[[#This Row],[Phone]]="Missing",0,1)</f>
        <v>0</v>
      </c>
    </row>
    <row r="536" spans="1:11" x14ac:dyDescent="0.3">
      <c r="A536" t="s">
        <v>51</v>
      </c>
      <c r="B536">
        <v>50</v>
      </c>
      <c r="C536" s="6">
        <v>70000</v>
      </c>
      <c r="D536" t="s">
        <v>18</v>
      </c>
      <c r="E536" t="s">
        <v>26</v>
      </c>
      <c r="F536" t="s">
        <v>20</v>
      </c>
      <c r="G536" s="7">
        <v>43195</v>
      </c>
      <c r="H536" t="s">
        <v>21</v>
      </c>
      <c r="I536" t="s">
        <v>32</v>
      </c>
      <c r="J536" t="s">
        <v>45</v>
      </c>
      <c r="K536">
        <f>IF(HR_Data4[[#This Row],[Phone]]="Missing",0,1)</f>
        <v>1</v>
      </c>
    </row>
    <row r="537" spans="1:11" x14ac:dyDescent="0.3">
      <c r="A537" t="s">
        <v>58</v>
      </c>
      <c r="B537">
        <v>35</v>
      </c>
      <c r="C537" s="6">
        <v>65000</v>
      </c>
      <c r="D537" t="s">
        <v>36</v>
      </c>
      <c r="E537" t="s">
        <v>30</v>
      </c>
      <c r="F537" t="s">
        <v>44</v>
      </c>
      <c r="G537" s="7">
        <v>43549</v>
      </c>
      <c r="H537" t="s">
        <v>14</v>
      </c>
      <c r="I537" t="s">
        <v>22</v>
      </c>
      <c r="J537" t="s">
        <v>45</v>
      </c>
      <c r="K537">
        <f>IF(HR_Data4[[#This Row],[Phone]]="Missing",0,1)</f>
        <v>1</v>
      </c>
    </row>
    <row r="538" spans="1:11" x14ac:dyDescent="0.3">
      <c r="A538" t="s">
        <v>60</v>
      </c>
      <c r="B538">
        <v>36</v>
      </c>
      <c r="C538" s="6">
        <v>70000</v>
      </c>
      <c r="D538" t="s">
        <v>36</v>
      </c>
      <c r="E538" t="s">
        <v>37</v>
      </c>
      <c r="F538" t="s">
        <v>13</v>
      </c>
      <c r="G538" s="7">
        <v>43881</v>
      </c>
      <c r="H538" t="s">
        <v>14</v>
      </c>
      <c r="I538" t="s">
        <v>15</v>
      </c>
      <c r="J538" t="s">
        <v>69</v>
      </c>
      <c r="K538">
        <f>IF(HR_Data4[[#This Row],[Phone]]="Missing",0,1)</f>
        <v>0</v>
      </c>
    </row>
    <row r="539" spans="1:11" x14ac:dyDescent="0.3">
      <c r="A539" t="s">
        <v>55</v>
      </c>
      <c r="B539">
        <v>25</v>
      </c>
      <c r="C539" s="6">
        <v>55000</v>
      </c>
      <c r="D539" t="s">
        <v>36</v>
      </c>
      <c r="E539" t="s">
        <v>12</v>
      </c>
      <c r="F539" t="s">
        <v>44</v>
      </c>
      <c r="G539" s="7">
        <v>43845</v>
      </c>
      <c r="H539" t="s">
        <v>21</v>
      </c>
      <c r="I539" t="s">
        <v>69</v>
      </c>
      <c r="J539" t="s">
        <v>23</v>
      </c>
      <c r="K539">
        <f>IF(HR_Data4[[#This Row],[Phone]]="Missing",0,1)</f>
        <v>1</v>
      </c>
    </row>
    <row r="540" spans="1:11" x14ac:dyDescent="0.3">
      <c r="A540" t="s">
        <v>55</v>
      </c>
      <c r="B540">
        <v>35</v>
      </c>
      <c r="C540" s="6" t="s">
        <v>68</v>
      </c>
      <c r="D540" t="s">
        <v>11</v>
      </c>
      <c r="E540" t="s">
        <v>26</v>
      </c>
      <c r="F540" t="s">
        <v>43</v>
      </c>
      <c r="G540" s="7">
        <v>43195</v>
      </c>
      <c r="H540" t="s">
        <v>21</v>
      </c>
      <c r="I540" t="s">
        <v>22</v>
      </c>
      <c r="J540" t="s">
        <v>23</v>
      </c>
      <c r="K540">
        <f>IF(HR_Data4[[#This Row],[Phone]]="Missing",0,1)</f>
        <v>1</v>
      </c>
    </row>
    <row r="541" spans="1:11" x14ac:dyDescent="0.3">
      <c r="A541" t="s">
        <v>59</v>
      </c>
      <c r="B541">
        <v>35</v>
      </c>
      <c r="C541" s="6">
        <v>65000</v>
      </c>
      <c r="D541" t="s">
        <v>18</v>
      </c>
      <c r="E541" t="s">
        <v>26</v>
      </c>
      <c r="F541" t="s">
        <v>39</v>
      </c>
      <c r="G541" s="7">
        <v>43800</v>
      </c>
      <c r="H541" t="s">
        <v>31</v>
      </c>
      <c r="I541" t="s">
        <v>15</v>
      </c>
      <c r="J541" t="s">
        <v>69</v>
      </c>
      <c r="K541">
        <f>IF(HR_Data4[[#This Row],[Phone]]="Missing",0,1)</f>
        <v>0</v>
      </c>
    </row>
    <row r="542" spans="1:11" x14ac:dyDescent="0.3">
      <c r="A542" t="s">
        <v>57</v>
      </c>
      <c r="B542">
        <v>25</v>
      </c>
      <c r="C542" s="6">
        <v>60000</v>
      </c>
      <c r="D542" t="s">
        <v>36</v>
      </c>
      <c r="E542" t="s">
        <v>37</v>
      </c>
      <c r="F542" t="s">
        <v>44</v>
      </c>
      <c r="G542" s="7">
        <v>43549</v>
      </c>
      <c r="H542" t="s">
        <v>21</v>
      </c>
      <c r="I542" t="s">
        <v>22</v>
      </c>
      <c r="J542" t="s">
        <v>45</v>
      </c>
      <c r="K542">
        <f>IF(HR_Data4[[#This Row],[Phone]]="Missing",0,1)</f>
        <v>1</v>
      </c>
    </row>
    <row r="543" spans="1:11" x14ac:dyDescent="0.3">
      <c r="A543" t="s">
        <v>51</v>
      </c>
      <c r="B543">
        <v>40</v>
      </c>
      <c r="C543" s="6">
        <v>65000</v>
      </c>
      <c r="D543" t="s">
        <v>18</v>
      </c>
      <c r="E543" t="s">
        <v>30</v>
      </c>
      <c r="F543" t="s">
        <v>39</v>
      </c>
      <c r="G543" s="7">
        <v>43845</v>
      </c>
      <c r="H543" t="s">
        <v>14</v>
      </c>
      <c r="I543" t="s">
        <v>69</v>
      </c>
      <c r="J543" t="s">
        <v>23</v>
      </c>
      <c r="K543">
        <f>IF(HR_Data4[[#This Row],[Phone]]="Missing",0,1)</f>
        <v>1</v>
      </c>
    </row>
    <row r="544" spans="1:11" x14ac:dyDescent="0.3">
      <c r="A544" t="s">
        <v>53</v>
      </c>
      <c r="B544">
        <v>35</v>
      </c>
      <c r="C544" s="6">
        <v>60000</v>
      </c>
      <c r="D544" t="s">
        <v>11</v>
      </c>
      <c r="E544" t="s">
        <v>12</v>
      </c>
      <c r="F544" t="s">
        <v>13</v>
      </c>
      <c r="G544" s="7">
        <v>43800</v>
      </c>
      <c r="H544" t="s">
        <v>21</v>
      </c>
      <c r="I544" t="s">
        <v>32</v>
      </c>
      <c r="J544" t="s">
        <v>69</v>
      </c>
      <c r="K544">
        <f>IF(HR_Data4[[#This Row],[Phone]]="Missing",0,1)</f>
        <v>0</v>
      </c>
    </row>
    <row r="545" spans="1:11" x14ac:dyDescent="0.3">
      <c r="A545" t="s">
        <v>55</v>
      </c>
      <c r="B545">
        <v>40</v>
      </c>
      <c r="C545" s="6">
        <v>60000</v>
      </c>
      <c r="D545" t="s">
        <v>36</v>
      </c>
      <c r="E545" t="s">
        <v>30</v>
      </c>
      <c r="F545" t="s">
        <v>20</v>
      </c>
      <c r="G545" s="7">
        <v>43800</v>
      </c>
      <c r="H545" t="s">
        <v>31</v>
      </c>
      <c r="I545" t="s">
        <v>22</v>
      </c>
      <c r="J545" t="s">
        <v>45</v>
      </c>
      <c r="K545">
        <f>IF(HR_Data4[[#This Row],[Phone]]="Missing",0,1)</f>
        <v>1</v>
      </c>
    </row>
    <row r="546" spans="1:11" x14ac:dyDescent="0.3">
      <c r="A546" t="s">
        <v>60</v>
      </c>
      <c r="B546">
        <v>25</v>
      </c>
      <c r="C546" s="6">
        <v>65000</v>
      </c>
      <c r="D546" t="s">
        <v>18</v>
      </c>
      <c r="E546" t="s">
        <v>30</v>
      </c>
      <c r="F546" t="s">
        <v>20</v>
      </c>
      <c r="G546" s="7">
        <v>43881</v>
      </c>
      <c r="H546" t="s">
        <v>31</v>
      </c>
      <c r="I546" t="s">
        <v>15</v>
      </c>
      <c r="J546" t="s">
        <v>69</v>
      </c>
      <c r="K546">
        <f>IF(HR_Data4[[#This Row],[Phone]]="Missing",0,1)</f>
        <v>0</v>
      </c>
    </row>
    <row r="547" spans="1:11" x14ac:dyDescent="0.3">
      <c r="A547" t="s">
        <v>58</v>
      </c>
      <c r="B547">
        <v>40</v>
      </c>
      <c r="C547" s="6">
        <v>60000</v>
      </c>
      <c r="D547" t="s">
        <v>11</v>
      </c>
      <c r="E547" t="s">
        <v>12</v>
      </c>
      <c r="F547" t="s">
        <v>39</v>
      </c>
      <c r="G547" s="7">
        <v>43881</v>
      </c>
      <c r="H547" t="s">
        <v>31</v>
      </c>
      <c r="I547" t="s">
        <v>69</v>
      </c>
      <c r="J547" t="s">
        <v>69</v>
      </c>
      <c r="K547">
        <f>IF(HR_Data4[[#This Row],[Phone]]="Missing",0,1)</f>
        <v>0</v>
      </c>
    </row>
    <row r="548" spans="1:11" x14ac:dyDescent="0.3">
      <c r="A548" t="s">
        <v>55</v>
      </c>
      <c r="B548">
        <v>30</v>
      </c>
      <c r="C548" s="6">
        <v>60000</v>
      </c>
      <c r="D548" t="s">
        <v>18</v>
      </c>
      <c r="E548" t="s">
        <v>12</v>
      </c>
      <c r="F548" t="s">
        <v>20</v>
      </c>
      <c r="G548" s="7">
        <v>43845</v>
      </c>
      <c r="H548" t="s">
        <v>31</v>
      </c>
      <c r="I548" t="s">
        <v>69</v>
      </c>
      <c r="J548" t="s">
        <v>28</v>
      </c>
      <c r="K548">
        <f>IF(HR_Data4[[#This Row],[Phone]]="Missing",0,1)</f>
        <v>1</v>
      </c>
    </row>
    <row r="549" spans="1:11" x14ac:dyDescent="0.3">
      <c r="A549" t="s">
        <v>58</v>
      </c>
      <c r="B549">
        <v>36</v>
      </c>
      <c r="C549" s="6">
        <v>55000</v>
      </c>
      <c r="D549" t="s">
        <v>36</v>
      </c>
      <c r="E549" t="s">
        <v>26</v>
      </c>
      <c r="F549" t="s">
        <v>44</v>
      </c>
      <c r="G549" s="7">
        <v>43800</v>
      </c>
      <c r="H549" t="s">
        <v>27</v>
      </c>
      <c r="I549" t="s">
        <v>69</v>
      </c>
      <c r="J549" t="s">
        <v>69</v>
      </c>
      <c r="K549">
        <f>IF(HR_Data4[[#This Row],[Phone]]="Missing",0,1)</f>
        <v>0</v>
      </c>
    </row>
    <row r="550" spans="1:11" x14ac:dyDescent="0.3">
      <c r="A550" t="s">
        <v>54</v>
      </c>
      <c r="B550">
        <v>35</v>
      </c>
      <c r="C550" s="6">
        <v>70000</v>
      </c>
      <c r="D550" t="s">
        <v>36</v>
      </c>
      <c r="E550" t="s">
        <v>26</v>
      </c>
      <c r="F550" t="s">
        <v>39</v>
      </c>
      <c r="G550" s="7">
        <v>43881</v>
      </c>
      <c r="H550" t="s">
        <v>21</v>
      </c>
      <c r="I550" t="s">
        <v>32</v>
      </c>
      <c r="J550" t="s">
        <v>69</v>
      </c>
      <c r="K550">
        <f>IF(HR_Data4[[#This Row],[Phone]]="Missing",0,1)</f>
        <v>0</v>
      </c>
    </row>
    <row r="551" spans="1:11" x14ac:dyDescent="0.3">
      <c r="A551" t="s">
        <v>54</v>
      </c>
      <c r="B551">
        <v>50</v>
      </c>
      <c r="C551" s="6">
        <v>70000</v>
      </c>
      <c r="D551" t="s">
        <v>11</v>
      </c>
      <c r="E551" t="s">
        <v>12</v>
      </c>
      <c r="F551" t="s">
        <v>43</v>
      </c>
      <c r="G551" s="7">
        <v>43549</v>
      </c>
      <c r="H551" t="s">
        <v>41</v>
      </c>
      <c r="I551" t="s">
        <v>69</v>
      </c>
      <c r="J551" t="s">
        <v>23</v>
      </c>
      <c r="K551">
        <f>IF(HR_Data4[[#This Row],[Phone]]="Missing",0,1)</f>
        <v>1</v>
      </c>
    </row>
    <row r="552" spans="1:11" x14ac:dyDescent="0.3">
      <c r="A552" t="s">
        <v>57</v>
      </c>
      <c r="B552">
        <v>36</v>
      </c>
      <c r="C552" s="6" t="s">
        <v>68</v>
      </c>
      <c r="D552" t="s">
        <v>11</v>
      </c>
      <c r="E552" t="s">
        <v>19</v>
      </c>
      <c r="F552" t="s">
        <v>44</v>
      </c>
      <c r="G552" s="7">
        <v>43549</v>
      </c>
      <c r="H552" t="s">
        <v>21</v>
      </c>
      <c r="I552" t="s">
        <v>69</v>
      </c>
      <c r="J552" t="s">
        <v>28</v>
      </c>
      <c r="K552">
        <f>IF(HR_Data4[[#This Row],[Phone]]="Missing",0,1)</f>
        <v>1</v>
      </c>
    </row>
    <row r="553" spans="1:11" x14ac:dyDescent="0.3">
      <c r="A553" t="s">
        <v>56</v>
      </c>
      <c r="B553">
        <v>40</v>
      </c>
      <c r="C553" s="6" t="s">
        <v>68</v>
      </c>
      <c r="D553" t="s">
        <v>11</v>
      </c>
      <c r="E553" t="s">
        <v>26</v>
      </c>
      <c r="F553" t="s">
        <v>44</v>
      </c>
      <c r="G553" s="7">
        <v>43800</v>
      </c>
      <c r="H553" t="s">
        <v>27</v>
      </c>
      <c r="I553" t="s">
        <v>15</v>
      </c>
      <c r="J553" t="s">
        <v>69</v>
      </c>
      <c r="K553">
        <f>IF(HR_Data4[[#This Row],[Phone]]="Missing",0,1)</f>
        <v>0</v>
      </c>
    </row>
    <row r="554" spans="1:11" x14ac:dyDescent="0.3">
      <c r="A554" t="s">
        <v>53</v>
      </c>
      <c r="B554">
        <v>35</v>
      </c>
      <c r="C554" s="6">
        <v>55000</v>
      </c>
      <c r="D554" t="s">
        <v>18</v>
      </c>
      <c r="E554" t="s">
        <v>19</v>
      </c>
      <c r="F554" t="s">
        <v>44</v>
      </c>
      <c r="G554" s="7">
        <v>43881</v>
      </c>
      <c r="H554" t="s">
        <v>31</v>
      </c>
      <c r="I554" t="s">
        <v>22</v>
      </c>
      <c r="J554" t="s">
        <v>23</v>
      </c>
      <c r="K554">
        <f>IF(HR_Data4[[#This Row],[Phone]]="Missing",0,1)</f>
        <v>1</v>
      </c>
    </row>
    <row r="555" spans="1:11" x14ac:dyDescent="0.3">
      <c r="A555" t="s">
        <v>59</v>
      </c>
      <c r="B555">
        <v>40</v>
      </c>
      <c r="C555" s="6" t="s">
        <v>68</v>
      </c>
      <c r="D555" t="s">
        <v>18</v>
      </c>
      <c r="E555" t="s">
        <v>12</v>
      </c>
      <c r="F555" t="s">
        <v>43</v>
      </c>
      <c r="G555" s="7">
        <v>43845</v>
      </c>
      <c r="H555" t="s">
        <v>27</v>
      </c>
      <c r="I555" t="s">
        <v>32</v>
      </c>
      <c r="J555" t="s">
        <v>28</v>
      </c>
      <c r="K555">
        <f>IF(HR_Data4[[#This Row],[Phone]]="Missing",0,1)</f>
        <v>1</v>
      </c>
    </row>
    <row r="556" spans="1:11" x14ac:dyDescent="0.3">
      <c r="A556" t="s">
        <v>57</v>
      </c>
      <c r="B556">
        <v>30</v>
      </c>
      <c r="C556" s="6">
        <v>65000</v>
      </c>
      <c r="D556" t="s">
        <v>18</v>
      </c>
      <c r="E556" t="s">
        <v>26</v>
      </c>
      <c r="F556" t="s">
        <v>13</v>
      </c>
      <c r="G556" s="7">
        <v>43845</v>
      </c>
      <c r="H556" t="s">
        <v>14</v>
      </c>
      <c r="I556" t="s">
        <v>69</v>
      </c>
      <c r="J556" t="s">
        <v>45</v>
      </c>
      <c r="K556">
        <f>IF(HR_Data4[[#This Row],[Phone]]="Missing",0,1)</f>
        <v>1</v>
      </c>
    </row>
    <row r="557" spans="1:11" x14ac:dyDescent="0.3">
      <c r="A557" t="s">
        <v>52</v>
      </c>
      <c r="B557">
        <v>25</v>
      </c>
      <c r="C557" s="6">
        <v>50000</v>
      </c>
      <c r="D557" t="s">
        <v>11</v>
      </c>
      <c r="E557" t="s">
        <v>30</v>
      </c>
      <c r="F557" t="s">
        <v>20</v>
      </c>
      <c r="G557" s="7">
        <v>43845</v>
      </c>
      <c r="H557" t="s">
        <v>14</v>
      </c>
      <c r="I557" t="s">
        <v>32</v>
      </c>
      <c r="J557" t="s">
        <v>23</v>
      </c>
      <c r="K557">
        <f>IF(HR_Data4[[#This Row],[Phone]]="Missing",0,1)</f>
        <v>1</v>
      </c>
    </row>
    <row r="558" spans="1:11" x14ac:dyDescent="0.3">
      <c r="A558" t="s">
        <v>59</v>
      </c>
      <c r="B558">
        <v>35</v>
      </c>
      <c r="C558" s="6">
        <v>50000</v>
      </c>
      <c r="D558" t="s">
        <v>36</v>
      </c>
      <c r="E558" t="s">
        <v>12</v>
      </c>
      <c r="F558" t="s">
        <v>39</v>
      </c>
      <c r="G558" s="7">
        <v>43549</v>
      </c>
      <c r="H558" t="s">
        <v>21</v>
      </c>
      <c r="I558" t="s">
        <v>69</v>
      </c>
      <c r="J558" t="s">
        <v>69</v>
      </c>
      <c r="K558">
        <f>IF(HR_Data4[[#This Row],[Phone]]="Missing",0,1)</f>
        <v>0</v>
      </c>
    </row>
    <row r="559" spans="1:11" x14ac:dyDescent="0.3">
      <c r="A559" t="s">
        <v>51</v>
      </c>
      <c r="B559">
        <v>30</v>
      </c>
      <c r="C559" s="6">
        <v>50000</v>
      </c>
      <c r="D559" t="s">
        <v>36</v>
      </c>
      <c r="E559" t="s">
        <v>37</v>
      </c>
      <c r="F559" t="s">
        <v>13</v>
      </c>
      <c r="G559" s="7">
        <v>43881</v>
      </c>
      <c r="H559" t="s">
        <v>21</v>
      </c>
      <c r="I559" t="s">
        <v>32</v>
      </c>
      <c r="J559" t="s">
        <v>69</v>
      </c>
      <c r="K559">
        <f>IF(HR_Data4[[#This Row],[Phone]]="Missing",0,1)</f>
        <v>0</v>
      </c>
    </row>
    <row r="560" spans="1:11" x14ac:dyDescent="0.3">
      <c r="A560" t="s">
        <v>60</v>
      </c>
      <c r="B560">
        <v>30</v>
      </c>
      <c r="C560" s="6">
        <v>55000</v>
      </c>
      <c r="D560" t="s">
        <v>18</v>
      </c>
      <c r="E560" t="s">
        <v>19</v>
      </c>
      <c r="F560" t="s">
        <v>39</v>
      </c>
      <c r="G560" s="7">
        <v>43881</v>
      </c>
      <c r="H560" t="s">
        <v>41</v>
      </c>
      <c r="I560" t="s">
        <v>69</v>
      </c>
      <c r="J560" t="s">
        <v>28</v>
      </c>
      <c r="K560">
        <f>IF(HR_Data4[[#This Row],[Phone]]="Missing",0,1)</f>
        <v>1</v>
      </c>
    </row>
    <row r="561" spans="1:11" x14ac:dyDescent="0.3">
      <c r="A561" t="s">
        <v>52</v>
      </c>
      <c r="B561">
        <v>35</v>
      </c>
      <c r="C561" s="6">
        <v>55000</v>
      </c>
      <c r="D561" t="s">
        <v>18</v>
      </c>
      <c r="E561" t="s">
        <v>12</v>
      </c>
      <c r="F561" t="s">
        <v>20</v>
      </c>
      <c r="G561" s="7">
        <v>43549</v>
      </c>
      <c r="H561" t="s">
        <v>41</v>
      </c>
      <c r="I561" t="s">
        <v>22</v>
      </c>
      <c r="J561" t="s">
        <v>23</v>
      </c>
      <c r="K561">
        <f>IF(HR_Data4[[#This Row],[Phone]]="Missing",0,1)</f>
        <v>1</v>
      </c>
    </row>
    <row r="562" spans="1:11" x14ac:dyDescent="0.3">
      <c r="A562" t="s">
        <v>52</v>
      </c>
      <c r="B562">
        <v>40</v>
      </c>
      <c r="C562" s="6">
        <v>60000</v>
      </c>
      <c r="D562" t="s">
        <v>36</v>
      </c>
      <c r="E562" t="s">
        <v>12</v>
      </c>
      <c r="F562" t="s">
        <v>43</v>
      </c>
      <c r="G562" s="7">
        <v>43845</v>
      </c>
      <c r="H562" t="s">
        <v>14</v>
      </c>
      <c r="I562" t="s">
        <v>22</v>
      </c>
      <c r="J562" t="s">
        <v>45</v>
      </c>
      <c r="K562">
        <f>IF(HR_Data4[[#This Row],[Phone]]="Missing",0,1)</f>
        <v>1</v>
      </c>
    </row>
    <row r="563" spans="1:11" x14ac:dyDescent="0.3">
      <c r="A563" t="s">
        <v>57</v>
      </c>
      <c r="B563">
        <v>50</v>
      </c>
      <c r="C563" s="6">
        <v>50000</v>
      </c>
      <c r="D563" t="s">
        <v>36</v>
      </c>
      <c r="E563" t="s">
        <v>26</v>
      </c>
      <c r="F563" t="s">
        <v>44</v>
      </c>
      <c r="G563" s="7">
        <v>43845</v>
      </c>
      <c r="H563" t="s">
        <v>31</v>
      </c>
      <c r="I563" t="s">
        <v>32</v>
      </c>
      <c r="J563" t="s">
        <v>69</v>
      </c>
      <c r="K563">
        <f>IF(HR_Data4[[#This Row],[Phone]]="Missing",0,1)</f>
        <v>0</v>
      </c>
    </row>
    <row r="564" spans="1:11" x14ac:dyDescent="0.3">
      <c r="A564" t="s">
        <v>56</v>
      </c>
      <c r="B564">
        <v>30</v>
      </c>
      <c r="C564" s="6">
        <v>65000</v>
      </c>
      <c r="D564" t="s">
        <v>18</v>
      </c>
      <c r="E564" t="s">
        <v>26</v>
      </c>
      <c r="F564" t="s">
        <v>44</v>
      </c>
      <c r="G564" s="7">
        <v>43800</v>
      </c>
      <c r="H564" t="s">
        <v>27</v>
      </c>
      <c r="I564" t="s">
        <v>15</v>
      </c>
      <c r="J564" t="s">
        <v>69</v>
      </c>
      <c r="K564">
        <f>IF(HR_Data4[[#This Row],[Phone]]="Missing",0,1)</f>
        <v>0</v>
      </c>
    </row>
    <row r="565" spans="1:11" x14ac:dyDescent="0.3">
      <c r="A565" t="s">
        <v>57</v>
      </c>
      <c r="B565">
        <v>36</v>
      </c>
      <c r="C565" s="6" t="s">
        <v>68</v>
      </c>
      <c r="D565" t="s">
        <v>18</v>
      </c>
      <c r="E565" t="s">
        <v>26</v>
      </c>
      <c r="F565" t="s">
        <v>43</v>
      </c>
      <c r="G565" s="7">
        <v>43195</v>
      </c>
      <c r="H565" t="s">
        <v>41</v>
      </c>
      <c r="I565" t="s">
        <v>32</v>
      </c>
      <c r="J565" t="s">
        <v>23</v>
      </c>
      <c r="K565">
        <f>IF(HR_Data4[[#This Row],[Phone]]="Missing",0,1)</f>
        <v>1</v>
      </c>
    </row>
    <row r="566" spans="1:11" x14ac:dyDescent="0.3">
      <c r="A566" t="s">
        <v>51</v>
      </c>
      <c r="B566">
        <v>30</v>
      </c>
      <c r="C566" s="6">
        <v>65000</v>
      </c>
      <c r="D566" t="s">
        <v>36</v>
      </c>
      <c r="E566" t="s">
        <v>37</v>
      </c>
      <c r="F566" t="s">
        <v>13</v>
      </c>
      <c r="G566" s="7">
        <v>43881</v>
      </c>
      <c r="H566" t="s">
        <v>41</v>
      </c>
      <c r="I566" t="s">
        <v>69</v>
      </c>
      <c r="J566" t="s">
        <v>45</v>
      </c>
      <c r="K566">
        <f>IF(HR_Data4[[#This Row],[Phone]]="Missing",0,1)</f>
        <v>1</v>
      </c>
    </row>
    <row r="567" spans="1:11" x14ac:dyDescent="0.3">
      <c r="A567" t="s">
        <v>55</v>
      </c>
      <c r="B567">
        <v>50</v>
      </c>
      <c r="C567" s="6" t="s">
        <v>68</v>
      </c>
      <c r="D567" t="s">
        <v>11</v>
      </c>
      <c r="E567" t="s">
        <v>26</v>
      </c>
      <c r="F567" t="s">
        <v>13</v>
      </c>
      <c r="G567" s="7">
        <v>43881</v>
      </c>
      <c r="H567" t="s">
        <v>31</v>
      </c>
      <c r="I567" t="s">
        <v>22</v>
      </c>
      <c r="J567" t="s">
        <v>28</v>
      </c>
      <c r="K567">
        <f>IF(HR_Data4[[#This Row],[Phone]]="Missing",0,1)</f>
        <v>1</v>
      </c>
    </row>
    <row r="568" spans="1:11" x14ac:dyDescent="0.3">
      <c r="A568" t="s">
        <v>55</v>
      </c>
      <c r="B568">
        <v>40</v>
      </c>
      <c r="C568" s="6">
        <v>50000</v>
      </c>
      <c r="D568" t="s">
        <v>18</v>
      </c>
      <c r="E568" t="s">
        <v>12</v>
      </c>
      <c r="F568" t="s">
        <v>39</v>
      </c>
      <c r="G568" s="7">
        <v>43881</v>
      </c>
      <c r="H568" t="s">
        <v>31</v>
      </c>
      <c r="I568" t="s">
        <v>22</v>
      </c>
      <c r="J568" t="s">
        <v>23</v>
      </c>
      <c r="K568">
        <f>IF(HR_Data4[[#This Row],[Phone]]="Missing",0,1)</f>
        <v>1</v>
      </c>
    </row>
    <row r="569" spans="1:11" x14ac:dyDescent="0.3">
      <c r="A569" t="s">
        <v>56</v>
      </c>
      <c r="B569">
        <v>40</v>
      </c>
      <c r="C569" s="6">
        <v>50000</v>
      </c>
      <c r="D569" t="s">
        <v>36</v>
      </c>
      <c r="E569" t="s">
        <v>26</v>
      </c>
      <c r="F569" t="s">
        <v>43</v>
      </c>
      <c r="G569" s="7">
        <v>43195</v>
      </c>
      <c r="H569" t="s">
        <v>21</v>
      </c>
      <c r="I569" t="s">
        <v>22</v>
      </c>
      <c r="J569" t="s">
        <v>28</v>
      </c>
      <c r="K569">
        <f>IF(HR_Data4[[#This Row],[Phone]]="Missing",0,1)</f>
        <v>1</v>
      </c>
    </row>
    <row r="570" spans="1:11" x14ac:dyDescent="0.3">
      <c r="A570" t="s">
        <v>51</v>
      </c>
      <c r="B570">
        <v>36</v>
      </c>
      <c r="C570" s="6">
        <v>50000</v>
      </c>
      <c r="D570" t="s">
        <v>36</v>
      </c>
      <c r="E570" t="s">
        <v>30</v>
      </c>
      <c r="F570" t="s">
        <v>13</v>
      </c>
      <c r="G570" s="7">
        <v>43800</v>
      </c>
      <c r="H570" t="s">
        <v>27</v>
      </c>
      <c r="I570" t="s">
        <v>15</v>
      </c>
      <c r="J570" t="s">
        <v>69</v>
      </c>
      <c r="K570">
        <f>IF(HR_Data4[[#This Row],[Phone]]="Missing",0,1)</f>
        <v>0</v>
      </c>
    </row>
    <row r="571" spans="1:11" x14ac:dyDescent="0.3">
      <c r="A571" t="s">
        <v>56</v>
      </c>
      <c r="B571">
        <v>30</v>
      </c>
      <c r="C571" s="6">
        <v>55000</v>
      </c>
      <c r="D571" t="s">
        <v>36</v>
      </c>
      <c r="E571" t="s">
        <v>26</v>
      </c>
      <c r="F571" t="s">
        <v>43</v>
      </c>
      <c r="G571" s="7">
        <v>43195</v>
      </c>
      <c r="H571" t="s">
        <v>31</v>
      </c>
      <c r="I571" t="s">
        <v>15</v>
      </c>
      <c r="J571" t="s">
        <v>28</v>
      </c>
      <c r="K571">
        <f>IF(HR_Data4[[#This Row],[Phone]]="Missing",0,1)</f>
        <v>1</v>
      </c>
    </row>
    <row r="572" spans="1:11" x14ac:dyDescent="0.3">
      <c r="A572" t="s">
        <v>58</v>
      </c>
      <c r="B572">
        <v>40</v>
      </c>
      <c r="C572" s="6" t="s">
        <v>68</v>
      </c>
      <c r="D572" t="s">
        <v>36</v>
      </c>
      <c r="E572" t="s">
        <v>37</v>
      </c>
      <c r="F572" t="s">
        <v>20</v>
      </c>
      <c r="G572" s="7">
        <v>43845</v>
      </c>
      <c r="H572" t="s">
        <v>41</v>
      </c>
      <c r="I572" t="s">
        <v>69</v>
      </c>
      <c r="J572" t="s">
        <v>45</v>
      </c>
      <c r="K572">
        <f>IF(HR_Data4[[#This Row],[Phone]]="Missing",0,1)</f>
        <v>1</v>
      </c>
    </row>
    <row r="573" spans="1:11" x14ac:dyDescent="0.3">
      <c r="A573" t="s">
        <v>55</v>
      </c>
      <c r="B573">
        <v>50</v>
      </c>
      <c r="C573" s="6">
        <v>55000</v>
      </c>
      <c r="D573" t="s">
        <v>11</v>
      </c>
      <c r="E573" t="s">
        <v>30</v>
      </c>
      <c r="F573" t="s">
        <v>44</v>
      </c>
      <c r="G573" s="7">
        <v>43845</v>
      </c>
      <c r="H573" t="s">
        <v>41</v>
      </c>
      <c r="I573" t="s">
        <v>32</v>
      </c>
      <c r="J573" t="s">
        <v>69</v>
      </c>
      <c r="K573">
        <f>IF(HR_Data4[[#This Row],[Phone]]="Missing",0,1)</f>
        <v>0</v>
      </c>
    </row>
    <row r="574" spans="1:11" x14ac:dyDescent="0.3">
      <c r="A574" t="s">
        <v>52</v>
      </c>
      <c r="B574">
        <v>35</v>
      </c>
      <c r="C574" s="6">
        <v>55000</v>
      </c>
      <c r="D574" t="s">
        <v>36</v>
      </c>
      <c r="E574" t="s">
        <v>12</v>
      </c>
      <c r="F574" t="s">
        <v>44</v>
      </c>
      <c r="G574" s="7">
        <v>43881</v>
      </c>
      <c r="H574" t="s">
        <v>14</v>
      </c>
      <c r="I574" t="s">
        <v>32</v>
      </c>
      <c r="J574" t="s">
        <v>45</v>
      </c>
      <c r="K574">
        <f>IF(HR_Data4[[#This Row],[Phone]]="Missing",0,1)</f>
        <v>1</v>
      </c>
    </row>
    <row r="575" spans="1:11" x14ac:dyDescent="0.3">
      <c r="A575" t="s">
        <v>53</v>
      </c>
      <c r="B575">
        <v>25</v>
      </c>
      <c r="C575" s="6">
        <v>70000</v>
      </c>
      <c r="D575" t="s">
        <v>18</v>
      </c>
      <c r="E575" t="s">
        <v>12</v>
      </c>
      <c r="F575" t="s">
        <v>44</v>
      </c>
      <c r="G575" s="7">
        <v>43549</v>
      </c>
      <c r="H575" t="s">
        <v>31</v>
      </c>
      <c r="I575" t="s">
        <v>69</v>
      </c>
      <c r="J575" t="s">
        <v>28</v>
      </c>
      <c r="K575">
        <f>IF(HR_Data4[[#This Row],[Phone]]="Missing",0,1)</f>
        <v>1</v>
      </c>
    </row>
    <row r="576" spans="1:11" x14ac:dyDescent="0.3">
      <c r="A576" t="s">
        <v>60</v>
      </c>
      <c r="B576">
        <v>25</v>
      </c>
      <c r="C576" s="6">
        <v>65000</v>
      </c>
      <c r="D576" t="s">
        <v>11</v>
      </c>
      <c r="E576" t="s">
        <v>19</v>
      </c>
      <c r="F576" t="s">
        <v>43</v>
      </c>
      <c r="G576" s="7">
        <v>43881</v>
      </c>
      <c r="H576" t="s">
        <v>21</v>
      </c>
      <c r="I576" t="s">
        <v>22</v>
      </c>
      <c r="J576" t="s">
        <v>23</v>
      </c>
      <c r="K576">
        <f>IF(HR_Data4[[#This Row],[Phone]]="Missing",0,1)</f>
        <v>1</v>
      </c>
    </row>
    <row r="577" spans="1:11" x14ac:dyDescent="0.3">
      <c r="A577" t="s">
        <v>51</v>
      </c>
      <c r="B577">
        <v>25</v>
      </c>
      <c r="C577" s="6">
        <v>65000</v>
      </c>
      <c r="D577" t="s">
        <v>36</v>
      </c>
      <c r="E577" t="s">
        <v>30</v>
      </c>
      <c r="F577" t="s">
        <v>43</v>
      </c>
      <c r="G577" s="7">
        <v>43549</v>
      </c>
      <c r="H577" t="s">
        <v>27</v>
      </c>
      <c r="I577" t="s">
        <v>15</v>
      </c>
      <c r="J577" t="s">
        <v>69</v>
      </c>
      <c r="K577">
        <f>IF(HR_Data4[[#This Row],[Phone]]="Missing",0,1)</f>
        <v>0</v>
      </c>
    </row>
    <row r="578" spans="1:11" x14ac:dyDescent="0.3">
      <c r="A578" t="s">
        <v>59</v>
      </c>
      <c r="B578">
        <v>30</v>
      </c>
      <c r="C578" s="6">
        <v>60000</v>
      </c>
      <c r="D578" t="s">
        <v>11</v>
      </c>
      <c r="E578" t="s">
        <v>19</v>
      </c>
      <c r="F578" t="s">
        <v>39</v>
      </c>
      <c r="G578" s="7">
        <v>43195</v>
      </c>
      <c r="H578" t="s">
        <v>21</v>
      </c>
      <c r="I578" t="s">
        <v>69</v>
      </c>
      <c r="J578" t="s">
        <v>69</v>
      </c>
      <c r="K578">
        <f>IF(HR_Data4[[#This Row],[Phone]]="Missing",0,1)</f>
        <v>0</v>
      </c>
    </row>
    <row r="579" spans="1:11" x14ac:dyDescent="0.3">
      <c r="A579" t="s">
        <v>56</v>
      </c>
      <c r="B579">
        <v>36</v>
      </c>
      <c r="C579" s="6">
        <v>55000</v>
      </c>
      <c r="D579" t="s">
        <v>18</v>
      </c>
      <c r="E579" t="s">
        <v>30</v>
      </c>
      <c r="F579" t="s">
        <v>44</v>
      </c>
      <c r="G579" s="7">
        <v>43845</v>
      </c>
      <c r="H579" t="s">
        <v>41</v>
      </c>
      <c r="I579" t="s">
        <v>69</v>
      </c>
      <c r="J579" t="s">
        <v>23</v>
      </c>
      <c r="K579">
        <f>IF(HR_Data4[[#This Row],[Phone]]="Missing",0,1)</f>
        <v>1</v>
      </c>
    </row>
    <row r="580" spans="1:11" x14ac:dyDescent="0.3">
      <c r="A580" t="s">
        <v>60</v>
      </c>
      <c r="B580">
        <v>40</v>
      </c>
      <c r="C580" s="6" t="s">
        <v>68</v>
      </c>
      <c r="D580" t="s">
        <v>36</v>
      </c>
      <c r="E580" t="s">
        <v>30</v>
      </c>
      <c r="F580" t="s">
        <v>39</v>
      </c>
      <c r="G580" s="7">
        <v>43549</v>
      </c>
      <c r="H580" t="s">
        <v>21</v>
      </c>
      <c r="I580" t="s">
        <v>15</v>
      </c>
      <c r="J580" t="s">
        <v>23</v>
      </c>
      <c r="K580">
        <f>IF(HR_Data4[[#This Row],[Phone]]="Missing",0,1)</f>
        <v>1</v>
      </c>
    </row>
    <row r="581" spans="1:11" x14ac:dyDescent="0.3">
      <c r="A581" t="s">
        <v>59</v>
      </c>
      <c r="B581">
        <v>35</v>
      </c>
      <c r="C581" s="6">
        <v>70000</v>
      </c>
      <c r="D581" t="s">
        <v>18</v>
      </c>
      <c r="E581" t="s">
        <v>37</v>
      </c>
      <c r="F581" t="s">
        <v>44</v>
      </c>
      <c r="G581" s="7">
        <v>43195</v>
      </c>
      <c r="H581" t="s">
        <v>41</v>
      </c>
      <c r="I581" t="s">
        <v>32</v>
      </c>
      <c r="J581" t="s">
        <v>45</v>
      </c>
      <c r="K581">
        <f>IF(HR_Data4[[#This Row],[Phone]]="Missing",0,1)</f>
        <v>1</v>
      </c>
    </row>
    <row r="582" spans="1:11" x14ac:dyDescent="0.3">
      <c r="A582" t="s">
        <v>60</v>
      </c>
      <c r="B582">
        <v>50</v>
      </c>
      <c r="C582" s="6">
        <v>70000</v>
      </c>
      <c r="D582" t="s">
        <v>36</v>
      </c>
      <c r="E582" t="s">
        <v>19</v>
      </c>
      <c r="F582" t="s">
        <v>39</v>
      </c>
      <c r="G582" s="7">
        <v>43845</v>
      </c>
      <c r="H582" t="s">
        <v>41</v>
      </c>
      <c r="I582" t="s">
        <v>22</v>
      </c>
      <c r="J582" t="s">
        <v>28</v>
      </c>
      <c r="K582">
        <f>IF(HR_Data4[[#This Row],[Phone]]="Missing",0,1)</f>
        <v>1</v>
      </c>
    </row>
    <row r="583" spans="1:11" x14ac:dyDescent="0.3">
      <c r="A583" t="s">
        <v>53</v>
      </c>
      <c r="B583">
        <v>35</v>
      </c>
      <c r="C583" s="6">
        <v>65000</v>
      </c>
      <c r="D583" t="s">
        <v>36</v>
      </c>
      <c r="E583" t="s">
        <v>37</v>
      </c>
      <c r="F583" t="s">
        <v>39</v>
      </c>
      <c r="G583" s="7">
        <v>43549</v>
      </c>
      <c r="H583" t="s">
        <v>41</v>
      </c>
      <c r="I583" t="s">
        <v>32</v>
      </c>
      <c r="J583" t="s">
        <v>45</v>
      </c>
      <c r="K583">
        <f>IF(HR_Data4[[#This Row],[Phone]]="Missing",0,1)</f>
        <v>1</v>
      </c>
    </row>
    <row r="584" spans="1:11" x14ac:dyDescent="0.3">
      <c r="A584" t="s">
        <v>59</v>
      </c>
      <c r="B584">
        <v>50</v>
      </c>
      <c r="C584" s="6">
        <v>55000</v>
      </c>
      <c r="D584" t="s">
        <v>36</v>
      </c>
      <c r="E584" t="s">
        <v>30</v>
      </c>
      <c r="F584" t="s">
        <v>20</v>
      </c>
      <c r="G584" s="7">
        <v>43881</v>
      </c>
      <c r="H584" t="s">
        <v>41</v>
      </c>
      <c r="I584" t="s">
        <v>69</v>
      </c>
      <c r="J584" t="s">
        <v>28</v>
      </c>
      <c r="K584">
        <f>IF(HR_Data4[[#This Row],[Phone]]="Missing",0,1)</f>
        <v>1</v>
      </c>
    </row>
    <row r="585" spans="1:11" x14ac:dyDescent="0.3">
      <c r="A585" t="s">
        <v>57</v>
      </c>
      <c r="B585">
        <v>30</v>
      </c>
      <c r="C585" s="6">
        <v>60000</v>
      </c>
      <c r="D585" t="s">
        <v>36</v>
      </c>
      <c r="E585" t="s">
        <v>12</v>
      </c>
      <c r="F585" t="s">
        <v>39</v>
      </c>
      <c r="G585" s="7">
        <v>43881</v>
      </c>
      <c r="H585" t="s">
        <v>41</v>
      </c>
      <c r="I585" t="s">
        <v>22</v>
      </c>
      <c r="J585" t="s">
        <v>45</v>
      </c>
      <c r="K585">
        <f>IF(HR_Data4[[#This Row],[Phone]]="Missing",0,1)</f>
        <v>1</v>
      </c>
    </row>
    <row r="586" spans="1:11" x14ac:dyDescent="0.3">
      <c r="A586" t="s">
        <v>54</v>
      </c>
      <c r="B586">
        <v>25</v>
      </c>
      <c r="C586" s="6">
        <v>55000</v>
      </c>
      <c r="D586" t="s">
        <v>36</v>
      </c>
      <c r="E586" t="s">
        <v>30</v>
      </c>
      <c r="F586" t="s">
        <v>43</v>
      </c>
      <c r="G586" s="7">
        <v>43881</v>
      </c>
      <c r="H586" t="s">
        <v>14</v>
      </c>
      <c r="I586" t="s">
        <v>69</v>
      </c>
      <c r="J586" t="s">
        <v>23</v>
      </c>
      <c r="K586">
        <f>IF(HR_Data4[[#This Row],[Phone]]="Missing",0,1)</f>
        <v>1</v>
      </c>
    </row>
    <row r="587" spans="1:11" x14ac:dyDescent="0.3">
      <c r="A587" t="s">
        <v>57</v>
      </c>
      <c r="B587">
        <v>30</v>
      </c>
      <c r="C587" s="6">
        <v>50000</v>
      </c>
      <c r="D587" t="s">
        <v>11</v>
      </c>
      <c r="E587" t="s">
        <v>37</v>
      </c>
      <c r="F587" t="s">
        <v>39</v>
      </c>
      <c r="G587" s="7">
        <v>43195</v>
      </c>
      <c r="H587" t="s">
        <v>21</v>
      </c>
      <c r="I587" t="s">
        <v>69</v>
      </c>
      <c r="J587" t="s">
        <v>69</v>
      </c>
      <c r="K587">
        <f>IF(HR_Data4[[#This Row],[Phone]]="Missing",0,1)</f>
        <v>0</v>
      </c>
    </row>
    <row r="588" spans="1:11" x14ac:dyDescent="0.3">
      <c r="A588" t="s">
        <v>55</v>
      </c>
      <c r="B588">
        <v>36</v>
      </c>
      <c r="C588" s="6">
        <v>55000</v>
      </c>
      <c r="D588" t="s">
        <v>36</v>
      </c>
      <c r="E588" t="s">
        <v>19</v>
      </c>
      <c r="F588" t="s">
        <v>44</v>
      </c>
      <c r="G588" s="7">
        <v>43881</v>
      </c>
      <c r="H588" t="s">
        <v>14</v>
      </c>
      <c r="I588" t="s">
        <v>32</v>
      </c>
      <c r="J588" t="s">
        <v>28</v>
      </c>
      <c r="K588">
        <f>IF(HR_Data4[[#This Row],[Phone]]="Missing",0,1)</f>
        <v>1</v>
      </c>
    </row>
    <row r="589" spans="1:11" x14ac:dyDescent="0.3">
      <c r="A589" t="s">
        <v>54</v>
      </c>
      <c r="B589">
        <v>36</v>
      </c>
      <c r="C589" s="6">
        <v>50000</v>
      </c>
      <c r="D589" t="s">
        <v>36</v>
      </c>
      <c r="E589" t="s">
        <v>19</v>
      </c>
      <c r="F589" t="s">
        <v>39</v>
      </c>
      <c r="G589" s="7">
        <v>43800</v>
      </c>
      <c r="H589" t="s">
        <v>14</v>
      </c>
      <c r="I589" t="s">
        <v>32</v>
      </c>
      <c r="J589" t="s">
        <v>69</v>
      </c>
      <c r="K589">
        <f>IF(HR_Data4[[#This Row],[Phone]]="Missing",0,1)</f>
        <v>0</v>
      </c>
    </row>
    <row r="590" spans="1:11" x14ac:dyDescent="0.3">
      <c r="A590" t="s">
        <v>57</v>
      </c>
      <c r="B590">
        <v>50</v>
      </c>
      <c r="C590" s="6">
        <v>50000</v>
      </c>
      <c r="D590" t="s">
        <v>11</v>
      </c>
      <c r="E590" t="s">
        <v>37</v>
      </c>
      <c r="F590" t="s">
        <v>13</v>
      </c>
      <c r="G590" s="7">
        <v>43845</v>
      </c>
      <c r="H590" t="s">
        <v>31</v>
      </c>
      <c r="I590" t="s">
        <v>32</v>
      </c>
      <c r="J590" t="s">
        <v>69</v>
      </c>
      <c r="K590">
        <f>IF(HR_Data4[[#This Row],[Phone]]="Missing",0,1)</f>
        <v>0</v>
      </c>
    </row>
    <row r="591" spans="1:11" x14ac:dyDescent="0.3">
      <c r="A591" t="s">
        <v>54</v>
      </c>
      <c r="B591">
        <v>40</v>
      </c>
      <c r="C591" s="6">
        <v>60000</v>
      </c>
      <c r="D591" t="s">
        <v>11</v>
      </c>
      <c r="E591" t="s">
        <v>19</v>
      </c>
      <c r="F591" t="s">
        <v>44</v>
      </c>
      <c r="G591" s="7">
        <v>43195</v>
      </c>
      <c r="H591" t="s">
        <v>31</v>
      </c>
      <c r="I591" t="s">
        <v>15</v>
      </c>
      <c r="J591" t="s">
        <v>23</v>
      </c>
      <c r="K591">
        <f>IF(HR_Data4[[#This Row],[Phone]]="Missing",0,1)</f>
        <v>1</v>
      </c>
    </row>
    <row r="592" spans="1:11" x14ac:dyDescent="0.3">
      <c r="A592" t="s">
        <v>54</v>
      </c>
      <c r="B592">
        <v>40</v>
      </c>
      <c r="C592" s="6" t="s">
        <v>68</v>
      </c>
      <c r="D592" t="s">
        <v>11</v>
      </c>
      <c r="E592" t="s">
        <v>26</v>
      </c>
      <c r="F592" t="s">
        <v>13</v>
      </c>
      <c r="G592" s="7">
        <v>43881</v>
      </c>
      <c r="H592" t="s">
        <v>31</v>
      </c>
      <c r="I592" t="s">
        <v>69</v>
      </c>
      <c r="J592" t="s">
        <v>45</v>
      </c>
      <c r="K592">
        <f>IF(HR_Data4[[#This Row],[Phone]]="Missing",0,1)</f>
        <v>1</v>
      </c>
    </row>
    <row r="593" spans="1:11" x14ac:dyDescent="0.3">
      <c r="A593" t="s">
        <v>52</v>
      </c>
      <c r="B593">
        <v>50</v>
      </c>
      <c r="C593" s="6">
        <v>65000</v>
      </c>
      <c r="D593" t="s">
        <v>11</v>
      </c>
      <c r="E593" t="s">
        <v>12</v>
      </c>
      <c r="F593" t="s">
        <v>44</v>
      </c>
      <c r="G593" s="7">
        <v>43845</v>
      </c>
      <c r="H593" t="s">
        <v>27</v>
      </c>
      <c r="I593" t="s">
        <v>22</v>
      </c>
      <c r="J593" t="s">
        <v>45</v>
      </c>
      <c r="K593">
        <f>IF(HR_Data4[[#This Row],[Phone]]="Missing",0,1)</f>
        <v>1</v>
      </c>
    </row>
    <row r="594" spans="1:11" x14ac:dyDescent="0.3">
      <c r="A594" t="s">
        <v>56</v>
      </c>
      <c r="B594">
        <v>36</v>
      </c>
      <c r="C594" s="6">
        <v>55000</v>
      </c>
      <c r="D594" t="s">
        <v>11</v>
      </c>
      <c r="E594" t="s">
        <v>12</v>
      </c>
      <c r="F594" t="s">
        <v>43</v>
      </c>
      <c r="G594" s="7">
        <v>43549</v>
      </c>
      <c r="H594" t="s">
        <v>31</v>
      </c>
      <c r="I594" t="s">
        <v>32</v>
      </c>
      <c r="J594" t="s">
        <v>23</v>
      </c>
      <c r="K594">
        <f>IF(HR_Data4[[#This Row],[Phone]]="Missing",0,1)</f>
        <v>1</v>
      </c>
    </row>
    <row r="595" spans="1:11" x14ac:dyDescent="0.3">
      <c r="A595" t="s">
        <v>56</v>
      </c>
      <c r="B595">
        <v>36</v>
      </c>
      <c r="C595" s="6">
        <v>50000</v>
      </c>
      <c r="D595" t="s">
        <v>11</v>
      </c>
      <c r="E595" t="s">
        <v>12</v>
      </c>
      <c r="F595" t="s">
        <v>43</v>
      </c>
      <c r="G595" s="7">
        <v>43881</v>
      </c>
      <c r="H595" t="s">
        <v>21</v>
      </c>
      <c r="I595" t="s">
        <v>32</v>
      </c>
      <c r="J595" t="s">
        <v>69</v>
      </c>
      <c r="K595">
        <f>IF(HR_Data4[[#This Row],[Phone]]="Missing",0,1)</f>
        <v>0</v>
      </c>
    </row>
    <row r="596" spans="1:11" x14ac:dyDescent="0.3">
      <c r="A596" t="s">
        <v>52</v>
      </c>
      <c r="B596">
        <v>36</v>
      </c>
      <c r="C596" s="6">
        <v>55000</v>
      </c>
      <c r="D596" t="s">
        <v>36</v>
      </c>
      <c r="E596" t="s">
        <v>19</v>
      </c>
      <c r="F596" t="s">
        <v>43</v>
      </c>
      <c r="G596" s="7">
        <v>43845</v>
      </c>
      <c r="H596" t="s">
        <v>14</v>
      </c>
      <c r="I596" t="s">
        <v>15</v>
      </c>
      <c r="J596" t="s">
        <v>69</v>
      </c>
      <c r="K596">
        <f>IF(HR_Data4[[#This Row],[Phone]]="Missing",0,1)</f>
        <v>0</v>
      </c>
    </row>
    <row r="597" spans="1:11" x14ac:dyDescent="0.3">
      <c r="A597" t="s">
        <v>60</v>
      </c>
      <c r="B597">
        <v>30</v>
      </c>
      <c r="C597" s="6" t="s">
        <v>68</v>
      </c>
      <c r="D597" t="s">
        <v>36</v>
      </c>
      <c r="E597" t="s">
        <v>19</v>
      </c>
      <c r="F597" t="s">
        <v>13</v>
      </c>
      <c r="G597" s="7">
        <v>43800</v>
      </c>
      <c r="H597" t="s">
        <v>21</v>
      </c>
      <c r="I597" t="s">
        <v>22</v>
      </c>
      <c r="J597" t="s">
        <v>45</v>
      </c>
      <c r="K597">
        <f>IF(HR_Data4[[#This Row],[Phone]]="Missing",0,1)</f>
        <v>1</v>
      </c>
    </row>
    <row r="598" spans="1:11" x14ac:dyDescent="0.3">
      <c r="A598" t="s">
        <v>58</v>
      </c>
      <c r="B598">
        <v>36</v>
      </c>
      <c r="C598" s="6">
        <v>65000</v>
      </c>
      <c r="D598" t="s">
        <v>18</v>
      </c>
      <c r="E598" t="s">
        <v>30</v>
      </c>
      <c r="F598" t="s">
        <v>20</v>
      </c>
      <c r="G598" s="7">
        <v>43549</v>
      </c>
      <c r="H598" t="s">
        <v>31</v>
      </c>
      <c r="I598" t="s">
        <v>69</v>
      </c>
      <c r="J598" t="s">
        <v>28</v>
      </c>
      <c r="K598">
        <f>IF(HR_Data4[[#This Row],[Phone]]="Missing",0,1)</f>
        <v>1</v>
      </c>
    </row>
    <row r="599" spans="1:11" x14ac:dyDescent="0.3">
      <c r="A599" t="s">
        <v>60</v>
      </c>
      <c r="B599">
        <v>35</v>
      </c>
      <c r="C599" s="6" t="s">
        <v>68</v>
      </c>
      <c r="D599" t="s">
        <v>36</v>
      </c>
      <c r="E599" t="s">
        <v>30</v>
      </c>
      <c r="F599" t="s">
        <v>44</v>
      </c>
      <c r="G599" s="7">
        <v>43800</v>
      </c>
      <c r="H599" t="s">
        <v>27</v>
      </c>
      <c r="I599" t="s">
        <v>69</v>
      </c>
      <c r="J599" t="s">
        <v>69</v>
      </c>
      <c r="K599">
        <f>IF(HR_Data4[[#This Row],[Phone]]="Missing",0,1)</f>
        <v>0</v>
      </c>
    </row>
    <row r="600" spans="1:11" x14ac:dyDescent="0.3">
      <c r="A600" t="s">
        <v>59</v>
      </c>
      <c r="B600">
        <v>25</v>
      </c>
      <c r="C600" s="6">
        <v>65000</v>
      </c>
      <c r="D600" t="s">
        <v>36</v>
      </c>
      <c r="E600" t="s">
        <v>12</v>
      </c>
      <c r="F600" t="s">
        <v>43</v>
      </c>
      <c r="G600" s="7">
        <v>43845</v>
      </c>
      <c r="H600" t="s">
        <v>27</v>
      </c>
      <c r="I600" t="s">
        <v>15</v>
      </c>
      <c r="J600" t="s">
        <v>28</v>
      </c>
      <c r="K600">
        <f>IF(HR_Data4[[#This Row],[Phone]]="Missing",0,1)</f>
        <v>1</v>
      </c>
    </row>
    <row r="601" spans="1:11" x14ac:dyDescent="0.3">
      <c r="A601" t="s">
        <v>59</v>
      </c>
      <c r="B601">
        <v>36</v>
      </c>
      <c r="C601" s="6">
        <v>70000</v>
      </c>
      <c r="D601" t="s">
        <v>11</v>
      </c>
      <c r="E601" t="s">
        <v>26</v>
      </c>
      <c r="F601" t="s">
        <v>44</v>
      </c>
      <c r="G601" s="7">
        <v>43800</v>
      </c>
      <c r="H601" t="s">
        <v>14</v>
      </c>
      <c r="I601" t="s">
        <v>69</v>
      </c>
      <c r="J601" t="s">
        <v>69</v>
      </c>
      <c r="K601">
        <f>IF(HR_Data4[[#This Row],[Phone]]="Missing",0,1)</f>
        <v>0</v>
      </c>
    </row>
    <row r="602" spans="1:11" x14ac:dyDescent="0.3">
      <c r="A602" t="s">
        <v>54</v>
      </c>
      <c r="B602">
        <v>50</v>
      </c>
      <c r="C602" s="6">
        <v>65000</v>
      </c>
      <c r="D602" t="s">
        <v>11</v>
      </c>
      <c r="E602" t="s">
        <v>30</v>
      </c>
      <c r="F602" t="s">
        <v>13</v>
      </c>
      <c r="G602" s="7">
        <v>43845</v>
      </c>
      <c r="H602" t="s">
        <v>21</v>
      </c>
      <c r="I602" t="s">
        <v>69</v>
      </c>
      <c r="J602" t="s">
        <v>28</v>
      </c>
      <c r="K602">
        <f>IF(HR_Data4[[#This Row],[Phone]]="Missing",0,1)</f>
        <v>1</v>
      </c>
    </row>
    <row r="603" spans="1:11" x14ac:dyDescent="0.3">
      <c r="A603" t="s">
        <v>57</v>
      </c>
      <c r="B603">
        <v>25</v>
      </c>
      <c r="C603" s="6">
        <v>60000</v>
      </c>
      <c r="D603" t="s">
        <v>36</v>
      </c>
      <c r="E603" t="s">
        <v>30</v>
      </c>
      <c r="F603" t="s">
        <v>20</v>
      </c>
      <c r="G603" s="7">
        <v>43845</v>
      </c>
      <c r="H603" t="s">
        <v>41</v>
      </c>
      <c r="I603" t="s">
        <v>32</v>
      </c>
      <c r="J603" t="s">
        <v>69</v>
      </c>
      <c r="K603">
        <f>IF(HR_Data4[[#This Row],[Phone]]="Missing",0,1)</f>
        <v>0</v>
      </c>
    </row>
    <row r="604" spans="1:11" x14ac:dyDescent="0.3">
      <c r="A604" t="s">
        <v>57</v>
      </c>
      <c r="B604">
        <v>30</v>
      </c>
      <c r="C604" s="6" t="s">
        <v>68</v>
      </c>
      <c r="D604" t="s">
        <v>18</v>
      </c>
      <c r="E604" t="s">
        <v>19</v>
      </c>
      <c r="F604" t="s">
        <v>13</v>
      </c>
      <c r="G604" s="7">
        <v>43800</v>
      </c>
      <c r="H604" t="s">
        <v>21</v>
      </c>
      <c r="I604" t="s">
        <v>32</v>
      </c>
      <c r="J604" t="s">
        <v>28</v>
      </c>
      <c r="K604">
        <f>IF(HR_Data4[[#This Row],[Phone]]="Missing",0,1)</f>
        <v>1</v>
      </c>
    </row>
    <row r="605" spans="1:11" x14ac:dyDescent="0.3">
      <c r="A605" t="s">
        <v>56</v>
      </c>
      <c r="B605">
        <v>50</v>
      </c>
      <c r="C605" s="6">
        <v>50000</v>
      </c>
      <c r="D605" t="s">
        <v>11</v>
      </c>
      <c r="E605" t="s">
        <v>26</v>
      </c>
      <c r="F605" t="s">
        <v>44</v>
      </c>
      <c r="G605" s="7">
        <v>43845</v>
      </c>
      <c r="H605" t="s">
        <v>31</v>
      </c>
      <c r="I605" t="s">
        <v>22</v>
      </c>
      <c r="J605" t="s">
        <v>28</v>
      </c>
      <c r="K605">
        <f>IF(HR_Data4[[#This Row],[Phone]]="Missing",0,1)</f>
        <v>1</v>
      </c>
    </row>
    <row r="606" spans="1:11" x14ac:dyDescent="0.3">
      <c r="A606" t="s">
        <v>51</v>
      </c>
      <c r="B606">
        <v>25</v>
      </c>
      <c r="C606" s="6">
        <v>70000</v>
      </c>
      <c r="D606" t="s">
        <v>36</v>
      </c>
      <c r="E606" t="s">
        <v>12</v>
      </c>
      <c r="F606" t="s">
        <v>20</v>
      </c>
      <c r="G606" s="7">
        <v>43881</v>
      </c>
      <c r="H606" t="s">
        <v>41</v>
      </c>
      <c r="I606" t="s">
        <v>69</v>
      </c>
      <c r="J606" t="s">
        <v>28</v>
      </c>
      <c r="K606">
        <f>IF(HR_Data4[[#This Row],[Phone]]="Missing",0,1)</f>
        <v>1</v>
      </c>
    </row>
    <row r="607" spans="1:11" x14ac:dyDescent="0.3">
      <c r="A607" t="s">
        <v>60</v>
      </c>
      <c r="B607">
        <v>50</v>
      </c>
      <c r="C607" s="6">
        <v>60000</v>
      </c>
      <c r="D607" t="s">
        <v>36</v>
      </c>
      <c r="E607" t="s">
        <v>30</v>
      </c>
      <c r="F607" t="s">
        <v>20</v>
      </c>
      <c r="G607" s="7">
        <v>43845</v>
      </c>
      <c r="H607" t="s">
        <v>27</v>
      </c>
      <c r="I607" t="s">
        <v>32</v>
      </c>
      <c r="J607" t="s">
        <v>28</v>
      </c>
      <c r="K607">
        <f>IF(HR_Data4[[#This Row],[Phone]]="Missing",0,1)</f>
        <v>1</v>
      </c>
    </row>
    <row r="608" spans="1:11" x14ac:dyDescent="0.3">
      <c r="A608" t="s">
        <v>55</v>
      </c>
      <c r="B608">
        <v>30</v>
      </c>
      <c r="C608" s="6">
        <v>55000</v>
      </c>
      <c r="D608" t="s">
        <v>18</v>
      </c>
      <c r="E608" t="s">
        <v>26</v>
      </c>
      <c r="F608" t="s">
        <v>13</v>
      </c>
      <c r="G608" s="7">
        <v>43195</v>
      </c>
      <c r="H608" t="s">
        <v>14</v>
      </c>
      <c r="I608" t="s">
        <v>32</v>
      </c>
      <c r="J608" t="s">
        <v>23</v>
      </c>
      <c r="K608">
        <f>IF(HR_Data4[[#This Row],[Phone]]="Missing",0,1)</f>
        <v>1</v>
      </c>
    </row>
    <row r="609" spans="1:11" x14ac:dyDescent="0.3">
      <c r="A609" t="s">
        <v>53</v>
      </c>
      <c r="B609">
        <v>35</v>
      </c>
      <c r="C609" s="6" t="s">
        <v>68</v>
      </c>
      <c r="D609" t="s">
        <v>18</v>
      </c>
      <c r="E609" t="s">
        <v>26</v>
      </c>
      <c r="F609" t="s">
        <v>43</v>
      </c>
      <c r="G609" s="7">
        <v>43845</v>
      </c>
      <c r="H609" t="s">
        <v>14</v>
      </c>
      <c r="I609" t="s">
        <v>22</v>
      </c>
      <c r="J609" t="s">
        <v>69</v>
      </c>
      <c r="K609">
        <f>IF(HR_Data4[[#This Row],[Phone]]="Missing",0,1)</f>
        <v>0</v>
      </c>
    </row>
    <row r="610" spans="1:11" x14ac:dyDescent="0.3">
      <c r="A610" t="s">
        <v>57</v>
      </c>
      <c r="B610">
        <v>30</v>
      </c>
      <c r="C610" s="6">
        <v>50000</v>
      </c>
      <c r="D610" t="s">
        <v>11</v>
      </c>
      <c r="E610" t="s">
        <v>12</v>
      </c>
      <c r="F610" t="s">
        <v>44</v>
      </c>
      <c r="G610" s="7">
        <v>43195</v>
      </c>
      <c r="H610" t="s">
        <v>27</v>
      </c>
      <c r="I610" t="s">
        <v>69</v>
      </c>
      <c r="J610" t="s">
        <v>69</v>
      </c>
      <c r="K610">
        <f>IF(HR_Data4[[#This Row],[Phone]]="Missing",0,1)</f>
        <v>0</v>
      </c>
    </row>
    <row r="611" spans="1:11" x14ac:dyDescent="0.3">
      <c r="A611" t="s">
        <v>53</v>
      </c>
      <c r="B611">
        <v>30</v>
      </c>
      <c r="C611" s="6">
        <v>65000</v>
      </c>
      <c r="D611" t="s">
        <v>18</v>
      </c>
      <c r="E611" t="s">
        <v>26</v>
      </c>
      <c r="F611" t="s">
        <v>39</v>
      </c>
      <c r="G611" s="7">
        <v>43845</v>
      </c>
      <c r="H611" t="s">
        <v>31</v>
      </c>
      <c r="I611" t="s">
        <v>32</v>
      </c>
      <c r="J611" t="s">
        <v>69</v>
      </c>
      <c r="K611">
        <f>IF(HR_Data4[[#This Row],[Phone]]="Missing",0,1)</f>
        <v>0</v>
      </c>
    </row>
    <row r="612" spans="1:11" x14ac:dyDescent="0.3">
      <c r="A612" t="s">
        <v>54</v>
      </c>
      <c r="B612">
        <v>50</v>
      </c>
      <c r="C612" s="6">
        <v>50000</v>
      </c>
      <c r="D612" t="s">
        <v>36</v>
      </c>
      <c r="E612" t="s">
        <v>26</v>
      </c>
      <c r="F612" t="s">
        <v>39</v>
      </c>
      <c r="G612" s="7">
        <v>43845</v>
      </c>
      <c r="H612" t="s">
        <v>27</v>
      </c>
      <c r="I612" t="s">
        <v>15</v>
      </c>
      <c r="J612" t="s">
        <v>23</v>
      </c>
      <c r="K612">
        <f>IF(HR_Data4[[#This Row],[Phone]]="Missing",0,1)</f>
        <v>1</v>
      </c>
    </row>
    <row r="613" spans="1:11" x14ac:dyDescent="0.3">
      <c r="A613" t="s">
        <v>53</v>
      </c>
      <c r="B613">
        <v>40</v>
      </c>
      <c r="C613" s="6">
        <v>55000</v>
      </c>
      <c r="D613" t="s">
        <v>36</v>
      </c>
      <c r="E613" t="s">
        <v>26</v>
      </c>
      <c r="F613" t="s">
        <v>13</v>
      </c>
      <c r="G613" s="7">
        <v>43800</v>
      </c>
      <c r="H613" t="s">
        <v>31</v>
      </c>
      <c r="I613" t="s">
        <v>15</v>
      </c>
      <c r="J613" t="s">
        <v>23</v>
      </c>
      <c r="K613">
        <f>IF(HR_Data4[[#This Row],[Phone]]="Missing",0,1)</f>
        <v>1</v>
      </c>
    </row>
    <row r="614" spans="1:11" x14ac:dyDescent="0.3">
      <c r="A614" t="s">
        <v>55</v>
      </c>
      <c r="B614">
        <v>36</v>
      </c>
      <c r="C614" s="6">
        <v>70000</v>
      </c>
      <c r="D614" t="s">
        <v>18</v>
      </c>
      <c r="E614" t="s">
        <v>30</v>
      </c>
      <c r="F614" t="s">
        <v>44</v>
      </c>
      <c r="G614" s="7">
        <v>43881</v>
      </c>
      <c r="H614" t="s">
        <v>41</v>
      </c>
      <c r="I614" t="s">
        <v>69</v>
      </c>
      <c r="J614" t="s">
        <v>23</v>
      </c>
      <c r="K614">
        <f>IF(HR_Data4[[#This Row],[Phone]]="Missing",0,1)</f>
        <v>1</v>
      </c>
    </row>
    <row r="615" spans="1:11" x14ac:dyDescent="0.3">
      <c r="A615" t="s">
        <v>52</v>
      </c>
      <c r="B615">
        <v>36</v>
      </c>
      <c r="C615" s="6">
        <v>70000</v>
      </c>
      <c r="D615" t="s">
        <v>18</v>
      </c>
      <c r="E615" t="s">
        <v>12</v>
      </c>
      <c r="F615" t="s">
        <v>44</v>
      </c>
      <c r="G615" s="7">
        <v>43881</v>
      </c>
      <c r="H615" t="s">
        <v>27</v>
      </c>
      <c r="I615" t="s">
        <v>69</v>
      </c>
      <c r="J615" t="s">
        <v>23</v>
      </c>
      <c r="K615">
        <f>IF(HR_Data4[[#This Row],[Phone]]="Missing",0,1)</f>
        <v>1</v>
      </c>
    </row>
    <row r="616" spans="1:11" x14ac:dyDescent="0.3">
      <c r="A616" t="s">
        <v>55</v>
      </c>
      <c r="B616">
        <v>35</v>
      </c>
      <c r="C616" s="6" t="s">
        <v>68</v>
      </c>
      <c r="D616" t="s">
        <v>18</v>
      </c>
      <c r="E616" t="s">
        <v>26</v>
      </c>
      <c r="F616" t="s">
        <v>13</v>
      </c>
      <c r="G616" s="7">
        <v>43549</v>
      </c>
      <c r="H616" t="s">
        <v>31</v>
      </c>
      <c r="I616" t="s">
        <v>22</v>
      </c>
      <c r="J616" t="s">
        <v>28</v>
      </c>
      <c r="K616">
        <f>IF(HR_Data4[[#This Row],[Phone]]="Missing",0,1)</f>
        <v>1</v>
      </c>
    </row>
    <row r="617" spans="1:11" x14ac:dyDescent="0.3">
      <c r="A617" t="s">
        <v>53</v>
      </c>
      <c r="B617">
        <v>35</v>
      </c>
      <c r="C617" s="6">
        <v>70000</v>
      </c>
      <c r="D617" t="s">
        <v>18</v>
      </c>
      <c r="E617" t="s">
        <v>26</v>
      </c>
      <c r="F617" t="s">
        <v>44</v>
      </c>
      <c r="G617" s="7">
        <v>43800</v>
      </c>
      <c r="H617" t="s">
        <v>41</v>
      </c>
      <c r="I617" t="s">
        <v>15</v>
      </c>
      <c r="J617" t="s">
        <v>69</v>
      </c>
      <c r="K617">
        <f>IF(HR_Data4[[#This Row],[Phone]]="Missing",0,1)</f>
        <v>0</v>
      </c>
    </row>
    <row r="618" spans="1:11" x14ac:dyDescent="0.3">
      <c r="A618" t="s">
        <v>55</v>
      </c>
      <c r="B618">
        <v>36</v>
      </c>
      <c r="C618" s="6" t="s">
        <v>68</v>
      </c>
      <c r="D618" t="s">
        <v>11</v>
      </c>
      <c r="E618" t="s">
        <v>30</v>
      </c>
      <c r="F618" t="s">
        <v>43</v>
      </c>
      <c r="G618" s="7">
        <v>43800</v>
      </c>
      <c r="H618" t="s">
        <v>27</v>
      </c>
      <c r="I618" t="s">
        <v>15</v>
      </c>
      <c r="J618" t="s">
        <v>45</v>
      </c>
      <c r="K618">
        <f>IF(HR_Data4[[#This Row],[Phone]]="Missing",0,1)</f>
        <v>1</v>
      </c>
    </row>
    <row r="619" spans="1:11" x14ac:dyDescent="0.3">
      <c r="A619" t="s">
        <v>58</v>
      </c>
      <c r="B619">
        <v>40</v>
      </c>
      <c r="C619" s="6" t="s">
        <v>68</v>
      </c>
      <c r="D619" t="s">
        <v>18</v>
      </c>
      <c r="E619" t="s">
        <v>12</v>
      </c>
      <c r="F619" t="s">
        <v>13</v>
      </c>
      <c r="G619" s="7">
        <v>43881</v>
      </c>
      <c r="H619" t="s">
        <v>14</v>
      </c>
      <c r="I619" t="s">
        <v>69</v>
      </c>
      <c r="J619" t="s">
        <v>69</v>
      </c>
      <c r="K619">
        <f>IF(HR_Data4[[#This Row],[Phone]]="Missing",0,1)</f>
        <v>0</v>
      </c>
    </row>
    <row r="620" spans="1:11" x14ac:dyDescent="0.3">
      <c r="A620" t="s">
        <v>54</v>
      </c>
      <c r="B620">
        <v>36</v>
      </c>
      <c r="C620" s="6" t="s">
        <v>68</v>
      </c>
      <c r="D620" t="s">
        <v>11</v>
      </c>
      <c r="E620" t="s">
        <v>19</v>
      </c>
      <c r="F620" t="s">
        <v>43</v>
      </c>
      <c r="G620" s="7">
        <v>43800</v>
      </c>
      <c r="H620" t="s">
        <v>27</v>
      </c>
      <c r="I620" t="s">
        <v>69</v>
      </c>
      <c r="J620" t="s">
        <v>23</v>
      </c>
      <c r="K620">
        <f>IF(HR_Data4[[#This Row],[Phone]]="Missing",0,1)</f>
        <v>1</v>
      </c>
    </row>
    <row r="621" spans="1:11" x14ac:dyDescent="0.3">
      <c r="A621" t="s">
        <v>60</v>
      </c>
      <c r="B621">
        <v>40</v>
      </c>
      <c r="C621" s="6">
        <v>65000</v>
      </c>
      <c r="D621" t="s">
        <v>36</v>
      </c>
      <c r="E621" t="s">
        <v>30</v>
      </c>
      <c r="F621" t="s">
        <v>44</v>
      </c>
      <c r="G621" s="7">
        <v>43881</v>
      </c>
      <c r="H621" t="s">
        <v>21</v>
      </c>
      <c r="I621" t="s">
        <v>69</v>
      </c>
      <c r="J621" t="s">
        <v>69</v>
      </c>
      <c r="K621">
        <f>IF(HR_Data4[[#This Row],[Phone]]="Missing",0,1)</f>
        <v>0</v>
      </c>
    </row>
    <row r="622" spans="1:11" x14ac:dyDescent="0.3">
      <c r="A622" t="s">
        <v>52</v>
      </c>
      <c r="B622">
        <v>35</v>
      </c>
      <c r="C622" s="6">
        <v>60000</v>
      </c>
      <c r="D622" t="s">
        <v>18</v>
      </c>
      <c r="E622" t="s">
        <v>12</v>
      </c>
      <c r="F622" t="s">
        <v>13</v>
      </c>
      <c r="G622" s="7">
        <v>43800</v>
      </c>
      <c r="H622" t="s">
        <v>27</v>
      </c>
      <c r="I622" t="s">
        <v>69</v>
      </c>
      <c r="J622" t="s">
        <v>23</v>
      </c>
      <c r="K622">
        <f>IF(HR_Data4[[#This Row],[Phone]]="Missing",0,1)</f>
        <v>1</v>
      </c>
    </row>
    <row r="623" spans="1:11" x14ac:dyDescent="0.3">
      <c r="A623" t="s">
        <v>57</v>
      </c>
      <c r="B623">
        <v>25</v>
      </c>
      <c r="C623" s="6" t="s">
        <v>68</v>
      </c>
      <c r="D623" t="s">
        <v>11</v>
      </c>
      <c r="E623" t="s">
        <v>26</v>
      </c>
      <c r="F623" t="s">
        <v>44</v>
      </c>
      <c r="G623" s="7">
        <v>43845</v>
      </c>
      <c r="H623" t="s">
        <v>21</v>
      </c>
      <c r="I623" t="s">
        <v>15</v>
      </c>
      <c r="J623" t="s">
        <v>23</v>
      </c>
      <c r="K623">
        <f>IF(HR_Data4[[#This Row],[Phone]]="Missing",0,1)</f>
        <v>1</v>
      </c>
    </row>
    <row r="624" spans="1:11" x14ac:dyDescent="0.3">
      <c r="A624" t="s">
        <v>59</v>
      </c>
      <c r="B624">
        <v>50</v>
      </c>
      <c r="C624" s="6" t="s">
        <v>68</v>
      </c>
      <c r="D624" t="s">
        <v>18</v>
      </c>
      <c r="E624" t="s">
        <v>12</v>
      </c>
      <c r="F624" t="s">
        <v>13</v>
      </c>
      <c r="G624" s="7">
        <v>43881</v>
      </c>
      <c r="H624" t="s">
        <v>41</v>
      </c>
      <c r="I624" t="s">
        <v>22</v>
      </c>
      <c r="J624" t="s">
        <v>23</v>
      </c>
      <c r="K624">
        <f>IF(HR_Data4[[#This Row],[Phone]]="Missing",0,1)</f>
        <v>1</v>
      </c>
    </row>
    <row r="625" spans="1:11" x14ac:dyDescent="0.3">
      <c r="A625" t="s">
        <v>60</v>
      </c>
      <c r="B625">
        <v>35</v>
      </c>
      <c r="C625" s="6">
        <v>60000</v>
      </c>
      <c r="D625" t="s">
        <v>36</v>
      </c>
      <c r="E625" t="s">
        <v>12</v>
      </c>
      <c r="F625" t="s">
        <v>44</v>
      </c>
      <c r="G625" s="7">
        <v>43881</v>
      </c>
      <c r="H625" t="s">
        <v>27</v>
      </c>
      <c r="I625" t="s">
        <v>15</v>
      </c>
      <c r="J625" t="s">
        <v>23</v>
      </c>
      <c r="K625">
        <f>IF(HR_Data4[[#This Row],[Phone]]="Missing",0,1)</f>
        <v>1</v>
      </c>
    </row>
    <row r="626" spans="1:11" x14ac:dyDescent="0.3">
      <c r="A626" t="s">
        <v>59</v>
      </c>
      <c r="B626">
        <v>35</v>
      </c>
      <c r="C626" s="6">
        <v>50000</v>
      </c>
      <c r="D626" t="s">
        <v>36</v>
      </c>
      <c r="E626" t="s">
        <v>12</v>
      </c>
      <c r="F626" t="s">
        <v>43</v>
      </c>
      <c r="G626" s="7">
        <v>43195</v>
      </c>
      <c r="H626" t="s">
        <v>41</v>
      </c>
      <c r="I626" t="s">
        <v>69</v>
      </c>
      <c r="J626" t="s">
        <v>23</v>
      </c>
      <c r="K626">
        <f>IF(HR_Data4[[#This Row],[Phone]]="Missing",0,1)</f>
        <v>1</v>
      </c>
    </row>
    <row r="627" spans="1:11" x14ac:dyDescent="0.3">
      <c r="A627" t="s">
        <v>54</v>
      </c>
      <c r="B627">
        <v>30</v>
      </c>
      <c r="C627" s="6" t="s">
        <v>68</v>
      </c>
      <c r="D627" t="s">
        <v>36</v>
      </c>
      <c r="E627" t="s">
        <v>19</v>
      </c>
      <c r="F627" t="s">
        <v>43</v>
      </c>
      <c r="G627" s="7">
        <v>43800</v>
      </c>
      <c r="H627" t="s">
        <v>41</v>
      </c>
      <c r="I627" t="s">
        <v>15</v>
      </c>
      <c r="J627" t="s">
        <v>69</v>
      </c>
      <c r="K627">
        <f>IF(HR_Data4[[#This Row],[Phone]]="Missing",0,1)</f>
        <v>0</v>
      </c>
    </row>
    <row r="628" spans="1:11" x14ac:dyDescent="0.3">
      <c r="A628" t="s">
        <v>52</v>
      </c>
      <c r="B628">
        <v>30</v>
      </c>
      <c r="C628" s="6">
        <v>65000</v>
      </c>
      <c r="D628" t="s">
        <v>18</v>
      </c>
      <c r="E628" t="s">
        <v>12</v>
      </c>
      <c r="F628" t="s">
        <v>44</v>
      </c>
      <c r="G628" s="7">
        <v>43800</v>
      </c>
      <c r="H628" t="s">
        <v>31</v>
      </c>
      <c r="I628" t="s">
        <v>22</v>
      </c>
      <c r="J628" t="s">
        <v>69</v>
      </c>
      <c r="K628">
        <f>IF(HR_Data4[[#This Row],[Phone]]="Missing",0,1)</f>
        <v>0</v>
      </c>
    </row>
    <row r="629" spans="1:11" x14ac:dyDescent="0.3">
      <c r="A629" t="s">
        <v>56</v>
      </c>
      <c r="B629">
        <v>30</v>
      </c>
      <c r="C629" s="6">
        <v>70000</v>
      </c>
      <c r="D629" t="s">
        <v>18</v>
      </c>
      <c r="E629" t="s">
        <v>19</v>
      </c>
      <c r="F629" t="s">
        <v>13</v>
      </c>
      <c r="G629" s="7">
        <v>43881</v>
      </c>
      <c r="H629" t="s">
        <v>41</v>
      </c>
      <c r="I629" t="s">
        <v>32</v>
      </c>
      <c r="J629" t="s">
        <v>23</v>
      </c>
      <c r="K629">
        <f>IF(HR_Data4[[#This Row],[Phone]]="Missing",0,1)</f>
        <v>1</v>
      </c>
    </row>
    <row r="630" spans="1:11" x14ac:dyDescent="0.3">
      <c r="A630" t="s">
        <v>57</v>
      </c>
      <c r="B630">
        <v>50</v>
      </c>
      <c r="C630" s="6">
        <v>70000</v>
      </c>
      <c r="D630" t="s">
        <v>11</v>
      </c>
      <c r="E630" t="s">
        <v>26</v>
      </c>
      <c r="F630" t="s">
        <v>39</v>
      </c>
      <c r="G630" s="7">
        <v>43845</v>
      </c>
      <c r="H630" t="s">
        <v>41</v>
      </c>
      <c r="I630" t="s">
        <v>15</v>
      </c>
      <c r="J630" t="s">
        <v>23</v>
      </c>
      <c r="K630">
        <f>IF(HR_Data4[[#This Row],[Phone]]="Missing",0,1)</f>
        <v>1</v>
      </c>
    </row>
    <row r="631" spans="1:11" x14ac:dyDescent="0.3">
      <c r="A631" t="s">
        <v>58</v>
      </c>
      <c r="B631">
        <v>30</v>
      </c>
      <c r="C631" s="6">
        <v>55000</v>
      </c>
      <c r="D631" t="s">
        <v>36</v>
      </c>
      <c r="E631" t="s">
        <v>19</v>
      </c>
      <c r="F631" t="s">
        <v>43</v>
      </c>
      <c r="G631" s="7">
        <v>43845</v>
      </c>
      <c r="H631" t="s">
        <v>27</v>
      </c>
      <c r="I631" t="s">
        <v>69</v>
      </c>
      <c r="J631" t="s">
        <v>23</v>
      </c>
      <c r="K631">
        <f>IF(HR_Data4[[#This Row],[Phone]]="Missing",0,1)</f>
        <v>1</v>
      </c>
    </row>
    <row r="632" spans="1:11" x14ac:dyDescent="0.3">
      <c r="A632" t="s">
        <v>56</v>
      </c>
      <c r="B632">
        <v>40</v>
      </c>
      <c r="C632" s="6">
        <v>55000</v>
      </c>
      <c r="D632" t="s">
        <v>18</v>
      </c>
      <c r="E632" t="s">
        <v>26</v>
      </c>
      <c r="F632" t="s">
        <v>43</v>
      </c>
      <c r="G632" s="7">
        <v>43845</v>
      </c>
      <c r="H632" t="s">
        <v>27</v>
      </c>
      <c r="I632" t="s">
        <v>32</v>
      </c>
      <c r="J632" t="s">
        <v>23</v>
      </c>
      <c r="K632">
        <f>IF(HR_Data4[[#This Row],[Phone]]="Missing",0,1)</f>
        <v>1</v>
      </c>
    </row>
    <row r="633" spans="1:11" x14ac:dyDescent="0.3">
      <c r="A633" t="s">
        <v>54</v>
      </c>
      <c r="B633">
        <v>36</v>
      </c>
      <c r="C633" s="6">
        <v>70000</v>
      </c>
      <c r="D633" t="s">
        <v>36</v>
      </c>
      <c r="E633" t="s">
        <v>26</v>
      </c>
      <c r="F633" t="s">
        <v>39</v>
      </c>
      <c r="G633" s="7">
        <v>43800</v>
      </c>
      <c r="H633" t="s">
        <v>14</v>
      </c>
      <c r="I633" t="s">
        <v>69</v>
      </c>
      <c r="J633" t="s">
        <v>28</v>
      </c>
      <c r="K633">
        <f>IF(HR_Data4[[#This Row],[Phone]]="Missing",0,1)</f>
        <v>1</v>
      </c>
    </row>
    <row r="634" spans="1:11" x14ac:dyDescent="0.3">
      <c r="A634" t="s">
        <v>60</v>
      </c>
      <c r="B634">
        <v>25</v>
      </c>
      <c r="C634" s="6">
        <v>70000</v>
      </c>
      <c r="D634" t="s">
        <v>36</v>
      </c>
      <c r="E634" t="s">
        <v>19</v>
      </c>
      <c r="F634" t="s">
        <v>44</v>
      </c>
      <c r="G634" s="7">
        <v>43195</v>
      </c>
      <c r="H634" t="s">
        <v>31</v>
      </c>
      <c r="I634" t="s">
        <v>69</v>
      </c>
      <c r="J634" t="s">
        <v>28</v>
      </c>
      <c r="K634">
        <f>IF(HR_Data4[[#This Row],[Phone]]="Missing",0,1)</f>
        <v>1</v>
      </c>
    </row>
    <row r="635" spans="1:11" x14ac:dyDescent="0.3">
      <c r="A635" t="s">
        <v>58</v>
      </c>
      <c r="B635">
        <v>35</v>
      </c>
      <c r="C635" s="6">
        <v>65000</v>
      </c>
      <c r="D635" t="s">
        <v>11</v>
      </c>
      <c r="E635" t="s">
        <v>30</v>
      </c>
      <c r="F635" t="s">
        <v>13</v>
      </c>
      <c r="G635" s="7">
        <v>43881</v>
      </c>
      <c r="H635" t="s">
        <v>41</v>
      </c>
      <c r="I635" t="s">
        <v>69</v>
      </c>
      <c r="J635" t="s">
        <v>45</v>
      </c>
      <c r="K635">
        <f>IF(HR_Data4[[#This Row],[Phone]]="Missing",0,1)</f>
        <v>1</v>
      </c>
    </row>
    <row r="636" spans="1:11" x14ac:dyDescent="0.3">
      <c r="A636" t="s">
        <v>55</v>
      </c>
      <c r="B636">
        <v>40</v>
      </c>
      <c r="C636" s="6">
        <v>60000</v>
      </c>
      <c r="D636" t="s">
        <v>11</v>
      </c>
      <c r="E636" t="s">
        <v>37</v>
      </c>
      <c r="F636" t="s">
        <v>44</v>
      </c>
      <c r="G636" s="7">
        <v>43549</v>
      </c>
      <c r="H636" t="s">
        <v>31</v>
      </c>
      <c r="I636" t="s">
        <v>15</v>
      </c>
      <c r="J636" t="s">
        <v>23</v>
      </c>
      <c r="K636">
        <f>IF(HR_Data4[[#This Row],[Phone]]="Missing",0,1)</f>
        <v>1</v>
      </c>
    </row>
    <row r="637" spans="1:11" x14ac:dyDescent="0.3">
      <c r="A637" t="s">
        <v>53</v>
      </c>
      <c r="B637">
        <v>25</v>
      </c>
      <c r="C637" s="6">
        <v>55000</v>
      </c>
      <c r="D637" t="s">
        <v>11</v>
      </c>
      <c r="E637" t="s">
        <v>12</v>
      </c>
      <c r="F637" t="s">
        <v>20</v>
      </c>
      <c r="G637" s="7">
        <v>43195</v>
      </c>
      <c r="H637" t="s">
        <v>21</v>
      </c>
      <c r="I637" t="s">
        <v>69</v>
      </c>
      <c r="J637" t="s">
        <v>45</v>
      </c>
      <c r="K637">
        <f>IF(HR_Data4[[#This Row],[Phone]]="Missing",0,1)</f>
        <v>1</v>
      </c>
    </row>
    <row r="638" spans="1:11" x14ac:dyDescent="0.3">
      <c r="A638" t="s">
        <v>58</v>
      </c>
      <c r="B638">
        <v>40</v>
      </c>
      <c r="C638" s="6">
        <v>60000</v>
      </c>
      <c r="D638" t="s">
        <v>11</v>
      </c>
      <c r="E638" t="s">
        <v>37</v>
      </c>
      <c r="F638" t="s">
        <v>43</v>
      </c>
      <c r="G638" s="7">
        <v>43549</v>
      </c>
      <c r="H638" t="s">
        <v>41</v>
      </c>
      <c r="I638" t="s">
        <v>32</v>
      </c>
      <c r="J638" t="s">
        <v>69</v>
      </c>
      <c r="K638">
        <f>IF(HR_Data4[[#This Row],[Phone]]="Missing",0,1)</f>
        <v>0</v>
      </c>
    </row>
    <row r="639" spans="1:11" x14ac:dyDescent="0.3">
      <c r="A639" t="s">
        <v>54</v>
      </c>
      <c r="B639">
        <v>40</v>
      </c>
      <c r="C639" s="6">
        <v>65000</v>
      </c>
      <c r="D639" t="s">
        <v>36</v>
      </c>
      <c r="E639" t="s">
        <v>12</v>
      </c>
      <c r="F639" t="s">
        <v>20</v>
      </c>
      <c r="G639" s="7">
        <v>43195</v>
      </c>
      <c r="H639" t="s">
        <v>31</v>
      </c>
      <c r="I639" t="s">
        <v>22</v>
      </c>
      <c r="J639" t="s">
        <v>45</v>
      </c>
      <c r="K639">
        <f>IF(HR_Data4[[#This Row],[Phone]]="Missing",0,1)</f>
        <v>1</v>
      </c>
    </row>
    <row r="640" spans="1:11" x14ac:dyDescent="0.3">
      <c r="A640" t="s">
        <v>51</v>
      </c>
      <c r="B640">
        <v>35</v>
      </c>
      <c r="C640" s="6">
        <v>70000</v>
      </c>
      <c r="D640" t="s">
        <v>11</v>
      </c>
      <c r="E640" t="s">
        <v>12</v>
      </c>
      <c r="F640" t="s">
        <v>43</v>
      </c>
      <c r="G640" s="7">
        <v>43845</v>
      </c>
      <c r="H640" t="s">
        <v>14</v>
      </c>
      <c r="I640" t="s">
        <v>69</v>
      </c>
      <c r="J640" t="s">
        <v>69</v>
      </c>
      <c r="K640">
        <f>IF(HR_Data4[[#This Row],[Phone]]="Missing",0,1)</f>
        <v>0</v>
      </c>
    </row>
    <row r="641" spans="1:11" x14ac:dyDescent="0.3">
      <c r="A641" t="s">
        <v>53</v>
      </c>
      <c r="B641">
        <v>36</v>
      </c>
      <c r="C641" s="6" t="s">
        <v>68</v>
      </c>
      <c r="D641" t="s">
        <v>11</v>
      </c>
      <c r="E641" t="s">
        <v>26</v>
      </c>
      <c r="F641" t="s">
        <v>43</v>
      </c>
      <c r="G641" s="7">
        <v>43800</v>
      </c>
      <c r="H641" t="s">
        <v>14</v>
      </c>
      <c r="I641" t="s">
        <v>15</v>
      </c>
      <c r="J641" t="s">
        <v>28</v>
      </c>
      <c r="K641">
        <f>IF(HR_Data4[[#This Row],[Phone]]="Missing",0,1)</f>
        <v>1</v>
      </c>
    </row>
    <row r="642" spans="1:11" x14ac:dyDescent="0.3">
      <c r="A642" t="s">
        <v>59</v>
      </c>
      <c r="B642">
        <v>30</v>
      </c>
      <c r="C642" s="6">
        <v>60000</v>
      </c>
      <c r="D642" t="s">
        <v>11</v>
      </c>
      <c r="E642" t="s">
        <v>12</v>
      </c>
      <c r="F642" t="s">
        <v>20</v>
      </c>
      <c r="G642" s="7">
        <v>43549</v>
      </c>
      <c r="H642" t="s">
        <v>41</v>
      </c>
      <c r="I642" t="s">
        <v>69</v>
      </c>
      <c r="J642" t="s">
        <v>28</v>
      </c>
      <c r="K642">
        <f>IF(HR_Data4[[#This Row],[Phone]]="Missing",0,1)</f>
        <v>1</v>
      </c>
    </row>
    <row r="643" spans="1:11" x14ac:dyDescent="0.3">
      <c r="A643" t="s">
        <v>57</v>
      </c>
      <c r="B643">
        <v>50</v>
      </c>
      <c r="C643" s="6">
        <v>70000</v>
      </c>
      <c r="D643" t="s">
        <v>11</v>
      </c>
      <c r="E643" t="s">
        <v>12</v>
      </c>
      <c r="F643" t="s">
        <v>20</v>
      </c>
      <c r="G643" s="7">
        <v>43195</v>
      </c>
      <c r="H643" t="s">
        <v>21</v>
      </c>
      <c r="I643" t="s">
        <v>22</v>
      </c>
      <c r="J643" t="s">
        <v>23</v>
      </c>
      <c r="K643">
        <f>IF(HR_Data4[[#This Row],[Phone]]="Missing",0,1)</f>
        <v>1</v>
      </c>
    </row>
    <row r="644" spans="1:11" x14ac:dyDescent="0.3">
      <c r="A644" t="s">
        <v>59</v>
      </c>
      <c r="B644">
        <v>36</v>
      </c>
      <c r="C644" s="6">
        <v>70000</v>
      </c>
      <c r="D644" t="s">
        <v>36</v>
      </c>
      <c r="E644" t="s">
        <v>19</v>
      </c>
      <c r="F644" t="s">
        <v>44</v>
      </c>
      <c r="G644" s="7">
        <v>43800</v>
      </c>
      <c r="H644" t="s">
        <v>14</v>
      </c>
      <c r="I644" t="s">
        <v>32</v>
      </c>
      <c r="J644" t="s">
        <v>23</v>
      </c>
      <c r="K644">
        <f>IF(HR_Data4[[#This Row],[Phone]]="Missing",0,1)</f>
        <v>1</v>
      </c>
    </row>
    <row r="645" spans="1:11" x14ac:dyDescent="0.3">
      <c r="A645" t="s">
        <v>58</v>
      </c>
      <c r="B645">
        <v>50</v>
      </c>
      <c r="C645" s="6">
        <v>50000</v>
      </c>
      <c r="D645" t="s">
        <v>11</v>
      </c>
      <c r="E645" t="s">
        <v>37</v>
      </c>
      <c r="F645" t="s">
        <v>20</v>
      </c>
      <c r="G645" s="7">
        <v>43549</v>
      </c>
      <c r="H645" t="s">
        <v>14</v>
      </c>
      <c r="I645" t="s">
        <v>69</v>
      </c>
      <c r="J645" t="s">
        <v>69</v>
      </c>
      <c r="K645">
        <f>IF(HR_Data4[[#This Row],[Phone]]="Missing",0,1)</f>
        <v>0</v>
      </c>
    </row>
    <row r="646" spans="1:11" x14ac:dyDescent="0.3">
      <c r="A646" t="s">
        <v>59</v>
      </c>
      <c r="B646">
        <v>35</v>
      </c>
      <c r="C646" s="6">
        <v>60000</v>
      </c>
      <c r="D646" t="s">
        <v>36</v>
      </c>
      <c r="E646" t="s">
        <v>19</v>
      </c>
      <c r="F646" t="s">
        <v>44</v>
      </c>
      <c r="G646" s="7">
        <v>43881</v>
      </c>
      <c r="H646" t="s">
        <v>21</v>
      </c>
      <c r="I646" t="s">
        <v>69</v>
      </c>
      <c r="J646" t="s">
        <v>69</v>
      </c>
      <c r="K646">
        <f>IF(HR_Data4[[#This Row],[Phone]]="Missing",0,1)</f>
        <v>0</v>
      </c>
    </row>
    <row r="647" spans="1:11" x14ac:dyDescent="0.3">
      <c r="A647" t="s">
        <v>54</v>
      </c>
      <c r="B647">
        <v>35</v>
      </c>
      <c r="C647" s="6" t="s">
        <v>68</v>
      </c>
      <c r="D647" t="s">
        <v>18</v>
      </c>
      <c r="E647" t="s">
        <v>12</v>
      </c>
      <c r="F647" t="s">
        <v>44</v>
      </c>
      <c r="G647" s="7">
        <v>43195</v>
      </c>
      <c r="H647" t="s">
        <v>31</v>
      </c>
      <c r="I647" t="s">
        <v>22</v>
      </c>
      <c r="J647" t="s">
        <v>69</v>
      </c>
      <c r="K647">
        <f>IF(HR_Data4[[#This Row],[Phone]]="Missing",0,1)</f>
        <v>0</v>
      </c>
    </row>
    <row r="648" spans="1:11" x14ac:dyDescent="0.3">
      <c r="A648" t="s">
        <v>55</v>
      </c>
      <c r="B648">
        <v>35</v>
      </c>
      <c r="C648" s="6">
        <v>60000</v>
      </c>
      <c r="D648" t="s">
        <v>36</v>
      </c>
      <c r="E648" t="s">
        <v>26</v>
      </c>
      <c r="F648" t="s">
        <v>44</v>
      </c>
      <c r="G648" s="7">
        <v>43881</v>
      </c>
      <c r="H648" t="s">
        <v>14</v>
      </c>
      <c r="I648" t="s">
        <v>15</v>
      </c>
      <c r="J648" t="s">
        <v>23</v>
      </c>
      <c r="K648">
        <f>IF(HR_Data4[[#This Row],[Phone]]="Missing",0,1)</f>
        <v>1</v>
      </c>
    </row>
    <row r="649" spans="1:11" x14ac:dyDescent="0.3">
      <c r="A649" t="s">
        <v>60</v>
      </c>
      <c r="B649">
        <v>25</v>
      </c>
      <c r="C649" s="6">
        <v>70000</v>
      </c>
      <c r="D649" t="s">
        <v>36</v>
      </c>
      <c r="E649" t="s">
        <v>19</v>
      </c>
      <c r="F649" t="s">
        <v>43</v>
      </c>
      <c r="G649" s="7">
        <v>43845</v>
      </c>
      <c r="H649" t="s">
        <v>27</v>
      </c>
      <c r="I649" t="s">
        <v>32</v>
      </c>
      <c r="J649" t="s">
        <v>23</v>
      </c>
      <c r="K649">
        <f>IF(HR_Data4[[#This Row],[Phone]]="Missing",0,1)</f>
        <v>1</v>
      </c>
    </row>
    <row r="650" spans="1:11" x14ac:dyDescent="0.3">
      <c r="A650" t="s">
        <v>57</v>
      </c>
      <c r="B650">
        <v>50</v>
      </c>
      <c r="C650" s="6" t="s">
        <v>68</v>
      </c>
      <c r="D650" t="s">
        <v>11</v>
      </c>
      <c r="E650" t="s">
        <v>19</v>
      </c>
      <c r="F650" t="s">
        <v>43</v>
      </c>
      <c r="G650" s="7">
        <v>43881</v>
      </c>
      <c r="H650" t="s">
        <v>14</v>
      </c>
      <c r="I650" t="s">
        <v>22</v>
      </c>
      <c r="J650" t="s">
        <v>69</v>
      </c>
      <c r="K650">
        <f>IF(HR_Data4[[#This Row],[Phone]]="Missing",0,1)</f>
        <v>0</v>
      </c>
    </row>
    <row r="651" spans="1:11" x14ac:dyDescent="0.3">
      <c r="A651" t="s">
        <v>59</v>
      </c>
      <c r="B651">
        <v>36</v>
      </c>
      <c r="C651" s="6">
        <v>65000</v>
      </c>
      <c r="D651" t="s">
        <v>18</v>
      </c>
      <c r="E651" t="s">
        <v>30</v>
      </c>
      <c r="F651" t="s">
        <v>20</v>
      </c>
      <c r="G651" s="7">
        <v>43881</v>
      </c>
      <c r="H651" t="s">
        <v>31</v>
      </c>
      <c r="I651" t="s">
        <v>69</v>
      </c>
      <c r="J651" t="s">
        <v>69</v>
      </c>
      <c r="K651">
        <f>IF(HR_Data4[[#This Row],[Phone]]="Missing",0,1)</f>
        <v>0</v>
      </c>
    </row>
    <row r="652" spans="1:11" x14ac:dyDescent="0.3">
      <c r="A652" t="s">
        <v>59</v>
      </c>
      <c r="B652">
        <v>36</v>
      </c>
      <c r="C652" s="6">
        <v>50000</v>
      </c>
      <c r="D652" t="s">
        <v>18</v>
      </c>
      <c r="E652" t="s">
        <v>12</v>
      </c>
      <c r="F652" t="s">
        <v>43</v>
      </c>
      <c r="G652" s="7">
        <v>43195</v>
      </c>
      <c r="H652" t="s">
        <v>31</v>
      </c>
      <c r="I652" t="s">
        <v>32</v>
      </c>
      <c r="J652" t="s">
        <v>69</v>
      </c>
      <c r="K652">
        <f>IF(HR_Data4[[#This Row],[Phone]]="Missing",0,1)</f>
        <v>0</v>
      </c>
    </row>
    <row r="653" spans="1:11" x14ac:dyDescent="0.3">
      <c r="A653" t="s">
        <v>58</v>
      </c>
      <c r="B653">
        <v>40</v>
      </c>
      <c r="C653" s="6">
        <v>70000</v>
      </c>
      <c r="D653" t="s">
        <v>18</v>
      </c>
      <c r="E653" t="s">
        <v>26</v>
      </c>
      <c r="F653" t="s">
        <v>20</v>
      </c>
      <c r="G653" s="7">
        <v>43845</v>
      </c>
      <c r="H653" t="s">
        <v>41</v>
      </c>
      <c r="I653" t="s">
        <v>69</v>
      </c>
      <c r="J653" t="s">
        <v>28</v>
      </c>
      <c r="K653">
        <f>IF(HR_Data4[[#This Row],[Phone]]="Missing",0,1)</f>
        <v>1</v>
      </c>
    </row>
    <row r="654" spans="1:11" x14ac:dyDescent="0.3">
      <c r="A654" t="s">
        <v>60</v>
      </c>
      <c r="B654">
        <v>40</v>
      </c>
      <c r="C654" s="6">
        <v>55000</v>
      </c>
      <c r="D654" t="s">
        <v>18</v>
      </c>
      <c r="E654" t="s">
        <v>19</v>
      </c>
      <c r="F654" t="s">
        <v>43</v>
      </c>
      <c r="G654" s="7">
        <v>43881</v>
      </c>
      <c r="H654" t="s">
        <v>27</v>
      </c>
      <c r="I654" t="s">
        <v>22</v>
      </c>
      <c r="J654" t="s">
        <v>45</v>
      </c>
      <c r="K654">
        <f>IF(HR_Data4[[#This Row],[Phone]]="Missing",0,1)</f>
        <v>1</v>
      </c>
    </row>
    <row r="655" spans="1:11" x14ac:dyDescent="0.3">
      <c r="A655" t="s">
        <v>56</v>
      </c>
      <c r="B655">
        <v>40</v>
      </c>
      <c r="C655" s="6">
        <v>55000</v>
      </c>
      <c r="D655" t="s">
        <v>36</v>
      </c>
      <c r="E655" t="s">
        <v>19</v>
      </c>
      <c r="F655" t="s">
        <v>13</v>
      </c>
      <c r="G655" s="7">
        <v>43800</v>
      </c>
      <c r="H655" t="s">
        <v>31</v>
      </c>
      <c r="I655" t="s">
        <v>69</v>
      </c>
      <c r="J655" t="s">
        <v>45</v>
      </c>
      <c r="K655">
        <f>IF(HR_Data4[[#This Row],[Phone]]="Missing",0,1)</f>
        <v>1</v>
      </c>
    </row>
    <row r="656" spans="1:11" x14ac:dyDescent="0.3">
      <c r="A656" t="s">
        <v>59</v>
      </c>
      <c r="B656">
        <v>35</v>
      </c>
      <c r="C656" s="6">
        <v>50000</v>
      </c>
      <c r="D656" t="s">
        <v>18</v>
      </c>
      <c r="E656" t="s">
        <v>26</v>
      </c>
      <c r="F656" t="s">
        <v>13</v>
      </c>
      <c r="G656" s="7">
        <v>43549</v>
      </c>
      <c r="H656" t="s">
        <v>21</v>
      </c>
      <c r="I656" t="s">
        <v>69</v>
      </c>
      <c r="J656" t="s">
        <v>23</v>
      </c>
      <c r="K656">
        <f>IF(HR_Data4[[#This Row],[Phone]]="Missing",0,1)</f>
        <v>1</v>
      </c>
    </row>
    <row r="657" spans="1:11" x14ac:dyDescent="0.3">
      <c r="A657" t="s">
        <v>54</v>
      </c>
      <c r="B657">
        <v>36</v>
      </c>
      <c r="C657" s="6">
        <v>65000</v>
      </c>
      <c r="D657" t="s">
        <v>36</v>
      </c>
      <c r="E657" t="s">
        <v>12</v>
      </c>
      <c r="F657" t="s">
        <v>20</v>
      </c>
      <c r="G657" s="7">
        <v>43881</v>
      </c>
      <c r="H657" t="s">
        <v>27</v>
      </c>
      <c r="I657" t="s">
        <v>69</v>
      </c>
      <c r="J657" t="s">
        <v>28</v>
      </c>
      <c r="K657">
        <f>IF(HR_Data4[[#This Row],[Phone]]="Missing",0,1)</f>
        <v>1</v>
      </c>
    </row>
    <row r="658" spans="1:11" x14ac:dyDescent="0.3">
      <c r="A658" t="s">
        <v>51</v>
      </c>
      <c r="B658">
        <v>50</v>
      </c>
      <c r="C658" s="6">
        <v>70000</v>
      </c>
      <c r="D658" t="s">
        <v>36</v>
      </c>
      <c r="E658" t="s">
        <v>30</v>
      </c>
      <c r="F658" t="s">
        <v>43</v>
      </c>
      <c r="G658" s="7">
        <v>43845</v>
      </c>
      <c r="H658" t="s">
        <v>27</v>
      </c>
      <c r="I658" t="s">
        <v>15</v>
      </c>
      <c r="J658" t="s">
        <v>69</v>
      </c>
      <c r="K658">
        <f>IF(HR_Data4[[#This Row],[Phone]]="Missing",0,1)</f>
        <v>0</v>
      </c>
    </row>
    <row r="659" spans="1:11" x14ac:dyDescent="0.3">
      <c r="A659" t="s">
        <v>57</v>
      </c>
      <c r="B659">
        <v>35</v>
      </c>
      <c r="C659" s="6">
        <v>60000</v>
      </c>
      <c r="D659" t="s">
        <v>36</v>
      </c>
      <c r="E659" t="s">
        <v>19</v>
      </c>
      <c r="F659" t="s">
        <v>43</v>
      </c>
      <c r="G659" s="7">
        <v>43881</v>
      </c>
      <c r="H659" t="s">
        <v>21</v>
      </c>
      <c r="I659" t="s">
        <v>69</v>
      </c>
      <c r="J659" t="s">
        <v>23</v>
      </c>
      <c r="K659">
        <f>IF(HR_Data4[[#This Row],[Phone]]="Missing",0,1)</f>
        <v>1</v>
      </c>
    </row>
    <row r="660" spans="1:11" x14ac:dyDescent="0.3">
      <c r="A660" t="s">
        <v>59</v>
      </c>
      <c r="B660">
        <v>25</v>
      </c>
      <c r="C660" s="6">
        <v>50000</v>
      </c>
      <c r="D660" t="s">
        <v>18</v>
      </c>
      <c r="E660" t="s">
        <v>30</v>
      </c>
      <c r="F660" t="s">
        <v>44</v>
      </c>
      <c r="G660" s="7">
        <v>43549</v>
      </c>
      <c r="H660" t="s">
        <v>14</v>
      </c>
      <c r="I660" t="s">
        <v>69</v>
      </c>
      <c r="J660" t="s">
        <v>28</v>
      </c>
      <c r="K660">
        <f>IF(HR_Data4[[#This Row],[Phone]]="Missing",0,1)</f>
        <v>1</v>
      </c>
    </row>
    <row r="661" spans="1:11" x14ac:dyDescent="0.3">
      <c r="A661" t="s">
        <v>54</v>
      </c>
      <c r="B661">
        <v>40</v>
      </c>
      <c r="C661" s="6">
        <v>65000</v>
      </c>
      <c r="D661" t="s">
        <v>11</v>
      </c>
      <c r="E661" t="s">
        <v>37</v>
      </c>
      <c r="F661" t="s">
        <v>39</v>
      </c>
      <c r="G661" s="7">
        <v>43845</v>
      </c>
      <c r="H661" t="s">
        <v>21</v>
      </c>
      <c r="I661" t="s">
        <v>69</v>
      </c>
      <c r="J661" t="s">
        <v>69</v>
      </c>
      <c r="K661">
        <f>IF(HR_Data4[[#This Row],[Phone]]="Missing",0,1)</f>
        <v>0</v>
      </c>
    </row>
    <row r="662" spans="1:11" x14ac:dyDescent="0.3">
      <c r="A662" t="s">
        <v>54</v>
      </c>
      <c r="B662">
        <v>35</v>
      </c>
      <c r="C662" s="6">
        <v>60000</v>
      </c>
      <c r="D662" t="s">
        <v>11</v>
      </c>
      <c r="E662" t="s">
        <v>12</v>
      </c>
      <c r="F662" t="s">
        <v>20</v>
      </c>
      <c r="G662" s="7">
        <v>43195</v>
      </c>
      <c r="H662" t="s">
        <v>21</v>
      </c>
      <c r="I662" t="s">
        <v>32</v>
      </c>
      <c r="J662" t="s">
        <v>28</v>
      </c>
      <c r="K662">
        <f>IF(HR_Data4[[#This Row],[Phone]]="Missing",0,1)</f>
        <v>1</v>
      </c>
    </row>
    <row r="663" spans="1:11" x14ac:dyDescent="0.3">
      <c r="A663" t="s">
        <v>57</v>
      </c>
      <c r="B663">
        <v>35</v>
      </c>
      <c r="C663" s="6">
        <v>55000</v>
      </c>
      <c r="D663" t="s">
        <v>18</v>
      </c>
      <c r="E663" t="s">
        <v>37</v>
      </c>
      <c r="F663" t="s">
        <v>39</v>
      </c>
      <c r="G663" s="7">
        <v>43845</v>
      </c>
      <c r="H663" t="s">
        <v>14</v>
      </c>
      <c r="I663" t="s">
        <v>69</v>
      </c>
      <c r="J663" t="s">
        <v>23</v>
      </c>
      <c r="K663">
        <f>IF(HR_Data4[[#This Row],[Phone]]="Missing",0,1)</f>
        <v>1</v>
      </c>
    </row>
    <row r="664" spans="1:11" x14ac:dyDescent="0.3">
      <c r="A664" t="s">
        <v>56</v>
      </c>
      <c r="B664">
        <v>25</v>
      </c>
      <c r="C664" s="6">
        <v>55000</v>
      </c>
      <c r="D664" t="s">
        <v>11</v>
      </c>
      <c r="E664" t="s">
        <v>37</v>
      </c>
      <c r="F664" t="s">
        <v>39</v>
      </c>
      <c r="G664" s="7">
        <v>43195</v>
      </c>
      <c r="H664" t="s">
        <v>14</v>
      </c>
      <c r="I664" t="s">
        <v>69</v>
      </c>
      <c r="J664" t="s">
        <v>45</v>
      </c>
      <c r="K664">
        <f>IF(HR_Data4[[#This Row],[Phone]]="Missing",0,1)</f>
        <v>1</v>
      </c>
    </row>
    <row r="665" spans="1:11" x14ac:dyDescent="0.3">
      <c r="A665" t="s">
        <v>54</v>
      </c>
      <c r="B665">
        <v>30</v>
      </c>
      <c r="C665" s="6">
        <v>60000</v>
      </c>
      <c r="D665" t="s">
        <v>11</v>
      </c>
      <c r="E665" t="s">
        <v>37</v>
      </c>
      <c r="F665" t="s">
        <v>20</v>
      </c>
      <c r="G665" s="7">
        <v>43845</v>
      </c>
      <c r="H665" t="s">
        <v>14</v>
      </c>
      <c r="I665" t="s">
        <v>22</v>
      </c>
      <c r="J665" t="s">
        <v>69</v>
      </c>
      <c r="K665">
        <f>IF(HR_Data4[[#This Row],[Phone]]="Missing",0,1)</f>
        <v>0</v>
      </c>
    </row>
    <row r="666" spans="1:11" x14ac:dyDescent="0.3">
      <c r="A666" t="s">
        <v>51</v>
      </c>
      <c r="B666">
        <v>36</v>
      </c>
      <c r="C666" s="6">
        <v>50000</v>
      </c>
      <c r="D666" t="s">
        <v>36</v>
      </c>
      <c r="E666" t="s">
        <v>12</v>
      </c>
      <c r="F666" t="s">
        <v>43</v>
      </c>
      <c r="G666" s="7">
        <v>43549</v>
      </c>
      <c r="H666" t="s">
        <v>14</v>
      </c>
      <c r="I666" t="s">
        <v>15</v>
      </c>
      <c r="J666" t="s">
        <v>69</v>
      </c>
      <c r="K666">
        <f>IF(HR_Data4[[#This Row],[Phone]]="Missing",0,1)</f>
        <v>0</v>
      </c>
    </row>
    <row r="667" spans="1:11" x14ac:dyDescent="0.3">
      <c r="A667" t="s">
        <v>54</v>
      </c>
      <c r="B667">
        <v>50</v>
      </c>
      <c r="C667" s="6">
        <v>55000</v>
      </c>
      <c r="D667" t="s">
        <v>36</v>
      </c>
      <c r="E667" t="s">
        <v>12</v>
      </c>
      <c r="F667" t="s">
        <v>20</v>
      </c>
      <c r="G667" s="7">
        <v>43549</v>
      </c>
      <c r="H667" t="s">
        <v>14</v>
      </c>
      <c r="I667" t="s">
        <v>32</v>
      </c>
      <c r="J667" t="s">
        <v>28</v>
      </c>
      <c r="K667">
        <f>IF(HR_Data4[[#This Row],[Phone]]="Missing",0,1)</f>
        <v>1</v>
      </c>
    </row>
    <row r="668" spans="1:11" x14ac:dyDescent="0.3">
      <c r="A668" t="s">
        <v>54</v>
      </c>
      <c r="B668">
        <v>30</v>
      </c>
      <c r="C668" s="6">
        <v>70000</v>
      </c>
      <c r="D668" t="s">
        <v>18</v>
      </c>
      <c r="E668" t="s">
        <v>26</v>
      </c>
      <c r="F668" t="s">
        <v>39</v>
      </c>
      <c r="G668" s="7">
        <v>43845</v>
      </c>
      <c r="H668" t="s">
        <v>21</v>
      </c>
      <c r="I668" t="s">
        <v>69</v>
      </c>
      <c r="J668" t="s">
        <v>23</v>
      </c>
      <c r="K668">
        <f>IF(HR_Data4[[#This Row],[Phone]]="Missing",0,1)</f>
        <v>1</v>
      </c>
    </row>
    <row r="669" spans="1:11" x14ac:dyDescent="0.3">
      <c r="A669" t="s">
        <v>54</v>
      </c>
      <c r="B669">
        <v>40</v>
      </c>
      <c r="C669" s="6" t="s">
        <v>68</v>
      </c>
      <c r="D669" t="s">
        <v>18</v>
      </c>
      <c r="E669" t="s">
        <v>30</v>
      </c>
      <c r="F669" t="s">
        <v>43</v>
      </c>
      <c r="G669" s="7">
        <v>43881</v>
      </c>
      <c r="H669" t="s">
        <v>41</v>
      </c>
      <c r="I669" t="s">
        <v>22</v>
      </c>
      <c r="J669" t="s">
        <v>23</v>
      </c>
      <c r="K669">
        <f>IF(HR_Data4[[#This Row],[Phone]]="Missing",0,1)</f>
        <v>1</v>
      </c>
    </row>
    <row r="670" spans="1:11" x14ac:dyDescent="0.3">
      <c r="A670" t="s">
        <v>55</v>
      </c>
      <c r="B670">
        <v>35</v>
      </c>
      <c r="C670" s="6">
        <v>60000</v>
      </c>
      <c r="D670" t="s">
        <v>11</v>
      </c>
      <c r="E670" t="s">
        <v>30</v>
      </c>
      <c r="F670" t="s">
        <v>13</v>
      </c>
      <c r="G670" s="7">
        <v>43549</v>
      </c>
      <c r="H670" t="s">
        <v>41</v>
      </c>
      <c r="I670" t="s">
        <v>15</v>
      </c>
      <c r="J670" t="s">
        <v>69</v>
      </c>
      <c r="K670">
        <f>IF(HR_Data4[[#This Row],[Phone]]="Missing",0,1)</f>
        <v>0</v>
      </c>
    </row>
    <row r="671" spans="1:11" x14ac:dyDescent="0.3">
      <c r="A671" t="s">
        <v>55</v>
      </c>
      <c r="B671">
        <v>25</v>
      </c>
      <c r="C671" s="6">
        <v>60000</v>
      </c>
      <c r="D671" t="s">
        <v>36</v>
      </c>
      <c r="E671" t="s">
        <v>26</v>
      </c>
      <c r="F671" t="s">
        <v>20</v>
      </c>
      <c r="G671" s="7">
        <v>43195</v>
      </c>
      <c r="H671" t="s">
        <v>31</v>
      </c>
      <c r="I671" t="s">
        <v>32</v>
      </c>
      <c r="J671" t="s">
        <v>23</v>
      </c>
      <c r="K671">
        <f>IF(HR_Data4[[#This Row],[Phone]]="Missing",0,1)</f>
        <v>1</v>
      </c>
    </row>
    <row r="672" spans="1:11" x14ac:dyDescent="0.3">
      <c r="A672" t="s">
        <v>56</v>
      </c>
      <c r="B672">
        <v>25</v>
      </c>
      <c r="C672" s="6">
        <v>55000</v>
      </c>
      <c r="D672" t="s">
        <v>18</v>
      </c>
      <c r="E672" t="s">
        <v>26</v>
      </c>
      <c r="F672" t="s">
        <v>20</v>
      </c>
      <c r="G672" s="7">
        <v>43195</v>
      </c>
      <c r="H672" t="s">
        <v>41</v>
      </c>
      <c r="I672" t="s">
        <v>32</v>
      </c>
      <c r="J672" t="s">
        <v>23</v>
      </c>
      <c r="K672">
        <f>IF(HR_Data4[[#This Row],[Phone]]="Missing",0,1)</f>
        <v>1</v>
      </c>
    </row>
    <row r="673" spans="1:11" x14ac:dyDescent="0.3">
      <c r="A673" t="s">
        <v>59</v>
      </c>
      <c r="B673">
        <v>36</v>
      </c>
      <c r="C673" s="6">
        <v>50000</v>
      </c>
      <c r="D673" t="s">
        <v>18</v>
      </c>
      <c r="E673" t="s">
        <v>37</v>
      </c>
      <c r="F673" t="s">
        <v>43</v>
      </c>
      <c r="G673" s="7">
        <v>43800</v>
      </c>
      <c r="H673" t="s">
        <v>41</v>
      </c>
      <c r="I673" t="s">
        <v>69</v>
      </c>
      <c r="J673" t="s">
        <v>69</v>
      </c>
      <c r="K673">
        <f>IF(HR_Data4[[#This Row],[Phone]]="Missing",0,1)</f>
        <v>0</v>
      </c>
    </row>
    <row r="674" spans="1:11" x14ac:dyDescent="0.3">
      <c r="A674" t="s">
        <v>54</v>
      </c>
      <c r="B674">
        <v>30</v>
      </c>
      <c r="C674" s="6">
        <v>70000</v>
      </c>
      <c r="D674" t="s">
        <v>18</v>
      </c>
      <c r="E674" t="s">
        <v>26</v>
      </c>
      <c r="F674" t="s">
        <v>13</v>
      </c>
      <c r="G674" s="7">
        <v>43195</v>
      </c>
      <c r="H674" t="s">
        <v>21</v>
      </c>
      <c r="I674" t="s">
        <v>32</v>
      </c>
      <c r="J674" t="s">
        <v>69</v>
      </c>
      <c r="K674">
        <f>IF(HR_Data4[[#This Row],[Phone]]="Missing",0,1)</f>
        <v>0</v>
      </c>
    </row>
    <row r="675" spans="1:11" x14ac:dyDescent="0.3">
      <c r="A675" t="s">
        <v>60</v>
      </c>
      <c r="B675">
        <v>36</v>
      </c>
      <c r="C675" s="6">
        <v>50000</v>
      </c>
      <c r="D675" t="s">
        <v>18</v>
      </c>
      <c r="E675" t="s">
        <v>19</v>
      </c>
      <c r="F675" t="s">
        <v>13</v>
      </c>
      <c r="G675" s="7">
        <v>43800</v>
      </c>
      <c r="H675" t="s">
        <v>14</v>
      </c>
      <c r="I675" t="s">
        <v>22</v>
      </c>
      <c r="J675" t="s">
        <v>45</v>
      </c>
      <c r="K675">
        <f>IF(HR_Data4[[#This Row],[Phone]]="Missing",0,1)</f>
        <v>1</v>
      </c>
    </row>
    <row r="676" spans="1:11" x14ac:dyDescent="0.3">
      <c r="A676" t="s">
        <v>59</v>
      </c>
      <c r="B676">
        <v>35</v>
      </c>
      <c r="C676" s="6">
        <v>65000</v>
      </c>
      <c r="D676" t="s">
        <v>18</v>
      </c>
      <c r="E676" t="s">
        <v>30</v>
      </c>
      <c r="F676" t="s">
        <v>43</v>
      </c>
      <c r="G676" s="7">
        <v>43845</v>
      </c>
      <c r="H676" t="s">
        <v>14</v>
      </c>
      <c r="I676" t="s">
        <v>32</v>
      </c>
      <c r="J676" t="s">
        <v>45</v>
      </c>
      <c r="K676">
        <f>IF(HR_Data4[[#This Row],[Phone]]="Missing",0,1)</f>
        <v>1</v>
      </c>
    </row>
    <row r="677" spans="1:11" x14ac:dyDescent="0.3">
      <c r="A677" t="s">
        <v>56</v>
      </c>
      <c r="B677">
        <v>36</v>
      </c>
      <c r="C677" s="6">
        <v>65000</v>
      </c>
      <c r="D677" t="s">
        <v>18</v>
      </c>
      <c r="E677" t="s">
        <v>26</v>
      </c>
      <c r="F677" t="s">
        <v>44</v>
      </c>
      <c r="G677" s="7">
        <v>43845</v>
      </c>
      <c r="H677" t="s">
        <v>21</v>
      </c>
      <c r="I677" t="s">
        <v>69</v>
      </c>
      <c r="J677" t="s">
        <v>28</v>
      </c>
      <c r="K677">
        <f>IF(HR_Data4[[#This Row],[Phone]]="Missing",0,1)</f>
        <v>1</v>
      </c>
    </row>
    <row r="678" spans="1:11" x14ac:dyDescent="0.3">
      <c r="A678" t="s">
        <v>52</v>
      </c>
      <c r="B678">
        <v>50</v>
      </c>
      <c r="C678" s="6" t="s">
        <v>68</v>
      </c>
      <c r="D678" t="s">
        <v>11</v>
      </c>
      <c r="E678" t="s">
        <v>19</v>
      </c>
      <c r="F678" t="s">
        <v>20</v>
      </c>
      <c r="G678" s="7">
        <v>43845</v>
      </c>
      <c r="H678" t="s">
        <v>41</v>
      </c>
      <c r="I678" t="s">
        <v>22</v>
      </c>
      <c r="J678" t="s">
        <v>69</v>
      </c>
      <c r="K678">
        <f>IF(HR_Data4[[#This Row],[Phone]]="Missing",0,1)</f>
        <v>0</v>
      </c>
    </row>
    <row r="679" spans="1:11" x14ac:dyDescent="0.3">
      <c r="A679" t="s">
        <v>59</v>
      </c>
      <c r="B679">
        <v>25</v>
      </c>
      <c r="C679" s="6">
        <v>55000</v>
      </c>
      <c r="D679" t="s">
        <v>36</v>
      </c>
      <c r="E679" t="s">
        <v>19</v>
      </c>
      <c r="F679" t="s">
        <v>20</v>
      </c>
      <c r="G679" s="7">
        <v>43881</v>
      </c>
      <c r="H679" t="s">
        <v>21</v>
      </c>
      <c r="I679" t="s">
        <v>15</v>
      </c>
      <c r="J679" t="s">
        <v>28</v>
      </c>
      <c r="K679">
        <f>IF(HR_Data4[[#This Row],[Phone]]="Missing",0,1)</f>
        <v>1</v>
      </c>
    </row>
    <row r="680" spans="1:11" x14ac:dyDescent="0.3">
      <c r="A680" t="s">
        <v>59</v>
      </c>
      <c r="B680">
        <v>25</v>
      </c>
      <c r="C680" s="6">
        <v>55000</v>
      </c>
      <c r="D680" t="s">
        <v>36</v>
      </c>
      <c r="E680" t="s">
        <v>19</v>
      </c>
      <c r="F680" t="s">
        <v>39</v>
      </c>
      <c r="G680" s="7">
        <v>43881</v>
      </c>
      <c r="H680" t="s">
        <v>31</v>
      </c>
      <c r="I680" t="s">
        <v>15</v>
      </c>
      <c r="J680" t="s">
        <v>45</v>
      </c>
      <c r="K680">
        <f>IF(HR_Data4[[#This Row],[Phone]]="Missing",0,1)</f>
        <v>1</v>
      </c>
    </row>
    <row r="681" spans="1:11" x14ac:dyDescent="0.3">
      <c r="A681" t="s">
        <v>53</v>
      </c>
      <c r="B681">
        <v>40</v>
      </c>
      <c r="C681" s="6">
        <v>55000</v>
      </c>
      <c r="D681" t="s">
        <v>18</v>
      </c>
      <c r="E681" t="s">
        <v>19</v>
      </c>
      <c r="F681" t="s">
        <v>43</v>
      </c>
      <c r="G681" s="7">
        <v>43800</v>
      </c>
      <c r="H681" t="s">
        <v>14</v>
      </c>
      <c r="I681" t="s">
        <v>69</v>
      </c>
      <c r="J681" t="s">
        <v>69</v>
      </c>
      <c r="K681">
        <f>IF(HR_Data4[[#This Row],[Phone]]="Missing",0,1)</f>
        <v>0</v>
      </c>
    </row>
    <row r="682" spans="1:11" x14ac:dyDescent="0.3">
      <c r="A682" t="s">
        <v>58</v>
      </c>
      <c r="B682">
        <v>40</v>
      </c>
      <c r="C682" s="6" t="s">
        <v>68</v>
      </c>
      <c r="D682" t="s">
        <v>36</v>
      </c>
      <c r="E682" t="s">
        <v>37</v>
      </c>
      <c r="F682" t="s">
        <v>39</v>
      </c>
      <c r="G682" s="7">
        <v>43195</v>
      </c>
      <c r="H682" t="s">
        <v>27</v>
      </c>
      <c r="I682" t="s">
        <v>69</v>
      </c>
      <c r="J682" t="s">
        <v>23</v>
      </c>
      <c r="K682">
        <f>IF(HR_Data4[[#This Row],[Phone]]="Missing",0,1)</f>
        <v>1</v>
      </c>
    </row>
    <row r="683" spans="1:11" x14ac:dyDescent="0.3">
      <c r="A683" t="s">
        <v>53</v>
      </c>
      <c r="B683">
        <v>35</v>
      </c>
      <c r="C683" s="6">
        <v>65000</v>
      </c>
      <c r="D683" t="s">
        <v>36</v>
      </c>
      <c r="E683" t="s">
        <v>19</v>
      </c>
      <c r="F683" t="s">
        <v>39</v>
      </c>
      <c r="G683" s="7">
        <v>43195</v>
      </c>
      <c r="H683" t="s">
        <v>31</v>
      </c>
      <c r="I683" t="s">
        <v>69</v>
      </c>
      <c r="J683" t="s">
        <v>45</v>
      </c>
      <c r="K683">
        <f>IF(HR_Data4[[#This Row],[Phone]]="Missing",0,1)</f>
        <v>1</v>
      </c>
    </row>
    <row r="684" spans="1:11" x14ac:dyDescent="0.3">
      <c r="A684" t="s">
        <v>51</v>
      </c>
      <c r="B684">
        <v>50</v>
      </c>
      <c r="C684" s="6">
        <v>50000</v>
      </c>
      <c r="D684" t="s">
        <v>36</v>
      </c>
      <c r="E684" t="s">
        <v>37</v>
      </c>
      <c r="F684" t="s">
        <v>13</v>
      </c>
      <c r="G684" s="7">
        <v>43845</v>
      </c>
      <c r="H684" t="s">
        <v>31</v>
      </c>
      <c r="I684" t="s">
        <v>15</v>
      </c>
      <c r="J684" t="s">
        <v>69</v>
      </c>
      <c r="K684">
        <f>IF(HR_Data4[[#This Row],[Phone]]="Missing",0,1)</f>
        <v>0</v>
      </c>
    </row>
    <row r="685" spans="1:11" x14ac:dyDescent="0.3">
      <c r="A685" t="s">
        <v>55</v>
      </c>
      <c r="B685">
        <v>30</v>
      </c>
      <c r="C685" s="6" t="s">
        <v>68</v>
      </c>
      <c r="D685" t="s">
        <v>18</v>
      </c>
      <c r="E685" t="s">
        <v>37</v>
      </c>
      <c r="F685" t="s">
        <v>20</v>
      </c>
      <c r="G685" s="7">
        <v>43549</v>
      </c>
      <c r="H685" t="s">
        <v>21</v>
      </c>
      <c r="I685" t="s">
        <v>15</v>
      </c>
      <c r="J685" t="s">
        <v>45</v>
      </c>
      <c r="K685">
        <f>IF(HR_Data4[[#This Row],[Phone]]="Missing",0,1)</f>
        <v>1</v>
      </c>
    </row>
    <row r="686" spans="1:11" x14ac:dyDescent="0.3">
      <c r="A686" t="s">
        <v>55</v>
      </c>
      <c r="B686">
        <v>36</v>
      </c>
      <c r="C686" s="6" t="s">
        <v>68</v>
      </c>
      <c r="D686" t="s">
        <v>18</v>
      </c>
      <c r="E686" t="s">
        <v>19</v>
      </c>
      <c r="F686" t="s">
        <v>39</v>
      </c>
      <c r="G686" s="7">
        <v>43881</v>
      </c>
      <c r="H686" t="s">
        <v>41</v>
      </c>
      <c r="I686" t="s">
        <v>15</v>
      </c>
      <c r="J686" t="s">
        <v>69</v>
      </c>
      <c r="K686">
        <f>IF(HR_Data4[[#This Row],[Phone]]="Missing",0,1)</f>
        <v>0</v>
      </c>
    </row>
    <row r="687" spans="1:11" x14ac:dyDescent="0.3">
      <c r="A687" t="s">
        <v>58</v>
      </c>
      <c r="B687">
        <v>35</v>
      </c>
      <c r="C687" s="6">
        <v>50000</v>
      </c>
      <c r="D687" t="s">
        <v>36</v>
      </c>
      <c r="E687" t="s">
        <v>30</v>
      </c>
      <c r="F687" t="s">
        <v>13</v>
      </c>
      <c r="G687" s="7">
        <v>43881</v>
      </c>
      <c r="H687" t="s">
        <v>14</v>
      </c>
      <c r="I687" t="s">
        <v>15</v>
      </c>
      <c r="J687" t="s">
        <v>69</v>
      </c>
      <c r="K687">
        <f>IF(HR_Data4[[#This Row],[Phone]]="Missing",0,1)</f>
        <v>0</v>
      </c>
    </row>
    <row r="688" spans="1:11" x14ac:dyDescent="0.3">
      <c r="A688" t="s">
        <v>57</v>
      </c>
      <c r="B688">
        <v>40</v>
      </c>
      <c r="C688" s="6">
        <v>55000</v>
      </c>
      <c r="D688" t="s">
        <v>36</v>
      </c>
      <c r="E688" t="s">
        <v>19</v>
      </c>
      <c r="F688" t="s">
        <v>43</v>
      </c>
      <c r="G688" s="7">
        <v>43845</v>
      </c>
      <c r="H688" t="s">
        <v>27</v>
      </c>
      <c r="I688" t="s">
        <v>32</v>
      </c>
      <c r="J688" t="s">
        <v>69</v>
      </c>
      <c r="K688">
        <f>IF(HR_Data4[[#This Row],[Phone]]="Missing",0,1)</f>
        <v>0</v>
      </c>
    </row>
    <row r="689" spans="1:11" x14ac:dyDescent="0.3">
      <c r="A689" t="s">
        <v>57</v>
      </c>
      <c r="B689">
        <v>36</v>
      </c>
      <c r="C689" s="6">
        <v>70000</v>
      </c>
      <c r="D689" t="s">
        <v>18</v>
      </c>
      <c r="E689" t="s">
        <v>19</v>
      </c>
      <c r="F689" t="s">
        <v>39</v>
      </c>
      <c r="G689" s="7">
        <v>43881</v>
      </c>
      <c r="H689" t="s">
        <v>31</v>
      </c>
      <c r="I689" t="s">
        <v>22</v>
      </c>
      <c r="J689" t="s">
        <v>28</v>
      </c>
      <c r="K689">
        <f>IF(HR_Data4[[#This Row],[Phone]]="Missing",0,1)</f>
        <v>1</v>
      </c>
    </row>
    <row r="690" spans="1:11" x14ac:dyDescent="0.3">
      <c r="A690" t="s">
        <v>56</v>
      </c>
      <c r="B690">
        <v>40</v>
      </c>
      <c r="C690" s="6">
        <v>50000</v>
      </c>
      <c r="D690" t="s">
        <v>11</v>
      </c>
      <c r="E690" t="s">
        <v>19</v>
      </c>
      <c r="F690" t="s">
        <v>20</v>
      </c>
      <c r="G690" s="7">
        <v>43845</v>
      </c>
      <c r="H690" t="s">
        <v>27</v>
      </c>
      <c r="I690" t="s">
        <v>22</v>
      </c>
      <c r="J690" t="s">
        <v>69</v>
      </c>
      <c r="K690">
        <f>IF(HR_Data4[[#This Row],[Phone]]="Missing",0,1)</f>
        <v>0</v>
      </c>
    </row>
    <row r="691" spans="1:11" x14ac:dyDescent="0.3">
      <c r="A691" t="s">
        <v>58</v>
      </c>
      <c r="B691">
        <v>36</v>
      </c>
      <c r="C691" s="6">
        <v>65000</v>
      </c>
      <c r="D691" t="s">
        <v>36</v>
      </c>
      <c r="E691" t="s">
        <v>30</v>
      </c>
      <c r="F691" t="s">
        <v>39</v>
      </c>
      <c r="G691" s="7">
        <v>43800</v>
      </c>
      <c r="H691" t="s">
        <v>41</v>
      </c>
      <c r="I691" t="s">
        <v>69</v>
      </c>
      <c r="J691" t="s">
        <v>45</v>
      </c>
      <c r="K691">
        <f>IF(HR_Data4[[#This Row],[Phone]]="Missing",0,1)</f>
        <v>1</v>
      </c>
    </row>
    <row r="692" spans="1:11" x14ac:dyDescent="0.3">
      <c r="A692" t="s">
        <v>59</v>
      </c>
      <c r="B692">
        <v>30</v>
      </c>
      <c r="C692" s="6">
        <v>60000</v>
      </c>
      <c r="D692" t="s">
        <v>11</v>
      </c>
      <c r="E692" t="s">
        <v>12</v>
      </c>
      <c r="F692" t="s">
        <v>43</v>
      </c>
      <c r="G692" s="7">
        <v>43195</v>
      </c>
      <c r="H692" t="s">
        <v>41</v>
      </c>
      <c r="I692" t="s">
        <v>32</v>
      </c>
      <c r="J692" t="s">
        <v>69</v>
      </c>
      <c r="K692">
        <f>IF(HR_Data4[[#This Row],[Phone]]="Missing",0,1)</f>
        <v>0</v>
      </c>
    </row>
    <row r="693" spans="1:11" x14ac:dyDescent="0.3">
      <c r="A693" t="s">
        <v>57</v>
      </c>
      <c r="B693">
        <v>35</v>
      </c>
      <c r="C693" s="6">
        <v>60000</v>
      </c>
      <c r="D693" t="s">
        <v>36</v>
      </c>
      <c r="E693" t="s">
        <v>12</v>
      </c>
      <c r="F693" t="s">
        <v>39</v>
      </c>
      <c r="G693" s="7">
        <v>43549</v>
      </c>
      <c r="H693" t="s">
        <v>27</v>
      </c>
      <c r="I693" t="s">
        <v>15</v>
      </c>
      <c r="J693" t="s">
        <v>23</v>
      </c>
      <c r="K693">
        <f>IF(HR_Data4[[#This Row],[Phone]]="Missing",0,1)</f>
        <v>1</v>
      </c>
    </row>
    <row r="694" spans="1:11" x14ac:dyDescent="0.3">
      <c r="A694" t="s">
        <v>54</v>
      </c>
      <c r="B694">
        <v>36</v>
      </c>
      <c r="C694" s="6" t="s">
        <v>68</v>
      </c>
      <c r="D694" t="s">
        <v>11</v>
      </c>
      <c r="E694" t="s">
        <v>37</v>
      </c>
      <c r="F694" t="s">
        <v>20</v>
      </c>
      <c r="G694" s="7">
        <v>43195</v>
      </c>
      <c r="H694" t="s">
        <v>14</v>
      </c>
      <c r="I694" t="s">
        <v>15</v>
      </c>
      <c r="J694" t="s">
        <v>45</v>
      </c>
      <c r="K694">
        <f>IF(HR_Data4[[#This Row],[Phone]]="Missing",0,1)</f>
        <v>1</v>
      </c>
    </row>
    <row r="695" spans="1:11" x14ac:dyDescent="0.3">
      <c r="A695" t="s">
        <v>60</v>
      </c>
      <c r="B695">
        <v>50</v>
      </c>
      <c r="C695" s="6">
        <v>60000</v>
      </c>
      <c r="D695" t="s">
        <v>11</v>
      </c>
      <c r="E695" t="s">
        <v>37</v>
      </c>
      <c r="F695" t="s">
        <v>13</v>
      </c>
      <c r="G695" s="7">
        <v>43195</v>
      </c>
      <c r="H695" t="s">
        <v>41</v>
      </c>
      <c r="I695" t="s">
        <v>69</v>
      </c>
      <c r="J695" t="s">
        <v>69</v>
      </c>
      <c r="K695">
        <f>IF(HR_Data4[[#This Row],[Phone]]="Missing",0,1)</f>
        <v>0</v>
      </c>
    </row>
    <row r="696" spans="1:11" x14ac:dyDescent="0.3">
      <c r="A696" t="s">
        <v>59</v>
      </c>
      <c r="B696">
        <v>25</v>
      </c>
      <c r="C696" s="6">
        <v>70000</v>
      </c>
      <c r="D696" t="s">
        <v>11</v>
      </c>
      <c r="E696" t="s">
        <v>30</v>
      </c>
      <c r="F696" t="s">
        <v>20</v>
      </c>
      <c r="G696" s="7">
        <v>43800</v>
      </c>
      <c r="H696" t="s">
        <v>27</v>
      </c>
      <c r="I696" t="s">
        <v>69</v>
      </c>
      <c r="J696" t="s">
        <v>69</v>
      </c>
      <c r="K696">
        <f>IF(HR_Data4[[#This Row],[Phone]]="Missing",0,1)</f>
        <v>0</v>
      </c>
    </row>
    <row r="697" spans="1:11" x14ac:dyDescent="0.3">
      <c r="A697" t="s">
        <v>51</v>
      </c>
      <c r="B697">
        <v>50</v>
      </c>
      <c r="C697" s="6">
        <v>55000</v>
      </c>
      <c r="D697" t="s">
        <v>18</v>
      </c>
      <c r="E697" t="s">
        <v>26</v>
      </c>
      <c r="F697" t="s">
        <v>13</v>
      </c>
      <c r="G697" s="7">
        <v>43881</v>
      </c>
      <c r="H697" t="s">
        <v>31</v>
      </c>
      <c r="I697" t="s">
        <v>69</v>
      </c>
      <c r="J697" t="s">
        <v>23</v>
      </c>
      <c r="K697">
        <f>IF(HR_Data4[[#This Row],[Phone]]="Missing",0,1)</f>
        <v>1</v>
      </c>
    </row>
    <row r="698" spans="1:11" x14ac:dyDescent="0.3">
      <c r="A698" t="s">
        <v>54</v>
      </c>
      <c r="B698">
        <v>50</v>
      </c>
      <c r="C698" s="6">
        <v>65000</v>
      </c>
      <c r="D698" t="s">
        <v>11</v>
      </c>
      <c r="E698" t="s">
        <v>12</v>
      </c>
      <c r="F698" t="s">
        <v>44</v>
      </c>
      <c r="G698" s="7">
        <v>43549</v>
      </c>
      <c r="H698" t="s">
        <v>27</v>
      </c>
      <c r="I698" t="s">
        <v>15</v>
      </c>
      <c r="J698" t="s">
        <v>69</v>
      </c>
      <c r="K698">
        <f>IF(HR_Data4[[#This Row],[Phone]]="Missing",0,1)</f>
        <v>0</v>
      </c>
    </row>
    <row r="699" spans="1:11" x14ac:dyDescent="0.3">
      <c r="A699" t="s">
        <v>54</v>
      </c>
      <c r="B699">
        <v>25</v>
      </c>
      <c r="C699" s="6">
        <v>70000</v>
      </c>
      <c r="D699" t="s">
        <v>11</v>
      </c>
      <c r="E699" t="s">
        <v>37</v>
      </c>
      <c r="F699" t="s">
        <v>20</v>
      </c>
      <c r="G699" s="7">
        <v>43881</v>
      </c>
      <c r="H699" t="s">
        <v>27</v>
      </c>
      <c r="I699" t="s">
        <v>69</v>
      </c>
      <c r="J699" t="s">
        <v>45</v>
      </c>
      <c r="K699">
        <f>IF(HR_Data4[[#This Row],[Phone]]="Missing",0,1)</f>
        <v>1</v>
      </c>
    </row>
    <row r="700" spans="1:11" x14ac:dyDescent="0.3">
      <c r="A700" t="s">
        <v>58</v>
      </c>
      <c r="B700">
        <v>50</v>
      </c>
      <c r="C700" s="6">
        <v>65000</v>
      </c>
      <c r="D700" t="s">
        <v>11</v>
      </c>
      <c r="E700" t="s">
        <v>12</v>
      </c>
      <c r="F700" t="s">
        <v>20</v>
      </c>
      <c r="G700" s="7">
        <v>43195</v>
      </c>
      <c r="H700" t="s">
        <v>21</v>
      </c>
      <c r="I700" t="s">
        <v>32</v>
      </c>
      <c r="J700" t="s">
        <v>45</v>
      </c>
      <c r="K700">
        <f>IF(HR_Data4[[#This Row],[Phone]]="Missing",0,1)</f>
        <v>1</v>
      </c>
    </row>
    <row r="701" spans="1:11" x14ac:dyDescent="0.3">
      <c r="A701" t="s">
        <v>56</v>
      </c>
      <c r="B701">
        <v>36</v>
      </c>
      <c r="C701" s="6">
        <v>65000</v>
      </c>
      <c r="D701" t="s">
        <v>36</v>
      </c>
      <c r="E701" t="s">
        <v>30</v>
      </c>
      <c r="F701" t="s">
        <v>43</v>
      </c>
      <c r="G701" s="7">
        <v>43845</v>
      </c>
      <c r="H701" t="s">
        <v>41</v>
      </c>
      <c r="I701" t="s">
        <v>22</v>
      </c>
      <c r="J701" t="s">
        <v>23</v>
      </c>
      <c r="K701">
        <f>IF(HR_Data4[[#This Row],[Phone]]="Missing",0,1)</f>
        <v>1</v>
      </c>
    </row>
    <row r="702" spans="1:11" x14ac:dyDescent="0.3">
      <c r="A702" t="s">
        <v>51</v>
      </c>
      <c r="B702">
        <v>36</v>
      </c>
      <c r="C702" s="6">
        <v>55000</v>
      </c>
      <c r="D702" t="s">
        <v>11</v>
      </c>
      <c r="E702" t="s">
        <v>30</v>
      </c>
      <c r="F702" t="s">
        <v>39</v>
      </c>
      <c r="G702" s="7">
        <v>43195</v>
      </c>
      <c r="H702" t="s">
        <v>14</v>
      </c>
      <c r="I702" t="s">
        <v>15</v>
      </c>
      <c r="J702" t="s">
        <v>69</v>
      </c>
      <c r="K702">
        <f>IF(HR_Data4[[#This Row],[Phone]]="Missing",0,1)</f>
        <v>0</v>
      </c>
    </row>
    <row r="703" spans="1:11" x14ac:dyDescent="0.3">
      <c r="A703" t="s">
        <v>57</v>
      </c>
      <c r="B703">
        <v>36</v>
      </c>
      <c r="C703" s="6" t="s">
        <v>68</v>
      </c>
      <c r="D703" t="s">
        <v>36</v>
      </c>
      <c r="E703" t="s">
        <v>26</v>
      </c>
      <c r="F703" t="s">
        <v>13</v>
      </c>
      <c r="G703" s="7">
        <v>43881</v>
      </c>
      <c r="H703" t="s">
        <v>14</v>
      </c>
      <c r="I703" t="s">
        <v>32</v>
      </c>
      <c r="J703" t="s">
        <v>45</v>
      </c>
      <c r="K703">
        <f>IF(HR_Data4[[#This Row],[Phone]]="Missing",0,1)</f>
        <v>1</v>
      </c>
    </row>
    <row r="704" spans="1:11" x14ac:dyDescent="0.3">
      <c r="A704" t="s">
        <v>58</v>
      </c>
      <c r="B704">
        <v>25</v>
      </c>
      <c r="C704" s="6">
        <v>60000</v>
      </c>
      <c r="D704" t="s">
        <v>11</v>
      </c>
      <c r="E704" t="s">
        <v>26</v>
      </c>
      <c r="F704" t="s">
        <v>13</v>
      </c>
      <c r="G704" s="7">
        <v>43195</v>
      </c>
      <c r="H704" t="s">
        <v>21</v>
      </c>
      <c r="I704" t="s">
        <v>15</v>
      </c>
      <c r="J704" t="s">
        <v>45</v>
      </c>
      <c r="K704">
        <f>IF(HR_Data4[[#This Row],[Phone]]="Missing",0,1)</f>
        <v>1</v>
      </c>
    </row>
    <row r="705" spans="1:11" x14ac:dyDescent="0.3">
      <c r="A705" t="s">
        <v>57</v>
      </c>
      <c r="B705">
        <v>50</v>
      </c>
      <c r="C705" s="6">
        <v>55000</v>
      </c>
      <c r="D705" t="s">
        <v>11</v>
      </c>
      <c r="E705" t="s">
        <v>30</v>
      </c>
      <c r="F705" t="s">
        <v>43</v>
      </c>
      <c r="G705" s="7">
        <v>43845</v>
      </c>
      <c r="H705" t="s">
        <v>14</v>
      </c>
      <c r="I705" t="s">
        <v>69</v>
      </c>
      <c r="J705" t="s">
        <v>45</v>
      </c>
      <c r="K705">
        <f>IF(HR_Data4[[#This Row],[Phone]]="Missing",0,1)</f>
        <v>1</v>
      </c>
    </row>
    <row r="706" spans="1:11" x14ac:dyDescent="0.3">
      <c r="A706" t="s">
        <v>58</v>
      </c>
      <c r="B706">
        <v>25</v>
      </c>
      <c r="C706" s="6">
        <v>70000</v>
      </c>
      <c r="D706" t="s">
        <v>18</v>
      </c>
      <c r="E706" t="s">
        <v>37</v>
      </c>
      <c r="F706" t="s">
        <v>43</v>
      </c>
      <c r="G706" s="7">
        <v>43800</v>
      </c>
      <c r="H706" t="s">
        <v>27</v>
      </c>
      <c r="I706" t="s">
        <v>69</v>
      </c>
      <c r="J706" t="s">
        <v>69</v>
      </c>
      <c r="K706">
        <f>IF(HR_Data4[[#This Row],[Phone]]="Missing",0,1)</f>
        <v>0</v>
      </c>
    </row>
    <row r="707" spans="1:11" x14ac:dyDescent="0.3">
      <c r="A707" t="s">
        <v>58</v>
      </c>
      <c r="B707">
        <v>36</v>
      </c>
      <c r="C707" s="6" t="s">
        <v>68</v>
      </c>
      <c r="D707" t="s">
        <v>36</v>
      </c>
      <c r="E707" t="s">
        <v>12</v>
      </c>
      <c r="F707" t="s">
        <v>39</v>
      </c>
      <c r="G707" s="7">
        <v>43881</v>
      </c>
      <c r="H707" t="s">
        <v>21</v>
      </c>
      <c r="I707" t="s">
        <v>69</v>
      </c>
      <c r="J707" t="s">
        <v>23</v>
      </c>
      <c r="K707">
        <f>IF(HR_Data4[[#This Row],[Phone]]="Missing",0,1)</f>
        <v>1</v>
      </c>
    </row>
    <row r="708" spans="1:11" x14ac:dyDescent="0.3">
      <c r="A708" t="s">
        <v>58</v>
      </c>
      <c r="B708">
        <v>50</v>
      </c>
      <c r="C708" s="6">
        <v>70000</v>
      </c>
      <c r="D708" t="s">
        <v>11</v>
      </c>
      <c r="E708" t="s">
        <v>19</v>
      </c>
      <c r="F708" t="s">
        <v>39</v>
      </c>
      <c r="G708" s="7">
        <v>43195</v>
      </c>
      <c r="H708" t="s">
        <v>31</v>
      </c>
      <c r="I708" t="s">
        <v>22</v>
      </c>
      <c r="J708" t="s">
        <v>45</v>
      </c>
      <c r="K708">
        <f>IF(HR_Data4[[#This Row],[Phone]]="Missing",0,1)</f>
        <v>1</v>
      </c>
    </row>
    <row r="709" spans="1:11" x14ac:dyDescent="0.3">
      <c r="A709" t="s">
        <v>56</v>
      </c>
      <c r="B709">
        <v>50</v>
      </c>
      <c r="C709" s="6" t="s">
        <v>68</v>
      </c>
      <c r="D709" t="s">
        <v>36</v>
      </c>
      <c r="E709" t="s">
        <v>26</v>
      </c>
      <c r="F709" t="s">
        <v>20</v>
      </c>
      <c r="G709" s="7">
        <v>43881</v>
      </c>
      <c r="H709" t="s">
        <v>41</v>
      </c>
      <c r="I709" t="s">
        <v>69</v>
      </c>
      <c r="J709" t="s">
        <v>69</v>
      </c>
      <c r="K709">
        <f>IF(HR_Data4[[#This Row],[Phone]]="Missing",0,1)</f>
        <v>0</v>
      </c>
    </row>
    <row r="710" spans="1:11" x14ac:dyDescent="0.3">
      <c r="A710" t="s">
        <v>58</v>
      </c>
      <c r="B710">
        <v>40</v>
      </c>
      <c r="C710" s="6">
        <v>70000</v>
      </c>
      <c r="D710" t="s">
        <v>36</v>
      </c>
      <c r="E710" t="s">
        <v>19</v>
      </c>
      <c r="F710" t="s">
        <v>44</v>
      </c>
      <c r="G710" s="7">
        <v>43800</v>
      </c>
      <c r="H710" t="s">
        <v>41</v>
      </c>
      <c r="I710" t="s">
        <v>15</v>
      </c>
      <c r="J710" t="s">
        <v>69</v>
      </c>
      <c r="K710">
        <f>IF(HR_Data4[[#This Row],[Phone]]="Missing",0,1)</f>
        <v>0</v>
      </c>
    </row>
    <row r="711" spans="1:11" x14ac:dyDescent="0.3">
      <c r="A711" t="s">
        <v>52</v>
      </c>
      <c r="B711">
        <v>40</v>
      </c>
      <c r="C711" s="6">
        <v>55000</v>
      </c>
      <c r="D711" t="s">
        <v>18</v>
      </c>
      <c r="E711" t="s">
        <v>37</v>
      </c>
      <c r="F711" t="s">
        <v>39</v>
      </c>
      <c r="G711" s="7">
        <v>43195</v>
      </c>
      <c r="H711" t="s">
        <v>41</v>
      </c>
      <c r="I711" t="s">
        <v>69</v>
      </c>
      <c r="J711" t="s">
        <v>28</v>
      </c>
      <c r="K711">
        <f>IF(HR_Data4[[#This Row],[Phone]]="Missing",0,1)</f>
        <v>1</v>
      </c>
    </row>
    <row r="712" spans="1:11" x14ac:dyDescent="0.3">
      <c r="A712" t="s">
        <v>60</v>
      </c>
      <c r="B712">
        <v>30</v>
      </c>
      <c r="C712" s="6" t="s">
        <v>68</v>
      </c>
      <c r="D712" t="s">
        <v>18</v>
      </c>
      <c r="E712" t="s">
        <v>26</v>
      </c>
      <c r="F712" t="s">
        <v>43</v>
      </c>
      <c r="G712" s="7">
        <v>43195</v>
      </c>
      <c r="H712" t="s">
        <v>27</v>
      </c>
      <c r="I712" t="s">
        <v>15</v>
      </c>
      <c r="J712" t="s">
        <v>23</v>
      </c>
      <c r="K712">
        <f>IF(HR_Data4[[#This Row],[Phone]]="Missing",0,1)</f>
        <v>1</v>
      </c>
    </row>
    <row r="713" spans="1:11" x14ac:dyDescent="0.3">
      <c r="A713" t="s">
        <v>57</v>
      </c>
      <c r="B713">
        <v>35</v>
      </c>
      <c r="C713" s="6" t="s">
        <v>68</v>
      </c>
      <c r="D713" t="s">
        <v>18</v>
      </c>
      <c r="E713" t="s">
        <v>19</v>
      </c>
      <c r="F713" t="s">
        <v>39</v>
      </c>
      <c r="G713" s="7">
        <v>43881</v>
      </c>
      <c r="H713" t="s">
        <v>31</v>
      </c>
      <c r="I713" t="s">
        <v>22</v>
      </c>
      <c r="J713" t="s">
        <v>69</v>
      </c>
      <c r="K713">
        <f>IF(HR_Data4[[#This Row],[Phone]]="Missing",0,1)</f>
        <v>0</v>
      </c>
    </row>
    <row r="714" spans="1:11" x14ac:dyDescent="0.3">
      <c r="A714" t="s">
        <v>59</v>
      </c>
      <c r="B714">
        <v>40</v>
      </c>
      <c r="C714" s="6">
        <v>65000</v>
      </c>
      <c r="D714" t="s">
        <v>18</v>
      </c>
      <c r="E714" t="s">
        <v>37</v>
      </c>
      <c r="F714" t="s">
        <v>13</v>
      </c>
      <c r="G714" s="7">
        <v>43881</v>
      </c>
      <c r="H714" t="s">
        <v>21</v>
      </c>
      <c r="I714" t="s">
        <v>69</v>
      </c>
      <c r="J714" t="s">
        <v>45</v>
      </c>
      <c r="K714">
        <f>IF(HR_Data4[[#This Row],[Phone]]="Missing",0,1)</f>
        <v>1</v>
      </c>
    </row>
    <row r="715" spans="1:11" x14ac:dyDescent="0.3">
      <c r="A715" t="s">
        <v>53</v>
      </c>
      <c r="B715">
        <v>25</v>
      </c>
      <c r="C715" s="6">
        <v>65000</v>
      </c>
      <c r="D715" t="s">
        <v>18</v>
      </c>
      <c r="E715" t="s">
        <v>12</v>
      </c>
      <c r="F715" t="s">
        <v>44</v>
      </c>
      <c r="G715" s="7">
        <v>43845</v>
      </c>
      <c r="H715" t="s">
        <v>21</v>
      </c>
      <c r="I715" t="s">
        <v>69</v>
      </c>
      <c r="J715" t="s">
        <v>28</v>
      </c>
      <c r="K715">
        <f>IF(HR_Data4[[#This Row],[Phone]]="Missing",0,1)</f>
        <v>1</v>
      </c>
    </row>
    <row r="716" spans="1:11" x14ac:dyDescent="0.3">
      <c r="A716" t="s">
        <v>51</v>
      </c>
      <c r="B716">
        <v>40</v>
      </c>
      <c r="C716" s="6">
        <v>50000</v>
      </c>
      <c r="D716" t="s">
        <v>18</v>
      </c>
      <c r="E716" t="s">
        <v>37</v>
      </c>
      <c r="F716" t="s">
        <v>20</v>
      </c>
      <c r="G716" s="7">
        <v>43800</v>
      </c>
      <c r="H716" t="s">
        <v>41</v>
      </c>
      <c r="I716" t="s">
        <v>69</v>
      </c>
      <c r="J716" t="s">
        <v>23</v>
      </c>
      <c r="K716">
        <f>IF(HR_Data4[[#This Row],[Phone]]="Missing",0,1)</f>
        <v>1</v>
      </c>
    </row>
    <row r="717" spans="1:11" x14ac:dyDescent="0.3">
      <c r="A717" t="s">
        <v>55</v>
      </c>
      <c r="B717">
        <v>30</v>
      </c>
      <c r="C717" s="6">
        <v>70000</v>
      </c>
      <c r="D717" t="s">
        <v>18</v>
      </c>
      <c r="E717" t="s">
        <v>26</v>
      </c>
      <c r="F717" t="s">
        <v>13</v>
      </c>
      <c r="G717" s="7">
        <v>43845</v>
      </c>
      <c r="H717" t="s">
        <v>31</v>
      </c>
      <c r="I717" t="s">
        <v>69</v>
      </c>
      <c r="J717" t="s">
        <v>69</v>
      </c>
      <c r="K717">
        <f>IF(HR_Data4[[#This Row],[Phone]]="Missing",0,1)</f>
        <v>0</v>
      </c>
    </row>
    <row r="718" spans="1:11" x14ac:dyDescent="0.3">
      <c r="A718" t="s">
        <v>56</v>
      </c>
      <c r="B718">
        <v>50</v>
      </c>
      <c r="C718" s="6">
        <v>65000</v>
      </c>
      <c r="D718" t="s">
        <v>18</v>
      </c>
      <c r="E718" t="s">
        <v>30</v>
      </c>
      <c r="F718" t="s">
        <v>13</v>
      </c>
      <c r="G718" s="7">
        <v>43195</v>
      </c>
      <c r="H718" t="s">
        <v>31</v>
      </c>
      <c r="I718" t="s">
        <v>69</v>
      </c>
      <c r="J718" t="s">
        <v>28</v>
      </c>
      <c r="K718">
        <f>IF(HR_Data4[[#This Row],[Phone]]="Missing",0,1)</f>
        <v>1</v>
      </c>
    </row>
    <row r="719" spans="1:11" x14ac:dyDescent="0.3">
      <c r="A719" t="s">
        <v>59</v>
      </c>
      <c r="B719">
        <v>30</v>
      </c>
      <c r="C719" s="6">
        <v>50000</v>
      </c>
      <c r="D719" t="s">
        <v>11</v>
      </c>
      <c r="E719" t="s">
        <v>12</v>
      </c>
      <c r="F719" t="s">
        <v>44</v>
      </c>
      <c r="G719" s="7">
        <v>43881</v>
      </c>
      <c r="H719" t="s">
        <v>31</v>
      </c>
      <c r="I719" t="s">
        <v>69</v>
      </c>
      <c r="J719" t="s">
        <v>28</v>
      </c>
      <c r="K719">
        <f>IF(HR_Data4[[#This Row],[Phone]]="Missing",0,1)</f>
        <v>1</v>
      </c>
    </row>
    <row r="720" spans="1:11" x14ac:dyDescent="0.3">
      <c r="A720" t="s">
        <v>54</v>
      </c>
      <c r="B720">
        <v>50</v>
      </c>
      <c r="C720" s="6">
        <v>65000</v>
      </c>
      <c r="D720" t="s">
        <v>36</v>
      </c>
      <c r="E720" t="s">
        <v>19</v>
      </c>
      <c r="F720" t="s">
        <v>20</v>
      </c>
      <c r="G720" s="7">
        <v>43195</v>
      </c>
      <c r="H720" t="s">
        <v>14</v>
      </c>
      <c r="I720" t="s">
        <v>69</v>
      </c>
      <c r="J720" t="s">
        <v>69</v>
      </c>
      <c r="K720">
        <f>IF(HR_Data4[[#This Row],[Phone]]="Missing",0,1)</f>
        <v>0</v>
      </c>
    </row>
    <row r="721" spans="1:11" x14ac:dyDescent="0.3">
      <c r="A721" t="s">
        <v>52</v>
      </c>
      <c r="B721">
        <v>50</v>
      </c>
      <c r="C721" s="6">
        <v>70000</v>
      </c>
      <c r="D721" t="s">
        <v>18</v>
      </c>
      <c r="E721" t="s">
        <v>26</v>
      </c>
      <c r="F721" t="s">
        <v>43</v>
      </c>
      <c r="G721" s="7">
        <v>43195</v>
      </c>
      <c r="H721" t="s">
        <v>14</v>
      </c>
      <c r="I721" t="s">
        <v>15</v>
      </c>
      <c r="J721" t="s">
        <v>23</v>
      </c>
      <c r="K721">
        <f>IF(HR_Data4[[#This Row],[Phone]]="Missing",0,1)</f>
        <v>1</v>
      </c>
    </row>
    <row r="722" spans="1:11" x14ac:dyDescent="0.3">
      <c r="A722" t="s">
        <v>55</v>
      </c>
      <c r="B722">
        <v>35</v>
      </c>
      <c r="C722" s="6" t="s">
        <v>68</v>
      </c>
      <c r="D722" t="s">
        <v>18</v>
      </c>
      <c r="E722" t="s">
        <v>30</v>
      </c>
      <c r="F722" t="s">
        <v>20</v>
      </c>
      <c r="G722" s="7">
        <v>43549</v>
      </c>
      <c r="H722" t="s">
        <v>41</v>
      </c>
      <c r="I722" t="s">
        <v>22</v>
      </c>
      <c r="J722" t="s">
        <v>69</v>
      </c>
      <c r="K722">
        <f>IF(HR_Data4[[#This Row],[Phone]]="Missing",0,1)</f>
        <v>0</v>
      </c>
    </row>
    <row r="723" spans="1:11" x14ac:dyDescent="0.3">
      <c r="A723" t="s">
        <v>53</v>
      </c>
      <c r="B723">
        <v>40</v>
      </c>
      <c r="C723" s="6">
        <v>60000</v>
      </c>
      <c r="D723" t="s">
        <v>36</v>
      </c>
      <c r="E723" t="s">
        <v>37</v>
      </c>
      <c r="F723" t="s">
        <v>39</v>
      </c>
      <c r="G723" s="7">
        <v>43549</v>
      </c>
      <c r="H723" t="s">
        <v>31</v>
      </c>
      <c r="I723" t="s">
        <v>69</v>
      </c>
      <c r="J723" t="s">
        <v>69</v>
      </c>
      <c r="K723">
        <f>IF(HR_Data4[[#This Row],[Phone]]="Missing",0,1)</f>
        <v>0</v>
      </c>
    </row>
    <row r="724" spans="1:11" x14ac:dyDescent="0.3">
      <c r="A724" t="s">
        <v>59</v>
      </c>
      <c r="B724">
        <v>25</v>
      </c>
      <c r="C724" s="6">
        <v>70000</v>
      </c>
      <c r="D724" t="s">
        <v>11</v>
      </c>
      <c r="E724" t="s">
        <v>30</v>
      </c>
      <c r="F724" t="s">
        <v>13</v>
      </c>
      <c r="G724" s="7">
        <v>43195</v>
      </c>
      <c r="H724" t="s">
        <v>31</v>
      </c>
      <c r="I724" t="s">
        <v>15</v>
      </c>
      <c r="J724" t="s">
        <v>45</v>
      </c>
      <c r="K724">
        <f>IF(HR_Data4[[#This Row],[Phone]]="Missing",0,1)</f>
        <v>1</v>
      </c>
    </row>
    <row r="725" spans="1:11" x14ac:dyDescent="0.3">
      <c r="A725" t="s">
        <v>55</v>
      </c>
      <c r="B725">
        <v>25</v>
      </c>
      <c r="C725" s="6">
        <v>55000</v>
      </c>
      <c r="D725" t="s">
        <v>36</v>
      </c>
      <c r="E725" t="s">
        <v>26</v>
      </c>
      <c r="F725" t="s">
        <v>39</v>
      </c>
      <c r="G725" s="7">
        <v>43881</v>
      </c>
      <c r="H725" t="s">
        <v>21</v>
      </c>
      <c r="I725" t="s">
        <v>69</v>
      </c>
      <c r="J725" t="s">
        <v>69</v>
      </c>
      <c r="K725">
        <f>IF(HR_Data4[[#This Row],[Phone]]="Missing",0,1)</f>
        <v>0</v>
      </c>
    </row>
    <row r="726" spans="1:11" x14ac:dyDescent="0.3">
      <c r="A726" t="s">
        <v>59</v>
      </c>
      <c r="B726">
        <v>36</v>
      </c>
      <c r="C726" s="6">
        <v>65000</v>
      </c>
      <c r="D726" t="s">
        <v>36</v>
      </c>
      <c r="E726" t="s">
        <v>26</v>
      </c>
      <c r="F726" t="s">
        <v>43</v>
      </c>
      <c r="G726" s="7">
        <v>43195</v>
      </c>
      <c r="H726" t="s">
        <v>21</v>
      </c>
      <c r="I726" t="s">
        <v>15</v>
      </c>
      <c r="J726" t="s">
        <v>28</v>
      </c>
      <c r="K726">
        <f>IF(HR_Data4[[#This Row],[Phone]]="Missing",0,1)</f>
        <v>1</v>
      </c>
    </row>
    <row r="727" spans="1:11" x14ac:dyDescent="0.3">
      <c r="A727" t="s">
        <v>52</v>
      </c>
      <c r="B727">
        <v>50</v>
      </c>
      <c r="C727" s="6">
        <v>65000</v>
      </c>
      <c r="D727" t="s">
        <v>18</v>
      </c>
      <c r="E727" t="s">
        <v>30</v>
      </c>
      <c r="F727" t="s">
        <v>39</v>
      </c>
      <c r="G727" s="7">
        <v>43549</v>
      </c>
      <c r="H727" t="s">
        <v>41</v>
      </c>
      <c r="I727" t="s">
        <v>69</v>
      </c>
      <c r="J727" t="s">
        <v>23</v>
      </c>
      <c r="K727">
        <f>IF(HR_Data4[[#This Row],[Phone]]="Missing",0,1)</f>
        <v>1</v>
      </c>
    </row>
    <row r="728" spans="1:11" x14ac:dyDescent="0.3">
      <c r="A728" t="s">
        <v>53</v>
      </c>
      <c r="B728">
        <v>25</v>
      </c>
      <c r="C728" s="6" t="s">
        <v>68</v>
      </c>
      <c r="D728" t="s">
        <v>36</v>
      </c>
      <c r="E728" t="s">
        <v>37</v>
      </c>
      <c r="F728" t="s">
        <v>20</v>
      </c>
      <c r="G728" s="7">
        <v>43881</v>
      </c>
      <c r="H728" t="s">
        <v>31</v>
      </c>
      <c r="I728" t="s">
        <v>69</v>
      </c>
      <c r="J728" t="s">
        <v>69</v>
      </c>
      <c r="K728">
        <f>IF(HR_Data4[[#This Row],[Phone]]="Missing",0,1)</f>
        <v>0</v>
      </c>
    </row>
    <row r="729" spans="1:11" x14ac:dyDescent="0.3">
      <c r="A729" t="s">
        <v>54</v>
      </c>
      <c r="B729">
        <v>35</v>
      </c>
      <c r="C729" s="6">
        <v>55000</v>
      </c>
      <c r="D729" t="s">
        <v>36</v>
      </c>
      <c r="E729" t="s">
        <v>30</v>
      </c>
      <c r="F729" t="s">
        <v>39</v>
      </c>
      <c r="G729" s="7">
        <v>43195</v>
      </c>
      <c r="H729" t="s">
        <v>41</v>
      </c>
      <c r="I729" t="s">
        <v>69</v>
      </c>
      <c r="J729" t="s">
        <v>69</v>
      </c>
      <c r="K729">
        <f>IF(HR_Data4[[#This Row],[Phone]]="Missing",0,1)</f>
        <v>0</v>
      </c>
    </row>
    <row r="730" spans="1:11" x14ac:dyDescent="0.3">
      <c r="A730" t="s">
        <v>58</v>
      </c>
      <c r="B730">
        <v>50</v>
      </c>
      <c r="C730" s="6" t="s">
        <v>68</v>
      </c>
      <c r="D730" t="s">
        <v>18</v>
      </c>
      <c r="E730" t="s">
        <v>26</v>
      </c>
      <c r="F730" t="s">
        <v>43</v>
      </c>
      <c r="G730" s="7">
        <v>43800</v>
      </c>
      <c r="H730" t="s">
        <v>21</v>
      </c>
      <c r="I730" t="s">
        <v>69</v>
      </c>
      <c r="J730" t="s">
        <v>23</v>
      </c>
      <c r="K730">
        <f>IF(HR_Data4[[#This Row],[Phone]]="Missing",0,1)</f>
        <v>1</v>
      </c>
    </row>
    <row r="731" spans="1:11" x14ac:dyDescent="0.3">
      <c r="A731" t="s">
        <v>57</v>
      </c>
      <c r="B731">
        <v>35</v>
      </c>
      <c r="C731" s="6">
        <v>55000</v>
      </c>
      <c r="D731" t="s">
        <v>18</v>
      </c>
      <c r="E731" t="s">
        <v>26</v>
      </c>
      <c r="F731" t="s">
        <v>43</v>
      </c>
      <c r="G731" s="7">
        <v>43800</v>
      </c>
      <c r="H731" t="s">
        <v>21</v>
      </c>
      <c r="I731" t="s">
        <v>32</v>
      </c>
      <c r="J731" t="s">
        <v>69</v>
      </c>
      <c r="K731">
        <f>IF(HR_Data4[[#This Row],[Phone]]="Missing",0,1)</f>
        <v>0</v>
      </c>
    </row>
    <row r="732" spans="1:11" x14ac:dyDescent="0.3">
      <c r="A732" t="s">
        <v>54</v>
      </c>
      <c r="B732">
        <v>25</v>
      </c>
      <c r="C732" s="6">
        <v>60000</v>
      </c>
      <c r="D732" t="s">
        <v>18</v>
      </c>
      <c r="E732" t="s">
        <v>19</v>
      </c>
      <c r="F732" t="s">
        <v>43</v>
      </c>
      <c r="G732" s="7">
        <v>43195</v>
      </c>
      <c r="H732" t="s">
        <v>14</v>
      </c>
      <c r="I732" t="s">
        <v>15</v>
      </c>
      <c r="J732" t="s">
        <v>45</v>
      </c>
      <c r="K732">
        <f>IF(HR_Data4[[#This Row],[Phone]]="Missing",0,1)</f>
        <v>1</v>
      </c>
    </row>
    <row r="733" spans="1:11" x14ac:dyDescent="0.3">
      <c r="A733" t="s">
        <v>58</v>
      </c>
      <c r="B733">
        <v>25</v>
      </c>
      <c r="C733" s="6">
        <v>65000</v>
      </c>
      <c r="D733" t="s">
        <v>18</v>
      </c>
      <c r="E733" t="s">
        <v>19</v>
      </c>
      <c r="F733" t="s">
        <v>20</v>
      </c>
      <c r="G733" s="7">
        <v>43881</v>
      </c>
      <c r="H733" t="s">
        <v>41</v>
      </c>
      <c r="I733" t="s">
        <v>32</v>
      </c>
      <c r="J733" t="s">
        <v>69</v>
      </c>
      <c r="K733">
        <f>IF(HR_Data4[[#This Row],[Phone]]="Missing",0,1)</f>
        <v>0</v>
      </c>
    </row>
    <row r="734" spans="1:11" x14ac:dyDescent="0.3">
      <c r="A734" t="s">
        <v>56</v>
      </c>
      <c r="B734">
        <v>36</v>
      </c>
      <c r="C734" s="6">
        <v>65000</v>
      </c>
      <c r="D734" t="s">
        <v>36</v>
      </c>
      <c r="E734" t="s">
        <v>12</v>
      </c>
      <c r="F734" t="s">
        <v>43</v>
      </c>
      <c r="G734" s="7">
        <v>43195</v>
      </c>
      <c r="H734" t="s">
        <v>41</v>
      </c>
      <c r="I734" t="s">
        <v>15</v>
      </c>
      <c r="J734" t="s">
        <v>45</v>
      </c>
      <c r="K734">
        <f>IF(HR_Data4[[#This Row],[Phone]]="Missing",0,1)</f>
        <v>1</v>
      </c>
    </row>
    <row r="735" spans="1:11" x14ac:dyDescent="0.3">
      <c r="A735" t="s">
        <v>60</v>
      </c>
      <c r="B735">
        <v>25</v>
      </c>
      <c r="C735" s="6">
        <v>60000</v>
      </c>
      <c r="D735" t="s">
        <v>36</v>
      </c>
      <c r="E735" t="s">
        <v>26</v>
      </c>
      <c r="F735" t="s">
        <v>13</v>
      </c>
      <c r="G735" s="7">
        <v>43195</v>
      </c>
      <c r="H735" t="s">
        <v>31</v>
      </c>
      <c r="I735" t="s">
        <v>22</v>
      </c>
      <c r="J735" t="s">
        <v>28</v>
      </c>
      <c r="K735">
        <f>IF(HR_Data4[[#This Row],[Phone]]="Missing",0,1)</f>
        <v>1</v>
      </c>
    </row>
    <row r="736" spans="1:11" x14ac:dyDescent="0.3">
      <c r="A736" t="s">
        <v>51</v>
      </c>
      <c r="B736">
        <v>50</v>
      </c>
      <c r="C736" s="6">
        <v>50000</v>
      </c>
      <c r="D736" t="s">
        <v>11</v>
      </c>
      <c r="E736" t="s">
        <v>19</v>
      </c>
      <c r="F736" t="s">
        <v>43</v>
      </c>
      <c r="G736" s="7">
        <v>43549</v>
      </c>
      <c r="H736" t="s">
        <v>31</v>
      </c>
      <c r="I736" t="s">
        <v>69</v>
      </c>
      <c r="J736" t="s">
        <v>28</v>
      </c>
      <c r="K736">
        <f>IF(HR_Data4[[#This Row],[Phone]]="Missing",0,1)</f>
        <v>1</v>
      </c>
    </row>
    <row r="737" spans="1:11" x14ac:dyDescent="0.3">
      <c r="A737" t="s">
        <v>51</v>
      </c>
      <c r="B737">
        <v>50</v>
      </c>
      <c r="C737" s="6" t="s">
        <v>68</v>
      </c>
      <c r="D737" t="s">
        <v>11</v>
      </c>
      <c r="E737" t="s">
        <v>30</v>
      </c>
      <c r="F737" t="s">
        <v>39</v>
      </c>
      <c r="G737" s="7">
        <v>43800</v>
      </c>
      <c r="H737" t="s">
        <v>14</v>
      </c>
      <c r="I737" t="s">
        <v>22</v>
      </c>
      <c r="J737" t="s">
        <v>69</v>
      </c>
      <c r="K737">
        <f>IF(HR_Data4[[#This Row],[Phone]]="Missing",0,1)</f>
        <v>0</v>
      </c>
    </row>
    <row r="738" spans="1:11" x14ac:dyDescent="0.3">
      <c r="A738" t="s">
        <v>57</v>
      </c>
      <c r="B738">
        <v>50</v>
      </c>
      <c r="C738" s="6">
        <v>60000</v>
      </c>
      <c r="D738" t="s">
        <v>36</v>
      </c>
      <c r="E738" t="s">
        <v>37</v>
      </c>
      <c r="F738" t="s">
        <v>39</v>
      </c>
      <c r="G738" s="7">
        <v>43549</v>
      </c>
      <c r="H738" t="s">
        <v>27</v>
      </c>
      <c r="I738" t="s">
        <v>22</v>
      </c>
      <c r="J738" t="s">
        <v>45</v>
      </c>
      <c r="K738">
        <f>IF(HR_Data4[[#This Row],[Phone]]="Missing",0,1)</f>
        <v>1</v>
      </c>
    </row>
    <row r="739" spans="1:11" x14ac:dyDescent="0.3">
      <c r="A739" t="s">
        <v>53</v>
      </c>
      <c r="B739">
        <v>36</v>
      </c>
      <c r="C739" s="6" t="s">
        <v>68</v>
      </c>
      <c r="D739" t="s">
        <v>11</v>
      </c>
      <c r="E739" t="s">
        <v>30</v>
      </c>
      <c r="F739" t="s">
        <v>39</v>
      </c>
      <c r="G739" s="7">
        <v>43549</v>
      </c>
      <c r="H739" t="s">
        <v>27</v>
      </c>
      <c r="I739" t="s">
        <v>15</v>
      </c>
      <c r="J739" t="s">
        <v>28</v>
      </c>
      <c r="K739">
        <f>IF(HR_Data4[[#This Row],[Phone]]="Missing",0,1)</f>
        <v>1</v>
      </c>
    </row>
    <row r="740" spans="1:11" x14ac:dyDescent="0.3">
      <c r="A740" t="s">
        <v>52</v>
      </c>
      <c r="B740">
        <v>36</v>
      </c>
      <c r="C740" s="6">
        <v>70000</v>
      </c>
      <c r="D740" t="s">
        <v>36</v>
      </c>
      <c r="E740" t="s">
        <v>37</v>
      </c>
      <c r="F740" t="s">
        <v>20</v>
      </c>
      <c r="G740" s="7">
        <v>43195</v>
      </c>
      <c r="H740" t="s">
        <v>27</v>
      </c>
      <c r="I740" t="s">
        <v>32</v>
      </c>
      <c r="J740" t="s">
        <v>69</v>
      </c>
      <c r="K740">
        <f>IF(HR_Data4[[#This Row],[Phone]]="Missing",0,1)</f>
        <v>0</v>
      </c>
    </row>
    <row r="741" spans="1:11" x14ac:dyDescent="0.3">
      <c r="A741" t="s">
        <v>53</v>
      </c>
      <c r="B741">
        <v>25</v>
      </c>
      <c r="C741" s="6">
        <v>65000</v>
      </c>
      <c r="D741" t="s">
        <v>11</v>
      </c>
      <c r="E741" t="s">
        <v>19</v>
      </c>
      <c r="F741" t="s">
        <v>39</v>
      </c>
      <c r="G741" s="7">
        <v>43549</v>
      </c>
      <c r="H741" t="s">
        <v>41</v>
      </c>
      <c r="I741" t="s">
        <v>69</v>
      </c>
      <c r="J741" t="s">
        <v>23</v>
      </c>
      <c r="K741">
        <f>IF(HR_Data4[[#This Row],[Phone]]="Missing",0,1)</f>
        <v>1</v>
      </c>
    </row>
    <row r="742" spans="1:11" x14ac:dyDescent="0.3">
      <c r="A742" t="s">
        <v>52</v>
      </c>
      <c r="B742">
        <v>30</v>
      </c>
      <c r="C742" s="6" t="s">
        <v>68</v>
      </c>
      <c r="D742" t="s">
        <v>18</v>
      </c>
      <c r="E742" t="s">
        <v>12</v>
      </c>
      <c r="F742" t="s">
        <v>20</v>
      </c>
      <c r="G742" s="7">
        <v>43800</v>
      </c>
      <c r="H742" t="s">
        <v>41</v>
      </c>
      <c r="I742" t="s">
        <v>15</v>
      </c>
      <c r="J742" t="s">
        <v>23</v>
      </c>
      <c r="K742">
        <f>IF(HR_Data4[[#This Row],[Phone]]="Missing",0,1)</f>
        <v>1</v>
      </c>
    </row>
    <row r="743" spans="1:11" x14ac:dyDescent="0.3">
      <c r="A743" t="s">
        <v>53</v>
      </c>
      <c r="B743">
        <v>30</v>
      </c>
      <c r="C743" s="6">
        <v>55000</v>
      </c>
      <c r="D743" t="s">
        <v>11</v>
      </c>
      <c r="E743" t="s">
        <v>30</v>
      </c>
      <c r="F743" t="s">
        <v>20</v>
      </c>
      <c r="G743" s="7">
        <v>43549</v>
      </c>
      <c r="H743" t="s">
        <v>21</v>
      </c>
      <c r="I743" t="s">
        <v>69</v>
      </c>
      <c r="J743" t="s">
        <v>45</v>
      </c>
      <c r="K743">
        <f>IF(HR_Data4[[#This Row],[Phone]]="Missing",0,1)</f>
        <v>1</v>
      </c>
    </row>
    <row r="744" spans="1:11" x14ac:dyDescent="0.3">
      <c r="A744" t="s">
        <v>60</v>
      </c>
      <c r="B744">
        <v>36</v>
      </c>
      <c r="C744" s="6" t="s">
        <v>68</v>
      </c>
      <c r="D744" t="s">
        <v>18</v>
      </c>
      <c r="E744" t="s">
        <v>30</v>
      </c>
      <c r="F744" t="s">
        <v>43</v>
      </c>
      <c r="G744" s="7">
        <v>43800</v>
      </c>
      <c r="H744" t="s">
        <v>41</v>
      </c>
      <c r="I744" t="s">
        <v>22</v>
      </c>
      <c r="J744" t="s">
        <v>69</v>
      </c>
      <c r="K744">
        <f>IF(HR_Data4[[#This Row],[Phone]]="Missing",0,1)</f>
        <v>0</v>
      </c>
    </row>
    <row r="745" spans="1:11" x14ac:dyDescent="0.3">
      <c r="A745" t="s">
        <v>56</v>
      </c>
      <c r="B745">
        <v>25</v>
      </c>
      <c r="C745" s="6">
        <v>70000</v>
      </c>
      <c r="D745" t="s">
        <v>18</v>
      </c>
      <c r="E745" t="s">
        <v>30</v>
      </c>
      <c r="F745" t="s">
        <v>13</v>
      </c>
      <c r="G745" s="7">
        <v>43549</v>
      </c>
      <c r="H745" t="s">
        <v>41</v>
      </c>
      <c r="I745" t="s">
        <v>69</v>
      </c>
      <c r="J745" t="s">
        <v>69</v>
      </c>
      <c r="K745">
        <f>IF(HR_Data4[[#This Row],[Phone]]="Missing",0,1)</f>
        <v>0</v>
      </c>
    </row>
    <row r="746" spans="1:11" x14ac:dyDescent="0.3">
      <c r="A746" t="s">
        <v>56</v>
      </c>
      <c r="B746">
        <v>30</v>
      </c>
      <c r="C746" s="6">
        <v>65000</v>
      </c>
      <c r="D746" t="s">
        <v>18</v>
      </c>
      <c r="E746" t="s">
        <v>37</v>
      </c>
      <c r="F746" t="s">
        <v>43</v>
      </c>
      <c r="G746" s="7">
        <v>43800</v>
      </c>
      <c r="H746" t="s">
        <v>41</v>
      </c>
      <c r="I746" t="s">
        <v>32</v>
      </c>
      <c r="J746" t="s">
        <v>45</v>
      </c>
      <c r="K746">
        <f>IF(HR_Data4[[#This Row],[Phone]]="Missing",0,1)</f>
        <v>1</v>
      </c>
    </row>
    <row r="747" spans="1:11" x14ac:dyDescent="0.3">
      <c r="A747" t="s">
        <v>58</v>
      </c>
      <c r="B747">
        <v>25</v>
      </c>
      <c r="C747" s="6">
        <v>60000</v>
      </c>
      <c r="D747" t="s">
        <v>18</v>
      </c>
      <c r="E747" t="s">
        <v>19</v>
      </c>
      <c r="F747" t="s">
        <v>43</v>
      </c>
      <c r="G747" s="7">
        <v>43549</v>
      </c>
      <c r="H747" t="s">
        <v>14</v>
      </c>
      <c r="I747" t="s">
        <v>15</v>
      </c>
      <c r="J747" t="s">
        <v>23</v>
      </c>
      <c r="K747">
        <f>IF(HR_Data4[[#This Row],[Phone]]="Missing",0,1)</f>
        <v>1</v>
      </c>
    </row>
    <row r="748" spans="1:11" x14ac:dyDescent="0.3">
      <c r="A748" t="s">
        <v>55</v>
      </c>
      <c r="B748">
        <v>25</v>
      </c>
      <c r="C748" s="6">
        <v>70000</v>
      </c>
      <c r="D748" t="s">
        <v>11</v>
      </c>
      <c r="E748" t="s">
        <v>30</v>
      </c>
      <c r="F748" t="s">
        <v>20</v>
      </c>
      <c r="G748" s="7">
        <v>43549</v>
      </c>
      <c r="H748" t="s">
        <v>41</v>
      </c>
      <c r="I748" t="s">
        <v>32</v>
      </c>
      <c r="J748" t="s">
        <v>45</v>
      </c>
      <c r="K748">
        <f>IF(HR_Data4[[#This Row],[Phone]]="Missing",0,1)</f>
        <v>1</v>
      </c>
    </row>
    <row r="749" spans="1:11" x14ac:dyDescent="0.3">
      <c r="A749" t="s">
        <v>56</v>
      </c>
      <c r="B749">
        <v>25</v>
      </c>
      <c r="C749" s="6">
        <v>65000</v>
      </c>
      <c r="D749" t="s">
        <v>36</v>
      </c>
      <c r="E749" t="s">
        <v>30</v>
      </c>
      <c r="F749" t="s">
        <v>20</v>
      </c>
      <c r="G749" s="7">
        <v>43881</v>
      </c>
      <c r="H749" t="s">
        <v>31</v>
      </c>
      <c r="I749" t="s">
        <v>32</v>
      </c>
      <c r="J749" t="s">
        <v>69</v>
      </c>
      <c r="K749">
        <f>IF(HR_Data4[[#This Row],[Phone]]="Missing",0,1)</f>
        <v>0</v>
      </c>
    </row>
    <row r="750" spans="1:11" x14ac:dyDescent="0.3">
      <c r="A750" t="s">
        <v>56</v>
      </c>
      <c r="B750">
        <v>40</v>
      </c>
      <c r="C750" s="6" t="s">
        <v>68</v>
      </c>
      <c r="D750" t="s">
        <v>18</v>
      </c>
      <c r="E750" t="s">
        <v>12</v>
      </c>
      <c r="F750" t="s">
        <v>39</v>
      </c>
      <c r="G750" s="7">
        <v>43800</v>
      </c>
      <c r="H750" t="s">
        <v>31</v>
      </c>
      <c r="I750" t="s">
        <v>15</v>
      </c>
      <c r="J750" t="s">
        <v>28</v>
      </c>
      <c r="K750">
        <f>IF(HR_Data4[[#This Row],[Phone]]="Missing",0,1)</f>
        <v>1</v>
      </c>
    </row>
    <row r="751" spans="1:11" x14ac:dyDescent="0.3">
      <c r="A751" t="s">
        <v>54</v>
      </c>
      <c r="B751">
        <v>50</v>
      </c>
      <c r="C751" s="6">
        <v>50000</v>
      </c>
      <c r="D751" t="s">
        <v>11</v>
      </c>
      <c r="E751" t="s">
        <v>12</v>
      </c>
      <c r="F751" t="s">
        <v>39</v>
      </c>
      <c r="G751" s="7">
        <v>43800</v>
      </c>
      <c r="H751" t="s">
        <v>21</v>
      </c>
      <c r="I751" t="s">
        <v>32</v>
      </c>
      <c r="J751" t="s">
        <v>69</v>
      </c>
      <c r="K751">
        <f>IF(HR_Data4[[#This Row],[Phone]]="Missing",0,1)</f>
        <v>0</v>
      </c>
    </row>
    <row r="752" spans="1:11" x14ac:dyDescent="0.3">
      <c r="A752" t="s">
        <v>54</v>
      </c>
      <c r="B752">
        <v>25</v>
      </c>
      <c r="C752" s="6">
        <v>50000</v>
      </c>
      <c r="D752" t="s">
        <v>18</v>
      </c>
      <c r="E752" t="s">
        <v>19</v>
      </c>
      <c r="F752" t="s">
        <v>43</v>
      </c>
      <c r="G752" s="7">
        <v>43800</v>
      </c>
      <c r="H752" t="s">
        <v>14</v>
      </c>
      <c r="I752" t="s">
        <v>69</v>
      </c>
      <c r="J752" t="s">
        <v>28</v>
      </c>
      <c r="K752">
        <f>IF(HR_Data4[[#This Row],[Phone]]="Missing",0,1)</f>
        <v>1</v>
      </c>
    </row>
    <row r="753" spans="1:11" x14ac:dyDescent="0.3">
      <c r="A753" t="s">
        <v>58</v>
      </c>
      <c r="B753">
        <v>40</v>
      </c>
      <c r="C753" s="6">
        <v>55000</v>
      </c>
      <c r="D753" t="s">
        <v>11</v>
      </c>
      <c r="E753" t="s">
        <v>19</v>
      </c>
      <c r="F753" t="s">
        <v>44</v>
      </c>
      <c r="G753" s="7">
        <v>43845</v>
      </c>
      <c r="H753" t="s">
        <v>31</v>
      </c>
      <c r="I753" t="s">
        <v>69</v>
      </c>
      <c r="J753" t="s">
        <v>28</v>
      </c>
      <c r="K753">
        <f>IF(HR_Data4[[#This Row],[Phone]]="Missing",0,1)</f>
        <v>1</v>
      </c>
    </row>
    <row r="754" spans="1:11" x14ac:dyDescent="0.3">
      <c r="A754" t="s">
        <v>55</v>
      </c>
      <c r="B754">
        <v>36</v>
      </c>
      <c r="C754" s="6">
        <v>65000</v>
      </c>
      <c r="D754" t="s">
        <v>11</v>
      </c>
      <c r="E754" t="s">
        <v>26</v>
      </c>
      <c r="F754" t="s">
        <v>44</v>
      </c>
      <c r="G754" s="7">
        <v>43549</v>
      </c>
      <c r="H754" t="s">
        <v>14</v>
      </c>
      <c r="I754" t="s">
        <v>69</v>
      </c>
      <c r="J754" t="s">
        <v>28</v>
      </c>
      <c r="K754">
        <f>IF(HR_Data4[[#This Row],[Phone]]="Missing",0,1)</f>
        <v>1</v>
      </c>
    </row>
    <row r="755" spans="1:11" x14ac:dyDescent="0.3">
      <c r="A755" t="s">
        <v>57</v>
      </c>
      <c r="B755">
        <v>30</v>
      </c>
      <c r="C755" s="6">
        <v>50000</v>
      </c>
      <c r="D755" t="s">
        <v>11</v>
      </c>
      <c r="E755" t="s">
        <v>12</v>
      </c>
      <c r="F755" t="s">
        <v>39</v>
      </c>
      <c r="G755" s="7">
        <v>43800</v>
      </c>
      <c r="H755" t="s">
        <v>14</v>
      </c>
      <c r="I755" t="s">
        <v>69</v>
      </c>
      <c r="J755" t="s">
        <v>45</v>
      </c>
      <c r="K755">
        <f>IF(HR_Data4[[#This Row],[Phone]]="Missing",0,1)</f>
        <v>1</v>
      </c>
    </row>
    <row r="756" spans="1:11" x14ac:dyDescent="0.3">
      <c r="A756" t="s">
        <v>54</v>
      </c>
      <c r="B756">
        <v>50</v>
      </c>
      <c r="C756" s="6">
        <v>60000</v>
      </c>
      <c r="D756" t="s">
        <v>36</v>
      </c>
      <c r="E756" t="s">
        <v>26</v>
      </c>
      <c r="F756" t="s">
        <v>44</v>
      </c>
      <c r="G756" s="7">
        <v>43845</v>
      </c>
      <c r="H756" t="s">
        <v>21</v>
      </c>
      <c r="I756" t="s">
        <v>32</v>
      </c>
      <c r="J756" t="s">
        <v>23</v>
      </c>
      <c r="K756">
        <f>IF(HR_Data4[[#This Row],[Phone]]="Missing",0,1)</f>
        <v>1</v>
      </c>
    </row>
    <row r="757" spans="1:11" x14ac:dyDescent="0.3">
      <c r="A757" t="s">
        <v>57</v>
      </c>
      <c r="B757">
        <v>30</v>
      </c>
      <c r="C757" s="6">
        <v>65000</v>
      </c>
      <c r="D757" t="s">
        <v>11</v>
      </c>
      <c r="E757" t="s">
        <v>37</v>
      </c>
      <c r="F757" t="s">
        <v>39</v>
      </c>
      <c r="G757" s="7">
        <v>43881</v>
      </c>
      <c r="H757" t="s">
        <v>14</v>
      </c>
      <c r="I757" t="s">
        <v>15</v>
      </c>
      <c r="J757" t="s">
        <v>45</v>
      </c>
      <c r="K757">
        <f>IF(HR_Data4[[#This Row],[Phone]]="Missing",0,1)</f>
        <v>1</v>
      </c>
    </row>
    <row r="758" spans="1:11" x14ac:dyDescent="0.3">
      <c r="A758" t="s">
        <v>59</v>
      </c>
      <c r="B758">
        <v>50</v>
      </c>
      <c r="C758" s="6">
        <v>60000</v>
      </c>
      <c r="D758" t="s">
        <v>11</v>
      </c>
      <c r="E758" t="s">
        <v>26</v>
      </c>
      <c r="F758" t="s">
        <v>20</v>
      </c>
      <c r="G758" s="7">
        <v>43800</v>
      </c>
      <c r="H758" t="s">
        <v>41</v>
      </c>
      <c r="I758" t="s">
        <v>15</v>
      </c>
      <c r="J758" t="s">
        <v>23</v>
      </c>
      <c r="K758">
        <f>IF(HR_Data4[[#This Row],[Phone]]="Missing",0,1)</f>
        <v>1</v>
      </c>
    </row>
    <row r="759" spans="1:11" x14ac:dyDescent="0.3">
      <c r="A759" t="s">
        <v>54</v>
      </c>
      <c r="B759">
        <v>30</v>
      </c>
      <c r="C759" s="6">
        <v>60000</v>
      </c>
      <c r="D759" t="s">
        <v>36</v>
      </c>
      <c r="E759" t="s">
        <v>30</v>
      </c>
      <c r="F759" t="s">
        <v>43</v>
      </c>
      <c r="G759" s="7">
        <v>43800</v>
      </c>
      <c r="H759" t="s">
        <v>14</v>
      </c>
      <c r="I759" t="s">
        <v>69</v>
      </c>
      <c r="J759" t="s">
        <v>69</v>
      </c>
      <c r="K759">
        <f>IF(HR_Data4[[#This Row],[Phone]]="Missing",0,1)</f>
        <v>0</v>
      </c>
    </row>
    <row r="760" spans="1:11" x14ac:dyDescent="0.3">
      <c r="A760" t="s">
        <v>60</v>
      </c>
      <c r="B760">
        <v>50</v>
      </c>
      <c r="C760" s="6">
        <v>50000</v>
      </c>
      <c r="D760" t="s">
        <v>36</v>
      </c>
      <c r="E760" t="s">
        <v>26</v>
      </c>
      <c r="F760" t="s">
        <v>13</v>
      </c>
      <c r="G760" s="7">
        <v>43845</v>
      </c>
      <c r="H760" t="s">
        <v>21</v>
      </c>
      <c r="I760" t="s">
        <v>15</v>
      </c>
      <c r="J760" t="s">
        <v>69</v>
      </c>
      <c r="K760">
        <f>IF(HR_Data4[[#This Row],[Phone]]="Missing",0,1)</f>
        <v>0</v>
      </c>
    </row>
    <row r="761" spans="1:11" x14ac:dyDescent="0.3">
      <c r="A761" t="s">
        <v>55</v>
      </c>
      <c r="B761">
        <v>30</v>
      </c>
      <c r="C761" s="6">
        <v>65000</v>
      </c>
      <c r="D761" t="s">
        <v>11</v>
      </c>
      <c r="E761" t="s">
        <v>19</v>
      </c>
      <c r="F761" t="s">
        <v>43</v>
      </c>
      <c r="G761" s="7">
        <v>43549</v>
      </c>
      <c r="H761" t="s">
        <v>21</v>
      </c>
      <c r="I761" t="s">
        <v>69</v>
      </c>
      <c r="J761" t="s">
        <v>69</v>
      </c>
      <c r="K761">
        <f>IF(HR_Data4[[#This Row],[Phone]]="Missing",0,1)</f>
        <v>0</v>
      </c>
    </row>
    <row r="762" spans="1:11" x14ac:dyDescent="0.3">
      <c r="A762" t="s">
        <v>58</v>
      </c>
      <c r="B762">
        <v>30</v>
      </c>
      <c r="C762" s="6" t="s">
        <v>68</v>
      </c>
      <c r="D762" t="s">
        <v>36</v>
      </c>
      <c r="E762" t="s">
        <v>37</v>
      </c>
      <c r="F762" t="s">
        <v>39</v>
      </c>
      <c r="G762" s="7">
        <v>43881</v>
      </c>
      <c r="H762" t="s">
        <v>21</v>
      </c>
      <c r="I762" t="s">
        <v>32</v>
      </c>
      <c r="J762" t="s">
        <v>45</v>
      </c>
      <c r="K762">
        <f>IF(HR_Data4[[#This Row],[Phone]]="Missing",0,1)</f>
        <v>1</v>
      </c>
    </row>
    <row r="763" spans="1:11" x14ac:dyDescent="0.3">
      <c r="A763" t="s">
        <v>59</v>
      </c>
      <c r="B763">
        <v>30</v>
      </c>
      <c r="C763" s="6">
        <v>70000</v>
      </c>
      <c r="D763" t="s">
        <v>18</v>
      </c>
      <c r="E763" t="s">
        <v>30</v>
      </c>
      <c r="F763" t="s">
        <v>39</v>
      </c>
      <c r="G763" s="7">
        <v>43800</v>
      </c>
      <c r="H763" t="s">
        <v>31</v>
      </c>
      <c r="I763" t="s">
        <v>15</v>
      </c>
      <c r="J763" t="s">
        <v>45</v>
      </c>
      <c r="K763">
        <f>IF(HR_Data4[[#This Row],[Phone]]="Missing",0,1)</f>
        <v>1</v>
      </c>
    </row>
    <row r="764" spans="1:11" x14ac:dyDescent="0.3">
      <c r="A764" t="s">
        <v>55</v>
      </c>
      <c r="B764">
        <v>30</v>
      </c>
      <c r="C764" s="6">
        <v>50000</v>
      </c>
      <c r="D764" t="s">
        <v>18</v>
      </c>
      <c r="E764" t="s">
        <v>26</v>
      </c>
      <c r="F764" t="s">
        <v>43</v>
      </c>
      <c r="G764" s="7">
        <v>43549</v>
      </c>
      <c r="H764" t="s">
        <v>41</v>
      </c>
      <c r="I764" t="s">
        <v>15</v>
      </c>
      <c r="J764" t="s">
        <v>23</v>
      </c>
      <c r="K764">
        <f>IF(HR_Data4[[#This Row],[Phone]]="Missing",0,1)</f>
        <v>1</v>
      </c>
    </row>
    <row r="765" spans="1:11" x14ac:dyDescent="0.3">
      <c r="A765" t="s">
        <v>60</v>
      </c>
      <c r="B765">
        <v>36</v>
      </c>
      <c r="C765" s="6">
        <v>50000</v>
      </c>
      <c r="D765" t="s">
        <v>36</v>
      </c>
      <c r="E765" t="s">
        <v>37</v>
      </c>
      <c r="F765" t="s">
        <v>39</v>
      </c>
      <c r="G765" s="7">
        <v>43881</v>
      </c>
      <c r="H765" t="s">
        <v>31</v>
      </c>
      <c r="I765" t="s">
        <v>22</v>
      </c>
      <c r="J765" t="s">
        <v>45</v>
      </c>
      <c r="K765">
        <f>IF(HR_Data4[[#This Row],[Phone]]="Missing",0,1)</f>
        <v>1</v>
      </c>
    </row>
    <row r="766" spans="1:11" x14ac:dyDescent="0.3">
      <c r="A766" t="s">
        <v>55</v>
      </c>
      <c r="B766">
        <v>25</v>
      </c>
      <c r="C766" s="6" t="s">
        <v>68</v>
      </c>
      <c r="D766" t="s">
        <v>36</v>
      </c>
      <c r="E766" t="s">
        <v>37</v>
      </c>
      <c r="F766" t="s">
        <v>44</v>
      </c>
      <c r="G766" s="7">
        <v>43195</v>
      </c>
      <c r="H766" t="s">
        <v>27</v>
      </c>
      <c r="I766" t="s">
        <v>22</v>
      </c>
      <c r="J766" t="s">
        <v>28</v>
      </c>
      <c r="K766">
        <f>IF(HR_Data4[[#This Row],[Phone]]="Missing",0,1)</f>
        <v>1</v>
      </c>
    </row>
    <row r="767" spans="1:11" x14ac:dyDescent="0.3">
      <c r="A767" t="s">
        <v>60</v>
      </c>
      <c r="B767">
        <v>35</v>
      </c>
      <c r="C767" s="6">
        <v>65000</v>
      </c>
      <c r="D767" t="s">
        <v>11</v>
      </c>
      <c r="E767" t="s">
        <v>30</v>
      </c>
      <c r="F767" t="s">
        <v>44</v>
      </c>
      <c r="G767" s="7">
        <v>43195</v>
      </c>
      <c r="H767" t="s">
        <v>41</v>
      </c>
      <c r="I767" t="s">
        <v>22</v>
      </c>
      <c r="J767" t="s">
        <v>45</v>
      </c>
      <c r="K767">
        <f>IF(HR_Data4[[#This Row],[Phone]]="Missing",0,1)</f>
        <v>1</v>
      </c>
    </row>
    <row r="768" spans="1:11" x14ac:dyDescent="0.3">
      <c r="A768" t="s">
        <v>60</v>
      </c>
      <c r="B768">
        <v>40</v>
      </c>
      <c r="C768" s="6">
        <v>65000</v>
      </c>
      <c r="D768" t="s">
        <v>36</v>
      </c>
      <c r="E768" t="s">
        <v>26</v>
      </c>
      <c r="F768" t="s">
        <v>39</v>
      </c>
      <c r="G768" s="7">
        <v>43881</v>
      </c>
      <c r="H768" t="s">
        <v>14</v>
      </c>
      <c r="I768" t="s">
        <v>32</v>
      </c>
      <c r="J768" t="s">
        <v>23</v>
      </c>
      <c r="K768">
        <f>IF(HR_Data4[[#This Row],[Phone]]="Missing",0,1)</f>
        <v>1</v>
      </c>
    </row>
    <row r="769" spans="1:11" x14ac:dyDescent="0.3">
      <c r="A769" t="s">
        <v>57</v>
      </c>
      <c r="B769">
        <v>35</v>
      </c>
      <c r="C769" s="6">
        <v>60000</v>
      </c>
      <c r="D769" t="s">
        <v>11</v>
      </c>
      <c r="E769" t="s">
        <v>37</v>
      </c>
      <c r="F769" t="s">
        <v>39</v>
      </c>
      <c r="G769" s="7">
        <v>43845</v>
      </c>
      <c r="H769" t="s">
        <v>21</v>
      </c>
      <c r="I769" t="s">
        <v>69</v>
      </c>
      <c r="J769" t="s">
        <v>23</v>
      </c>
      <c r="K769">
        <f>IF(HR_Data4[[#This Row],[Phone]]="Missing",0,1)</f>
        <v>1</v>
      </c>
    </row>
    <row r="770" spans="1:11" x14ac:dyDescent="0.3">
      <c r="A770" t="s">
        <v>53</v>
      </c>
      <c r="B770">
        <v>35</v>
      </c>
      <c r="C770" s="6" t="s">
        <v>68</v>
      </c>
      <c r="D770" t="s">
        <v>18</v>
      </c>
      <c r="E770" t="s">
        <v>37</v>
      </c>
      <c r="F770" t="s">
        <v>44</v>
      </c>
      <c r="G770" s="7">
        <v>43881</v>
      </c>
      <c r="H770" t="s">
        <v>27</v>
      </c>
      <c r="I770" t="s">
        <v>69</v>
      </c>
      <c r="J770" t="s">
        <v>28</v>
      </c>
      <c r="K770">
        <f>IF(HR_Data4[[#This Row],[Phone]]="Missing",0,1)</f>
        <v>1</v>
      </c>
    </row>
    <row r="771" spans="1:11" x14ac:dyDescent="0.3">
      <c r="A771" t="s">
        <v>59</v>
      </c>
      <c r="B771">
        <v>50</v>
      </c>
      <c r="C771" s="6" t="s">
        <v>68</v>
      </c>
      <c r="D771" t="s">
        <v>36</v>
      </c>
      <c r="E771" t="s">
        <v>12</v>
      </c>
      <c r="F771" t="s">
        <v>39</v>
      </c>
      <c r="G771" s="7">
        <v>43881</v>
      </c>
      <c r="H771" t="s">
        <v>41</v>
      </c>
      <c r="I771" t="s">
        <v>69</v>
      </c>
      <c r="J771" t="s">
        <v>23</v>
      </c>
      <c r="K771">
        <f>IF(HR_Data4[[#This Row],[Phone]]="Missing",0,1)</f>
        <v>1</v>
      </c>
    </row>
    <row r="772" spans="1:11" x14ac:dyDescent="0.3">
      <c r="A772" t="s">
        <v>55</v>
      </c>
      <c r="B772">
        <v>25</v>
      </c>
      <c r="C772" s="6">
        <v>65000</v>
      </c>
      <c r="D772" t="s">
        <v>11</v>
      </c>
      <c r="E772" t="s">
        <v>37</v>
      </c>
      <c r="F772" t="s">
        <v>39</v>
      </c>
      <c r="G772" s="7">
        <v>43845</v>
      </c>
      <c r="H772" t="s">
        <v>31</v>
      </c>
      <c r="I772" t="s">
        <v>32</v>
      </c>
      <c r="J772" t="s">
        <v>69</v>
      </c>
      <c r="K772">
        <f>IF(HR_Data4[[#This Row],[Phone]]="Missing",0,1)</f>
        <v>0</v>
      </c>
    </row>
    <row r="773" spans="1:11" x14ac:dyDescent="0.3">
      <c r="A773" t="s">
        <v>52</v>
      </c>
      <c r="B773">
        <v>50</v>
      </c>
      <c r="C773" s="6">
        <v>60000</v>
      </c>
      <c r="D773" t="s">
        <v>11</v>
      </c>
      <c r="E773" t="s">
        <v>12</v>
      </c>
      <c r="F773" t="s">
        <v>43</v>
      </c>
      <c r="G773" s="7">
        <v>43845</v>
      </c>
      <c r="H773" t="s">
        <v>21</v>
      </c>
      <c r="I773" t="s">
        <v>32</v>
      </c>
      <c r="J773" t="s">
        <v>69</v>
      </c>
      <c r="K773">
        <f>IF(HR_Data4[[#This Row],[Phone]]="Missing",0,1)</f>
        <v>0</v>
      </c>
    </row>
    <row r="774" spans="1:11" x14ac:dyDescent="0.3">
      <c r="A774" t="s">
        <v>59</v>
      </c>
      <c r="B774">
        <v>25</v>
      </c>
      <c r="C774" s="6">
        <v>50000</v>
      </c>
      <c r="D774" t="s">
        <v>18</v>
      </c>
      <c r="E774" t="s">
        <v>26</v>
      </c>
      <c r="F774" t="s">
        <v>13</v>
      </c>
      <c r="G774" s="7">
        <v>43549</v>
      </c>
      <c r="H774" t="s">
        <v>31</v>
      </c>
      <c r="I774" t="s">
        <v>22</v>
      </c>
      <c r="J774" t="s">
        <v>45</v>
      </c>
      <c r="K774">
        <f>IF(HR_Data4[[#This Row],[Phone]]="Missing",0,1)</f>
        <v>1</v>
      </c>
    </row>
    <row r="775" spans="1:11" x14ac:dyDescent="0.3">
      <c r="A775" t="s">
        <v>53</v>
      </c>
      <c r="B775">
        <v>25</v>
      </c>
      <c r="C775" s="6">
        <v>55000</v>
      </c>
      <c r="D775" t="s">
        <v>36</v>
      </c>
      <c r="E775" t="s">
        <v>26</v>
      </c>
      <c r="F775" t="s">
        <v>44</v>
      </c>
      <c r="G775" s="7">
        <v>43549</v>
      </c>
      <c r="H775" t="s">
        <v>41</v>
      </c>
      <c r="I775" t="s">
        <v>15</v>
      </c>
      <c r="J775" t="s">
        <v>69</v>
      </c>
      <c r="K775">
        <f>IF(HR_Data4[[#This Row],[Phone]]="Missing",0,1)</f>
        <v>0</v>
      </c>
    </row>
    <row r="776" spans="1:11" x14ac:dyDescent="0.3">
      <c r="A776" t="s">
        <v>59</v>
      </c>
      <c r="B776">
        <v>30</v>
      </c>
      <c r="C776" s="6">
        <v>70000</v>
      </c>
      <c r="D776" t="s">
        <v>18</v>
      </c>
      <c r="E776" t="s">
        <v>26</v>
      </c>
      <c r="F776" t="s">
        <v>43</v>
      </c>
      <c r="G776" s="7">
        <v>43845</v>
      </c>
      <c r="H776" t="s">
        <v>41</v>
      </c>
      <c r="I776" t="s">
        <v>69</v>
      </c>
      <c r="J776" t="s">
        <v>45</v>
      </c>
      <c r="K776">
        <f>IF(HR_Data4[[#This Row],[Phone]]="Missing",0,1)</f>
        <v>1</v>
      </c>
    </row>
    <row r="777" spans="1:11" x14ac:dyDescent="0.3">
      <c r="A777" t="s">
        <v>56</v>
      </c>
      <c r="B777">
        <v>36</v>
      </c>
      <c r="C777" s="6">
        <v>50000</v>
      </c>
      <c r="D777" t="s">
        <v>11</v>
      </c>
      <c r="E777" t="s">
        <v>19</v>
      </c>
      <c r="F777" t="s">
        <v>13</v>
      </c>
      <c r="G777" s="7">
        <v>43195</v>
      </c>
      <c r="H777" t="s">
        <v>27</v>
      </c>
      <c r="I777" t="s">
        <v>69</v>
      </c>
      <c r="J777" t="s">
        <v>69</v>
      </c>
      <c r="K777">
        <f>IF(HR_Data4[[#This Row],[Phone]]="Missing",0,1)</f>
        <v>0</v>
      </c>
    </row>
    <row r="778" spans="1:11" x14ac:dyDescent="0.3">
      <c r="A778" t="s">
        <v>52</v>
      </c>
      <c r="B778">
        <v>30</v>
      </c>
      <c r="C778" s="6">
        <v>65000</v>
      </c>
      <c r="D778" t="s">
        <v>11</v>
      </c>
      <c r="E778" t="s">
        <v>26</v>
      </c>
      <c r="F778" t="s">
        <v>39</v>
      </c>
      <c r="G778" s="7">
        <v>43195</v>
      </c>
      <c r="H778" t="s">
        <v>14</v>
      </c>
      <c r="I778" t="s">
        <v>15</v>
      </c>
      <c r="J778" t="s">
        <v>45</v>
      </c>
      <c r="K778">
        <f>IF(HR_Data4[[#This Row],[Phone]]="Missing",0,1)</f>
        <v>1</v>
      </c>
    </row>
    <row r="779" spans="1:11" x14ac:dyDescent="0.3">
      <c r="A779" t="s">
        <v>53</v>
      </c>
      <c r="B779">
        <v>36</v>
      </c>
      <c r="C779" s="6">
        <v>70000</v>
      </c>
      <c r="D779" t="s">
        <v>36</v>
      </c>
      <c r="E779" t="s">
        <v>37</v>
      </c>
      <c r="F779" t="s">
        <v>39</v>
      </c>
      <c r="G779" s="7">
        <v>43881</v>
      </c>
      <c r="H779" t="s">
        <v>31</v>
      </c>
      <c r="I779" t="s">
        <v>22</v>
      </c>
      <c r="J779" t="s">
        <v>28</v>
      </c>
      <c r="K779">
        <f>IF(HR_Data4[[#This Row],[Phone]]="Missing",0,1)</f>
        <v>1</v>
      </c>
    </row>
    <row r="780" spans="1:11" x14ac:dyDescent="0.3">
      <c r="A780" t="s">
        <v>57</v>
      </c>
      <c r="B780">
        <v>50</v>
      </c>
      <c r="C780" s="6">
        <v>55000</v>
      </c>
      <c r="D780" t="s">
        <v>11</v>
      </c>
      <c r="E780" t="s">
        <v>30</v>
      </c>
      <c r="F780" t="s">
        <v>43</v>
      </c>
      <c r="G780" s="7">
        <v>43800</v>
      </c>
      <c r="H780" t="s">
        <v>27</v>
      </c>
      <c r="I780" t="s">
        <v>15</v>
      </c>
      <c r="J780" t="s">
        <v>23</v>
      </c>
      <c r="K780">
        <f>IF(HR_Data4[[#This Row],[Phone]]="Missing",0,1)</f>
        <v>1</v>
      </c>
    </row>
    <row r="781" spans="1:11" x14ac:dyDescent="0.3">
      <c r="A781" t="s">
        <v>55</v>
      </c>
      <c r="B781">
        <v>36</v>
      </c>
      <c r="C781" s="6">
        <v>55000</v>
      </c>
      <c r="D781" t="s">
        <v>36</v>
      </c>
      <c r="E781" t="s">
        <v>12</v>
      </c>
      <c r="F781" t="s">
        <v>39</v>
      </c>
      <c r="G781" s="7">
        <v>43881</v>
      </c>
      <c r="H781" t="s">
        <v>21</v>
      </c>
      <c r="I781" t="s">
        <v>15</v>
      </c>
      <c r="J781" t="s">
        <v>23</v>
      </c>
      <c r="K781">
        <f>IF(HR_Data4[[#This Row],[Phone]]="Missing",0,1)</f>
        <v>1</v>
      </c>
    </row>
    <row r="782" spans="1:11" x14ac:dyDescent="0.3">
      <c r="A782" t="s">
        <v>51</v>
      </c>
      <c r="B782">
        <v>50</v>
      </c>
      <c r="C782" s="6">
        <v>60000</v>
      </c>
      <c r="D782" t="s">
        <v>18</v>
      </c>
      <c r="E782" t="s">
        <v>19</v>
      </c>
      <c r="F782" t="s">
        <v>20</v>
      </c>
      <c r="G782" s="7">
        <v>43881</v>
      </c>
      <c r="H782" t="s">
        <v>14</v>
      </c>
      <c r="I782" t="s">
        <v>69</v>
      </c>
      <c r="J782" t="s">
        <v>28</v>
      </c>
      <c r="K782">
        <f>IF(HR_Data4[[#This Row],[Phone]]="Missing",0,1)</f>
        <v>1</v>
      </c>
    </row>
    <row r="783" spans="1:11" x14ac:dyDescent="0.3">
      <c r="A783" t="s">
        <v>53</v>
      </c>
      <c r="B783">
        <v>35</v>
      </c>
      <c r="C783" s="6">
        <v>70000</v>
      </c>
      <c r="D783" t="s">
        <v>36</v>
      </c>
      <c r="E783" t="s">
        <v>26</v>
      </c>
      <c r="F783" t="s">
        <v>43</v>
      </c>
      <c r="G783" s="7">
        <v>43800</v>
      </c>
      <c r="H783" t="s">
        <v>27</v>
      </c>
      <c r="I783" t="s">
        <v>22</v>
      </c>
      <c r="J783" t="s">
        <v>69</v>
      </c>
      <c r="K783">
        <f>IF(HR_Data4[[#This Row],[Phone]]="Missing",0,1)</f>
        <v>0</v>
      </c>
    </row>
    <row r="784" spans="1:11" x14ac:dyDescent="0.3">
      <c r="A784" t="s">
        <v>58</v>
      </c>
      <c r="B784">
        <v>35</v>
      </c>
      <c r="C784" s="6">
        <v>60000</v>
      </c>
      <c r="D784" t="s">
        <v>36</v>
      </c>
      <c r="E784" t="s">
        <v>26</v>
      </c>
      <c r="F784" t="s">
        <v>13</v>
      </c>
      <c r="G784" s="7">
        <v>43845</v>
      </c>
      <c r="H784" t="s">
        <v>31</v>
      </c>
      <c r="I784" t="s">
        <v>32</v>
      </c>
      <c r="J784" t="s">
        <v>69</v>
      </c>
      <c r="K784">
        <f>IF(HR_Data4[[#This Row],[Phone]]="Missing",0,1)</f>
        <v>0</v>
      </c>
    </row>
    <row r="785" spans="1:11" x14ac:dyDescent="0.3">
      <c r="A785" t="s">
        <v>55</v>
      </c>
      <c r="B785">
        <v>36</v>
      </c>
      <c r="C785" s="6">
        <v>50000</v>
      </c>
      <c r="D785" t="s">
        <v>11</v>
      </c>
      <c r="E785" t="s">
        <v>30</v>
      </c>
      <c r="F785" t="s">
        <v>43</v>
      </c>
      <c r="G785" s="7">
        <v>43195</v>
      </c>
      <c r="H785" t="s">
        <v>41</v>
      </c>
      <c r="I785" t="s">
        <v>69</v>
      </c>
      <c r="J785" t="s">
        <v>69</v>
      </c>
      <c r="K785">
        <f>IF(HR_Data4[[#This Row],[Phone]]="Missing",0,1)</f>
        <v>0</v>
      </c>
    </row>
    <row r="786" spans="1:11" x14ac:dyDescent="0.3">
      <c r="A786" t="s">
        <v>53</v>
      </c>
      <c r="B786">
        <v>36</v>
      </c>
      <c r="C786" s="6" t="s">
        <v>68</v>
      </c>
      <c r="D786" t="s">
        <v>11</v>
      </c>
      <c r="E786" t="s">
        <v>30</v>
      </c>
      <c r="F786" t="s">
        <v>44</v>
      </c>
      <c r="G786" s="7">
        <v>43881</v>
      </c>
      <c r="H786" t="s">
        <v>21</v>
      </c>
      <c r="I786" t="s">
        <v>32</v>
      </c>
      <c r="J786" t="s">
        <v>23</v>
      </c>
      <c r="K786">
        <f>IF(HR_Data4[[#This Row],[Phone]]="Missing",0,1)</f>
        <v>1</v>
      </c>
    </row>
    <row r="787" spans="1:11" x14ac:dyDescent="0.3">
      <c r="A787" t="s">
        <v>56</v>
      </c>
      <c r="B787">
        <v>50</v>
      </c>
      <c r="C787" s="6" t="s">
        <v>68</v>
      </c>
      <c r="D787" t="s">
        <v>36</v>
      </c>
      <c r="E787" t="s">
        <v>19</v>
      </c>
      <c r="F787" t="s">
        <v>43</v>
      </c>
      <c r="G787" s="7">
        <v>43800</v>
      </c>
      <c r="H787" t="s">
        <v>31</v>
      </c>
      <c r="I787" t="s">
        <v>22</v>
      </c>
      <c r="J787" t="s">
        <v>69</v>
      </c>
      <c r="K787">
        <f>IF(HR_Data4[[#This Row],[Phone]]="Missing",0,1)</f>
        <v>0</v>
      </c>
    </row>
    <row r="788" spans="1:11" x14ac:dyDescent="0.3">
      <c r="A788" t="s">
        <v>51</v>
      </c>
      <c r="B788">
        <v>30</v>
      </c>
      <c r="C788" s="6" t="s">
        <v>68</v>
      </c>
      <c r="D788" t="s">
        <v>11</v>
      </c>
      <c r="E788" t="s">
        <v>12</v>
      </c>
      <c r="F788" t="s">
        <v>39</v>
      </c>
      <c r="G788" s="7">
        <v>43549</v>
      </c>
      <c r="H788" t="s">
        <v>14</v>
      </c>
      <c r="I788" t="s">
        <v>15</v>
      </c>
      <c r="J788" t="s">
        <v>45</v>
      </c>
      <c r="K788">
        <f>IF(HR_Data4[[#This Row],[Phone]]="Missing",0,1)</f>
        <v>1</v>
      </c>
    </row>
    <row r="789" spans="1:11" x14ac:dyDescent="0.3">
      <c r="A789" t="s">
        <v>56</v>
      </c>
      <c r="B789">
        <v>50</v>
      </c>
      <c r="C789" s="6">
        <v>70000</v>
      </c>
      <c r="D789" t="s">
        <v>11</v>
      </c>
      <c r="E789" t="s">
        <v>26</v>
      </c>
      <c r="F789" t="s">
        <v>39</v>
      </c>
      <c r="G789" s="7">
        <v>43881</v>
      </c>
      <c r="H789" t="s">
        <v>14</v>
      </c>
      <c r="I789" t="s">
        <v>69</v>
      </c>
      <c r="J789" t="s">
        <v>69</v>
      </c>
      <c r="K789">
        <f>IF(HR_Data4[[#This Row],[Phone]]="Missing",0,1)</f>
        <v>0</v>
      </c>
    </row>
    <row r="790" spans="1:11" x14ac:dyDescent="0.3">
      <c r="A790" t="s">
        <v>51</v>
      </c>
      <c r="B790">
        <v>30</v>
      </c>
      <c r="C790" s="6" t="s">
        <v>68</v>
      </c>
      <c r="D790" t="s">
        <v>11</v>
      </c>
      <c r="E790" t="s">
        <v>19</v>
      </c>
      <c r="F790" t="s">
        <v>20</v>
      </c>
      <c r="G790" s="7">
        <v>43195</v>
      </c>
      <c r="H790" t="s">
        <v>41</v>
      </c>
      <c r="I790" t="s">
        <v>69</v>
      </c>
      <c r="J790" t="s">
        <v>69</v>
      </c>
      <c r="K790">
        <f>IF(HR_Data4[[#This Row],[Phone]]="Missing",0,1)</f>
        <v>0</v>
      </c>
    </row>
    <row r="791" spans="1:11" x14ac:dyDescent="0.3">
      <c r="A791" t="s">
        <v>58</v>
      </c>
      <c r="B791">
        <v>35</v>
      </c>
      <c r="C791" s="6">
        <v>50000</v>
      </c>
      <c r="D791" t="s">
        <v>36</v>
      </c>
      <c r="E791" t="s">
        <v>37</v>
      </c>
      <c r="F791" t="s">
        <v>20</v>
      </c>
      <c r="G791" s="7">
        <v>43845</v>
      </c>
      <c r="H791" t="s">
        <v>41</v>
      </c>
      <c r="I791" t="s">
        <v>22</v>
      </c>
      <c r="J791" t="s">
        <v>28</v>
      </c>
      <c r="K791">
        <f>IF(HR_Data4[[#This Row],[Phone]]="Missing",0,1)</f>
        <v>1</v>
      </c>
    </row>
    <row r="792" spans="1:11" x14ac:dyDescent="0.3">
      <c r="A792" t="s">
        <v>55</v>
      </c>
      <c r="B792">
        <v>25</v>
      </c>
      <c r="C792" s="6">
        <v>60000</v>
      </c>
      <c r="D792" t="s">
        <v>11</v>
      </c>
      <c r="E792" t="s">
        <v>37</v>
      </c>
      <c r="F792" t="s">
        <v>20</v>
      </c>
      <c r="G792" s="7">
        <v>43881</v>
      </c>
      <c r="H792" t="s">
        <v>21</v>
      </c>
      <c r="I792" t="s">
        <v>69</v>
      </c>
      <c r="J792" t="s">
        <v>45</v>
      </c>
      <c r="K792">
        <f>IF(HR_Data4[[#This Row],[Phone]]="Missing",0,1)</f>
        <v>1</v>
      </c>
    </row>
    <row r="793" spans="1:11" x14ac:dyDescent="0.3">
      <c r="A793" t="s">
        <v>57</v>
      </c>
      <c r="B793">
        <v>36</v>
      </c>
      <c r="C793" s="6">
        <v>70000</v>
      </c>
      <c r="D793" t="s">
        <v>36</v>
      </c>
      <c r="E793" t="s">
        <v>19</v>
      </c>
      <c r="F793" t="s">
        <v>13</v>
      </c>
      <c r="G793" s="7">
        <v>43881</v>
      </c>
      <c r="H793" t="s">
        <v>21</v>
      </c>
      <c r="I793" t="s">
        <v>32</v>
      </c>
      <c r="J793" t="s">
        <v>69</v>
      </c>
      <c r="K793">
        <f>IF(HR_Data4[[#This Row],[Phone]]="Missing",0,1)</f>
        <v>0</v>
      </c>
    </row>
    <row r="794" spans="1:11" x14ac:dyDescent="0.3">
      <c r="A794" t="s">
        <v>56</v>
      </c>
      <c r="B794">
        <v>30</v>
      </c>
      <c r="C794" s="6">
        <v>60000</v>
      </c>
      <c r="D794" t="s">
        <v>11</v>
      </c>
      <c r="E794" t="s">
        <v>26</v>
      </c>
      <c r="F794" t="s">
        <v>20</v>
      </c>
      <c r="G794" s="7">
        <v>43800</v>
      </c>
      <c r="H794" t="s">
        <v>41</v>
      </c>
      <c r="I794" t="s">
        <v>69</v>
      </c>
      <c r="J794" t="s">
        <v>45</v>
      </c>
      <c r="K794">
        <f>IF(HR_Data4[[#This Row],[Phone]]="Missing",0,1)</f>
        <v>1</v>
      </c>
    </row>
    <row r="795" spans="1:11" x14ac:dyDescent="0.3">
      <c r="A795" t="s">
        <v>56</v>
      </c>
      <c r="B795">
        <v>50</v>
      </c>
      <c r="C795" s="6">
        <v>70000</v>
      </c>
      <c r="D795" t="s">
        <v>18</v>
      </c>
      <c r="E795" t="s">
        <v>19</v>
      </c>
      <c r="F795" t="s">
        <v>13</v>
      </c>
      <c r="G795" s="7">
        <v>43549</v>
      </c>
      <c r="H795" t="s">
        <v>41</v>
      </c>
      <c r="I795" t="s">
        <v>22</v>
      </c>
      <c r="J795" t="s">
        <v>69</v>
      </c>
      <c r="K795">
        <f>IF(HR_Data4[[#This Row],[Phone]]="Missing",0,1)</f>
        <v>0</v>
      </c>
    </row>
    <row r="796" spans="1:11" x14ac:dyDescent="0.3">
      <c r="A796" t="s">
        <v>60</v>
      </c>
      <c r="B796">
        <v>35</v>
      </c>
      <c r="C796" s="6">
        <v>60000</v>
      </c>
      <c r="D796" t="s">
        <v>11</v>
      </c>
      <c r="E796" t="s">
        <v>26</v>
      </c>
      <c r="F796" t="s">
        <v>20</v>
      </c>
      <c r="G796" s="7">
        <v>43549</v>
      </c>
      <c r="H796" t="s">
        <v>14</v>
      </c>
      <c r="I796" t="s">
        <v>22</v>
      </c>
      <c r="J796" t="s">
        <v>23</v>
      </c>
      <c r="K796">
        <f>IF(HR_Data4[[#This Row],[Phone]]="Missing",0,1)</f>
        <v>1</v>
      </c>
    </row>
    <row r="797" spans="1:11" x14ac:dyDescent="0.3">
      <c r="A797" t="s">
        <v>51</v>
      </c>
      <c r="B797">
        <v>30</v>
      </c>
      <c r="C797" s="6">
        <v>55000</v>
      </c>
      <c r="D797" t="s">
        <v>11</v>
      </c>
      <c r="E797" t="s">
        <v>30</v>
      </c>
      <c r="F797" t="s">
        <v>13</v>
      </c>
      <c r="G797" s="7">
        <v>43845</v>
      </c>
      <c r="H797" t="s">
        <v>41</v>
      </c>
      <c r="I797" t="s">
        <v>32</v>
      </c>
      <c r="J797" t="s">
        <v>69</v>
      </c>
      <c r="K797">
        <f>IF(HR_Data4[[#This Row],[Phone]]="Missing",0,1)</f>
        <v>0</v>
      </c>
    </row>
    <row r="798" spans="1:11" x14ac:dyDescent="0.3">
      <c r="A798" t="s">
        <v>54</v>
      </c>
      <c r="B798">
        <v>50</v>
      </c>
      <c r="C798" s="6">
        <v>60000</v>
      </c>
      <c r="D798" t="s">
        <v>36</v>
      </c>
      <c r="E798" t="s">
        <v>19</v>
      </c>
      <c r="F798" t="s">
        <v>43</v>
      </c>
      <c r="G798" s="7">
        <v>43195</v>
      </c>
      <c r="H798" t="s">
        <v>27</v>
      </c>
      <c r="I798" t="s">
        <v>69</v>
      </c>
      <c r="J798" t="s">
        <v>28</v>
      </c>
      <c r="K798">
        <f>IF(HR_Data4[[#This Row],[Phone]]="Missing",0,1)</f>
        <v>1</v>
      </c>
    </row>
    <row r="799" spans="1:11" x14ac:dyDescent="0.3">
      <c r="A799" t="s">
        <v>55</v>
      </c>
      <c r="B799">
        <v>36</v>
      </c>
      <c r="C799" s="6" t="s">
        <v>68</v>
      </c>
      <c r="D799" t="s">
        <v>36</v>
      </c>
      <c r="E799" t="s">
        <v>26</v>
      </c>
      <c r="F799" t="s">
        <v>43</v>
      </c>
      <c r="G799" s="7">
        <v>43845</v>
      </c>
      <c r="H799" t="s">
        <v>31</v>
      </c>
      <c r="I799" t="s">
        <v>69</v>
      </c>
      <c r="J799" t="s">
        <v>69</v>
      </c>
      <c r="K799">
        <f>IF(HR_Data4[[#This Row],[Phone]]="Missing",0,1)</f>
        <v>0</v>
      </c>
    </row>
    <row r="800" spans="1:11" x14ac:dyDescent="0.3">
      <c r="A800" t="s">
        <v>51</v>
      </c>
      <c r="B800">
        <v>36</v>
      </c>
      <c r="C800" s="6">
        <v>55000</v>
      </c>
      <c r="D800" t="s">
        <v>11</v>
      </c>
      <c r="E800" t="s">
        <v>19</v>
      </c>
      <c r="F800" t="s">
        <v>39</v>
      </c>
      <c r="G800" s="7">
        <v>43881</v>
      </c>
      <c r="H800" t="s">
        <v>41</v>
      </c>
      <c r="I800" t="s">
        <v>15</v>
      </c>
      <c r="J800" t="s">
        <v>69</v>
      </c>
      <c r="K800">
        <f>IF(HR_Data4[[#This Row],[Phone]]="Missing",0,1)</f>
        <v>0</v>
      </c>
    </row>
    <row r="801" spans="1:11" x14ac:dyDescent="0.3">
      <c r="A801" t="s">
        <v>60</v>
      </c>
      <c r="B801">
        <v>40</v>
      </c>
      <c r="C801" s="6">
        <v>60000</v>
      </c>
      <c r="D801" t="s">
        <v>18</v>
      </c>
      <c r="E801" t="s">
        <v>19</v>
      </c>
      <c r="F801" t="s">
        <v>13</v>
      </c>
      <c r="G801" s="7">
        <v>43881</v>
      </c>
      <c r="H801" t="s">
        <v>21</v>
      </c>
      <c r="I801" t="s">
        <v>69</v>
      </c>
      <c r="J801" t="s">
        <v>28</v>
      </c>
      <c r="K801">
        <f>IF(HR_Data4[[#This Row],[Phone]]="Missing",0,1)</f>
        <v>1</v>
      </c>
    </row>
    <row r="802" spans="1:11" x14ac:dyDescent="0.3">
      <c r="A802" t="s">
        <v>59</v>
      </c>
      <c r="B802">
        <v>25</v>
      </c>
      <c r="C802" s="6">
        <v>70000</v>
      </c>
      <c r="D802" t="s">
        <v>11</v>
      </c>
      <c r="E802" t="s">
        <v>26</v>
      </c>
      <c r="F802" t="s">
        <v>44</v>
      </c>
      <c r="G802" s="7">
        <v>43549</v>
      </c>
      <c r="H802" t="s">
        <v>27</v>
      </c>
      <c r="I802" t="s">
        <v>22</v>
      </c>
      <c r="J802" t="s">
        <v>69</v>
      </c>
      <c r="K802">
        <f>IF(HR_Data4[[#This Row],[Phone]]="Missing",0,1)</f>
        <v>0</v>
      </c>
    </row>
    <row r="803" spans="1:11" x14ac:dyDescent="0.3">
      <c r="A803" t="s">
        <v>51</v>
      </c>
      <c r="B803">
        <v>40</v>
      </c>
      <c r="C803" s="6">
        <v>70000</v>
      </c>
      <c r="D803" t="s">
        <v>11</v>
      </c>
      <c r="E803" t="s">
        <v>26</v>
      </c>
      <c r="F803" t="s">
        <v>39</v>
      </c>
      <c r="G803" s="7">
        <v>43195</v>
      </c>
      <c r="H803" t="s">
        <v>21</v>
      </c>
      <c r="I803" t="s">
        <v>15</v>
      </c>
      <c r="J803" t="s">
        <v>69</v>
      </c>
      <c r="K803">
        <f>IF(HR_Data4[[#This Row],[Phone]]="Missing",0,1)</f>
        <v>0</v>
      </c>
    </row>
    <row r="804" spans="1:11" x14ac:dyDescent="0.3">
      <c r="A804" t="s">
        <v>57</v>
      </c>
      <c r="B804">
        <v>35</v>
      </c>
      <c r="C804" s="6">
        <v>70000</v>
      </c>
      <c r="D804" t="s">
        <v>18</v>
      </c>
      <c r="E804" t="s">
        <v>12</v>
      </c>
      <c r="F804" t="s">
        <v>43</v>
      </c>
      <c r="G804" s="7">
        <v>43800</v>
      </c>
      <c r="H804" t="s">
        <v>27</v>
      </c>
      <c r="I804" t="s">
        <v>22</v>
      </c>
      <c r="J804" t="s">
        <v>69</v>
      </c>
      <c r="K804">
        <f>IF(HR_Data4[[#This Row],[Phone]]="Missing",0,1)</f>
        <v>0</v>
      </c>
    </row>
    <row r="805" spans="1:11" x14ac:dyDescent="0.3">
      <c r="A805" t="s">
        <v>55</v>
      </c>
      <c r="B805">
        <v>30</v>
      </c>
      <c r="C805" s="6">
        <v>65000</v>
      </c>
      <c r="D805" t="s">
        <v>36</v>
      </c>
      <c r="E805" t="s">
        <v>19</v>
      </c>
      <c r="F805" t="s">
        <v>13</v>
      </c>
      <c r="G805" s="7">
        <v>43195</v>
      </c>
      <c r="H805" t="s">
        <v>41</v>
      </c>
      <c r="I805" t="s">
        <v>15</v>
      </c>
      <c r="J805" t="s">
        <v>45</v>
      </c>
      <c r="K805">
        <f>IF(HR_Data4[[#This Row],[Phone]]="Missing",0,1)</f>
        <v>1</v>
      </c>
    </row>
    <row r="806" spans="1:11" x14ac:dyDescent="0.3">
      <c r="A806" t="s">
        <v>60</v>
      </c>
      <c r="B806">
        <v>35</v>
      </c>
      <c r="C806" s="6">
        <v>50000</v>
      </c>
      <c r="D806" t="s">
        <v>11</v>
      </c>
      <c r="E806" t="s">
        <v>37</v>
      </c>
      <c r="F806" t="s">
        <v>20</v>
      </c>
      <c r="G806" s="7">
        <v>43881</v>
      </c>
      <c r="H806" t="s">
        <v>31</v>
      </c>
      <c r="I806" t="s">
        <v>69</v>
      </c>
      <c r="J806" t="s">
        <v>69</v>
      </c>
      <c r="K806">
        <f>IF(HR_Data4[[#This Row],[Phone]]="Missing",0,1)</f>
        <v>0</v>
      </c>
    </row>
    <row r="807" spans="1:11" x14ac:dyDescent="0.3">
      <c r="A807" t="s">
        <v>59</v>
      </c>
      <c r="B807">
        <v>50</v>
      </c>
      <c r="C807" s="6">
        <v>70000</v>
      </c>
      <c r="D807" t="s">
        <v>36</v>
      </c>
      <c r="E807" t="s">
        <v>19</v>
      </c>
      <c r="F807" t="s">
        <v>44</v>
      </c>
      <c r="G807" s="7">
        <v>43800</v>
      </c>
      <c r="H807" t="s">
        <v>21</v>
      </c>
      <c r="I807" t="s">
        <v>15</v>
      </c>
      <c r="J807" t="s">
        <v>69</v>
      </c>
      <c r="K807">
        <f>IF(HR_Data4[[#This Row],[Phone]]="Missing",0,1)</f>
        <v>0</v>
      </c>
    </row>
    <row r="808" spans="1:11" x14ac:dyDescent="0.3">
      <c r="A808" t="s">
        <v>52</v>
      </c>
      <c r="B808">
        <v>36</v>
      </c>
      <c r="C808" s="6">
        <v>55000</v>
      </c>
      <c r="D808" t="s">
        <v>36</v>
      </c>
      <c r="E808" t="s">
        <v>19</v>
      </c>
      <c r="F808" t="s">
        <v>43</v>
      </c>
      <c r="G808" s="7">
        <v>43195</v>
      </c>
      <c r="H808" t="s">
        <v>27</v>
      </c>
      <c r="I808" t="s">
        <v>22</v>
      </c>
      <c r="J808" t="s">
        <v>23</v>
      </c>
      <c r="K808">
        <f>IF(HR_Data4[[#This Row],[Phone]]="Missing",0,1)</f>
        <v>1</v>
      </c>
    </row>
    <row r="809" spans="1:11" x14ac:dyDescent="0.3">
      <c r="A809" t="s">
        <v>60</v>
      </c>
      <c r="B809">
        <v>40</v>
      </c>
      <c r="C809" s="6">
        <v>70000</v>
      </c>
      <c r="D809" t="s">
        <v>18</v>
      </c>
      <c r="E809" t="s">
        <v>26</v>
      </c>
      <c r="F809" t="s">
        <v>39</v>
      </c>
      <c r="G809" s="7">
        <v>43195</v>
      </c>
      <c r="H809" t="s">
        <v>14</v>
      </c>
      <c r="I809" t="s">
        <v>69</v>
      </c>
      <c r="J809" t="s">
        <v>69</v>
      </c>
      <c r="K809">
        <f>IF(HR_Data4[[#This Row],[Phone]]="Missing",0,1)</f>
        <v>0</v>
      </c>
    </row>
    <row r="810" spans="1:11" x14ac:dyDescent="0.3">
      <c r="A810" t="s">
        <v>52</v>
      </c>
      <c r="B810">
        <v>40</v>
      </c>
      <c r="C810" s="6">
        <v>65000</v>
      </c>
      <c r="D810" t="s">
        <v>18</v>
      </c>
      <c r="E810" t="s">
        <v>19</v>
      </c>
      <c r="F810" t="s">
        <v>13</v>
      </c>
      <c r="G810" s="7">
        <v>43800</v>
      </c>
      <c r="H810" t="s">
        <v>41</v>
      </c>
      <c r="I810" t="s">
        <v>22</v>
      </c>
      <c r="J810" t="s">
        <v>45</v>
      </c>
      <c r="K810">
        <f>IF(HR_Data4[[#This Row],[Phone]]="Missing",0,1)</f>
        <v>1</v>
      </c>
    </row>
    <row r="811" spans="1:11" x14ac:dyDescent="0.3">
      <c r="A811" t="s">
        <v>55</v>
      </c>
      <c r="B811">
        <v>40</v>
      </c>
      <c r="C811" s="6" t="s">
        <v>68</v>
      </c>
      <c r="D811" t="s">
        <v>36</v>
      </c>
      <c r="E811" t="s">
        <v>19</v>
      </c>
      <c r="F811" t="s">
        <v>44</v>
      </c>
      <c r="G811" s="7">
        <v>43881</v>
      </c>
      <c r="H811" t="s">
        <v>31</v>
      </c>
      <c r="I811" t="s">
        <v>32</v>
      </c>
      <c r="J811" t="s">
        <v>28</v>
      </c>
      <c r="K811">
        <f>IF(HR_Data4[[#This Row],[Phone]]="Missing",0,1)</f>
        <v>1</v>
      </c>
    </row>
    <row r="812" spans="1:11" x14ac:dyDescent="0.3">
      <c r="A812" t="s">
        <v>56</v>
      </c>
      <c r="B812">
        <v>35</v>
      </c>
      <c r="C812" s="6">
        <v>55000</v>
      </c>
      <c r="D812" t="s">
        <v>11</v>
      </c>
      <c r="E812" t="s">
        <v>37</v>
      </c>
      <c r="F812" t="s">
        <v>13</v>
      </c>
      <c r="G812" s="7">
        <v>43195</v>
      </c>
      <c r="H812" t="s">
        <v>41</v>
      </c>
      <c r="I812" t="s">
        <v>32</v>
      </c>
      <c r="J812" t="s">
        <v>28</v>
      </c>
      <c r="K812">
        <f>IF(HR_Data4[[#This Row],[Phone]]="Missing",0,1)</f>
        <v>1</v>
      </c>
    </row>
    <row r="813" spans="1:11" x14ac:dyDescent="0.3">
      <c r="A813" t="s">
        <v>60</v>
      </c>
      <c r="B813">
        <v>36</v>
      </c>
      <c r="C813" s="6">
        <v>65000</v>
      </c>
      <c r="D813" t="s">
        <v>36</v>
      </c>
      <c r="E813" t="s">
        <v>26</v>
      </c>
      <c r="F813" t="s">
        <v>20</v>
      </c>
      <c r="G813" s="7">
        <v>43800</v>
      </c>
      <c r="H813" t="s">
        <v>14</v>
      </c>
      <c r="I813" t="s">
        <v>32</v>
      </c>
      <c r="J813" t="s">
        <v>28</v>
      </c>
      <c r="K813">
        <f>IF(HR_Data4[[#This Row],[Phone]]="Missing",0,1)</f>
        <v>1</v>
      </c>
    </row>
    <row r="814" spans="1:11" x14ac:dyDescent="0.3">
      <c r="A814" t="s">
        <v>58</v>
      </c>
      <c r="B814">
        <v>30</v>
      </c>
      <c r="C814" s="6" t="s">
        <v>68</v>
      </c>
      <c r="D814" t="s">
        <v>11</v>
      </c>
      <c r="E814" t="s">
        <v>19</v>
      </c>
      <c r="F814" t="s">
        <v>39</v>
      </c>
      <c r="G814" s="7">
        <v>43881</v>
      </c>
      <c r="H814" t="s">
        <v>31</v>
      </c>
      <c r="I814" t="s">
        <v>32</v>
      </c>
      <c r="J814" t="s">
        <v>23</v>
      </c>
      <c r="K814">
        <f>IF(HR_Data4[[#This Row],[Phone]]="Missing",0,1)</f>
        <v>1</v>
      </c>
    </row>
    <row r="815" spans="1:11" x14ac:dyDescent="0.3">
      <c r="A815" t="s">
        <v>52</v>
      </c>
      <c r="B815">
        <v>50</v>
      </c>
      <c r="C815" s="6">
        <v>55000</v>
      </c>
      <c r="D815" t="s">
        <v>11</v>
      </c>
      <c r="E815" t="s">
        <v>30</v>
      </c>
      <c r="F815" t="s">
        <v>13</v>
      </c>
      <c r="G815" s="7">
        <v>43800</v>
      </c>
      <c r="H815" t="s">
        <v>14</v>
      </c>
      <c r="I815" t="s">
        <v>69</v>
      </c>
      <c r="J815" t="s">
        <v>45</v>
      </c>
      <c r="K815">
        <f>IF(HR_Data4[[#This Row],[Phone]]="Missing",0,1)</f>
        <v>1</v>
      </c>
    </row>
    <row r="816" spans="1:11" x14ac:dyDescent="0.3">
      <c r="A816" t="s">
        <v>57</v>
      </c>
      <c r="B816">
        <v>30</v>
      </c>
      <c r="C816" s="6">
        <v>60000</v>
      </c>
      <c r="D816" t="s">
        <v>18</v>
      </c>
      <c r="E816" t="s">
        <v>12</v>
      </c>
      <c r="F816" t="s">
        <v>43</v>
      </c>
      <c r="G816" s="7">
        <v>43800</v>
      </c>
      <c r="H816" t="s">
        <v>41</v>
      </c>
      <c r="I816" t="s">
        <v>69</v>
      </c>
      <c r="J816" t="s">
        <v>69</v>
      </c>
      <c r="K816">
        <f>IF(HR_Data4[[#This Row],[Phone]]="Missing",0,1)</f>
        <v>0</v>
      </c>
    </row>
    <row r="817" spans="1:11" x14ac:dyDescent="0.3">
      <c r="A817" t="s">
        <v>58</v>
      </c>
      <c r="B817">
        <v>35</v>
      </c>
      <c r="C817" s="6">
        <v>50000</v>
      </c>
      <c r="D817" t="s">
        <v>11</v>
      </c>
      <c r="E817" t="s">
        <v>37</v>
      </c>
      <c r="F817" t="s">
        <v>39</v>
      </c>
      <c r="G817" s="7">
        <v>43195</v>
      </c>
      <c r="H817" t="s">
        <v>27</v>
      </c>
      <c r="I817" t="s">
        <v>69</v>
      </c>
      <c r="J817" t="s">
        <v>28</v>
      </c>
      <c r="K817">
        <f>IF(HR_Data4[[#This Row],[Phone]]="Missing",0,1)</f>
        <v>1</v>
      </c>
    </row>
    <row r="818" spans="1:11" x14ac:dyDescent="0.3">
      <c r="A818" t="s">
        <v>53</v>
      </c>
      <c r="B818">
        <v>50</v>
      </c>
      <c r="C818" s="6">
        <v>50000</v>
      </c>
      <c r="D818" t="s">
        <v>11</v>
      </c>
      <c r="E818" t="s">
        <v>19</v>
      </c>
      <c r="F818" t="s">
        <v>43</v>
      </c>
      <c r="G818" s="7">
        <v>43881</v>
      </c>
      <c r="H818" t="s">
        <v>41</v>
      </c>
      <c r="I818" t="s">
        <v>22</v>
      </c>
      <c r="J818" t="s">
        <v>45</v>
      </c>
      <c r="K818">
        <f>IF(HR_Data4[[#This Row],[Phone]]="Missing",0,1)</f>
        <v>1</v>
      </c>
    </row>
    <row r="819" spans="1:11" x14ac:dyDescent="0.3">
      <c r="A819" t="s">
        <v>53</v>
      </c>
      <c r="B819">
        <v>40</v>
      </c>
      <c r="C819" s="6">
        <v>65000</v>
      </c>
      <c r="D819" t="s">
        <v>36</v>
      </c>
      <c r="E819" t="s">
        <v>30</v>
      </c>
      <c r="F819" t="s">
        <v>13</v>
      </c>
      <c r="G819" s="7">
        <v>43195</v>
      </c>
      <c r="H819" t="s">
        <v>41</v>
      </c>
      <c r="I819" t="s">
        <v>15</v>
      </c>
      <c r="J819" t="s">
        <v>69</v>
      </c>
      <c r="K819">
        <f>IF(HR_Data4[[#This Row],[Phone]]="Missing",0,1)</f>
        <v>0</v>
      </c>
    </row>
    <row r="820" spans="1:11" x14ac:dyDescent="0.3">
      <c r="A820" t="s">
        <v>59</v>
      </c>
      <c r="B820">
        <v>25</v>
      </c>
      <c r="C820" s="6" t="s">
        <v>68</v>
      </c>
      <c r="D820" t="s">
        <v>18</v>
      </c>
      <c r="E820" t="s">
        <v>19</v>
      </c>
      <c r="F820" t="s">
        <v>39</v>
      </c>
      <c r="G820" s="7">
        <v>43845</v>
      </c>
      <c r="H820" t="s">
        <v>41</v>
      </c>
      <c r="I820" t="s">
        <v>22</v>
      </c>
      <c r="J820" t="s">
        <v>23</v>
      </c>
      <c r="K820">
        <f>IF(HR_Data4[[#This Row],[Phone]]="Missing",0,1)</f>
        <v>1</v>
      </c>
    </row>
    <row r="821" spans="1:11" x14ac:dyDescent="0.3">
      <c r="A821" t="s">
        <v>56</v>
      </c>
      <c r="B821">
        <v>35</v>
      </c>
      <c r="C821" s="6">
        <v>50000</v>
      </c>
      <c r="D821" t="s">
        <v>11</v>
      </c>
      <c r="E821" t="s">
        <v>19</v>
      </c>
      <c r="F821" t="s">
        <v>43</v>
      </c>
      <c r="G821" s="7">
        <v>43845</v>
      </c>
      <c r="H821" t="s">
        <v>21</v>
      </c>
      <c r="I821" t="s">
        <v>22</v>
      </c>
      <c r="J821" t="s">
        <v>45</v>
      </c>
      <c r="K821">
        <f>IF(HR_Data4[[#This Row],[Phone]]="Missing",0,1)</f>
        <v>1</v>
      </c>
    </row>
    <row r="822" spans="1:11" x14ac:dyDescent="0.3">
      <c r="A822" t="s">
        <v>55</v>
      </c>
      <c r="B822">
        <v>35</v>
      </c>
      <c r="C822" s="6" t="s">
        <v>68</v>
      </c>
      <c r="D822" t="s">
        <v>11</v>
      </c>
      <c r="E822" t="s">
        <v>26</v>
      </c>
      <c r="F822" t="s">
        <v>20</v>
      </c>
      <c r="G822" s="7">
        <v>43881</v>
      </c>
      <c r="H822" t="s">
        <v>14</v>
      </c>
      <c r="I822" t="s">
        <v>22</v>
      </c>
      <c r="J822" t="s">
        <v>45</v>
      </c>
      <c r="K822">
        <f>IF(HR_Data4[[#This Row],[Phone]]="Missing",0,1)</f>
        <v>1</v>
      </c>
    </row>
    <row r="823" spans="1:11" x14ac:dyDescent="0.3">
      <c r="A823" t="s">
        <v>60</v>
      </c>
      <c r="B823">
        <v>36</v>
      </c>
      <c r="C823" s="6" t="s">
        <v>68</v>
      </c>
      <c r="D823" t="s">
        <v>18</v>
      </c>
      <c r="E823" t="s">
        <v>26</v>
      </c>
      <c r="F823" t="s">
        <v>20</v>
      </c>
      <c r="G823" s="7">
        <v>43800</v>
      </c>
      <c r="H823" t="s">
        <v>14</v>
      </c>
      <c r="I823" t="s">
        <v>22</v>
      </c>
      <c r="J823" t="s">
        <v>69</v>
      </c>
      <c r="K823">
        <f>IF(HR_Data4[[#This Row],[Phone]]="Missing",0,1)</f>
        <v>0</v>
      </c>
    </row>
    <row r="824" spans="1:11" x14ac:dyDescent="0.3">
      <c r="A824" t="s">
        <v>54</v>
      </c>
      <c r="B824">
        <v>30</v>
      </c>
      <c r="C824" s="6">
        <v>65000</v>
      </c>
      <c r="D824" t="s">
        <v>36</v>
      </c>
      <c r="E824" t="s">
        <v>26</v>
      </c>
      <c r="F824" t="s">
        <v>13</v>
      </c>
      <c r="G824" s="7">
        <v>43195</v>
      </c>
      <c r="H824" t="s">
        <v>14</v>
      </c>
      <c r="I824" t="s">
        <v>69</v>
      </c>
      <c r="J824" t="s">
        <v>45</v>
      </c>
      <c r="K824">
        <f>IF(HR_Data4[[#This Row],[Phone]]="Missing",0,1)</f>
        <v>1</v>
      </c>
    </row>
    <row r="825" spans="1:11" x14ac:dyDescent="0.3">
      <c r="A825" t="s">
        <v>57</v>
      </c>
      <c r="B825">
        <v>35</v>
      </c>
      <c r="C825" s="6">
        <v>65000</v>
      </c>
      <c r="D825" t="s">
        <v>18</v>
      </c>
      <c r="E825" t="s">
        <v>30</v>
      </c>
      <c r="F825" t="s">
        <v>39</v>
      </c>
      <c r="G825" s="7">
        <v>43195</v>
      </c>
      <c r="H825" t="s">
        <v>21</v>
      </c>
      <c r="I825" t="s">
        <v>15</v>
      </c>
      <c r="J825" t="s">
        <v>69</v>
      </c>
      <c r="K825">
        <f>IF(HR_Data4[[#This Row],[Phone]]="Missing",0,1)</f>
        <v>0</v>
      </c>
    </row>
    <row r="826" spans="1:11" x14ac:dyDescent="0.3">
      <c r="A826" t="s">
        <v>52</v>
      </c>
      <c r="B826">
        <v>35</v>
      </c>
      <c r="C826" s="6">
        <v>65000</v>
      </c>
      <c r="D826" t="s">
        <v>18</v>
      </c>
      <c r="E826" t="s">
        <v>19</v>
      </c>
      <c r="F826" t="s">
        <v>44</v>
      </c>
      <c r="G826" s="7">
        <v>43881</v>
      </c>
      <c r="H826" t="s">
        <v>27</v>
      </c>
      <c r="I826" t="s">
        <v>22</v>
      </c>
      <c r="J826" t="s">
        <v>23</v>
      </c>
      <c r="K826">
        <f>IF(HR_Data4[[#This Row],[Phone]]="Missing",0,1)</f>
        <v>1</v>
      </c>
    </row>
    <row r="827" spans="1:11" x14ac:dyDescent="0.3">
      <c r="A827" t="s">
        <v>55</v>
      </c>
      <c r="B827">
        <v>40</v>
      </c>
      <c r="C827" s="6">
        <v>50000</v>
      </c>
      <c r="D827" t="s">
        <v>11</v>
      </c>
      <c r="E827" t="s">
        <v>12</v>
      </c>
      <c r="F827" t="s">
        <v>39</v>
      </c>
      <c r="G827" s="7">
        <v>43881</v>
      </c>
      <c r="H827" t="s">
        <v>41</v>
      </c>
      <c r="I827" t="s">
        <v>69</v>
      </c>
      <c r="J827" t="s">
        <v>23</v>
      </c>
      <c r="K827">
        <f>IF(HR_Data4[[#This Row],[Phone]]="Missing",0,1)</f>
        <v>1</v>
      </c>
    </row>
    <row r="828" spans="1:11" x14ac:dyDescent="0.3">
      <c r="A828" t="s">
        <v>58</v>
      </c>
      <c r="B828">
        <v>40</v>
      </c>
      <c r="C828" s="6">
        <v>65000</v>
      </c>
      <c r="D828" t="s">
        <v>11</v>
      </c>
      <c r="E828" t="s">
        <v>37</v>
      </c>
      <c r="F828" t="s">
        <v>20</v>
      </c>
      <c r="G828" s="7">
        <v>43845</v>
      </c>
      <c r="H828" t="s">
        <v>27</v>
      </c>
      <c r="I828" t="s">
        <v>22</v>
      </c>
      <c r="J828" t="s">
        <v>69</v>
      </c>
      <c r="K828">
        <f>IF(HR_Data4[[#This Row],[Phone]]="Missing",0,1)</f>
        <v>0</v>
      </c>
    </row>
    <row r="829" spans="1:11" x14ac:dyDescent="0.3">
      <c r="A829" t="s">
        <v>53</v>
      </c>
      <c r="B829">
        <v>50</v>
      </c>
      <c r="C829" s="6">
        <v>50000</v>
      </c>
      <c r="D829" t="s">
        <v>36</v>
      </c>
      <c r="E829" t="s">
        <v>26</v>
      </c>
      <c r="F829" t="s">
        <v>43</v>
      </c>
      <c r="G829" s="7">
        <v>43549</v>
      </c>
      <c r="H829" t="s">
        <v>21</v>
      </c>
      <c r="I829" t="s">
        <v>32</v>
      </c>
      <c r="J829" t="s">
        <v>69</v>
      </c>
      <c r="K829">
        <f>IF(HR_Data4[[#This Row],[Phone]]="Missing",0,1)</f>
        <v>0</v>
      </c>
    </row>
    <row r="830" spans="1:11" x14ac:dyDescent="0.3">
      <c r="A830" t="s">
        <v>57</v>
      </c>
      <c r="B830">
        <v>25</v>
      </c>
      <c r="C830" s="6">
        <v>65000</v>
      </c>
      <c r="D830" t="s">
        <v>11</v>
      </c>
      <c r="E830" t="s">
        <v>26</v>
      </c>
      <c r="F830" t="s">
        <v>44</v>
      </c>
      <c r="G830" s="7">
        <v>43881</v>
      </c>
      <c r="H830" t="s">
        <v>14</v>
      </c>
      <c r="I830" t="s">
        <v>22</v>
      </c>
      <c r="J830" t="s">
        <v>69</v>
      </c>
      <c r="K830">
        <f>IF(HR_Data4[[#This Row],[Phone]]="Missing",0,1)</f>
        <v>0</v>
      </c>
    </row>
    <row r="831" spans="1:11" x14ac:dyDescent="0.3">
      <c r="A831" t="s">
        <v>54</v>
      </c>
      <c r="B831">
        <v>36</v>
      </c>
      <c r="C831" s="6">
        <v>70000</v>
      </c>
      <c r="D831" t="s">
        <v>11</v>
      </c>
      <c r="E831" t="s">
        <v>19</v>
      </c>
      <c r="F831" t="s">
        <v>13</v>
      </c>
      <c r="G831" s="7">
        <v>43549</v>
      </c>
      <c r="H831" t="s">
        <v>41</v>
      </c>
      <c r="I831" t="s">
        <v>22</v>
      </c>
      <c r="J831" t="s">
        <v>28</v>
      </c>
      <c r="K831">
        <f>IF(HR_Data4[[#This Row],[Phone]]="Missing",0,1)</f>
        <v>1</v>
      </c>
    </row>
    <row r="832" spans="1:11" x14ac:dyDescent="0.3">
      <c r="A832" t="s">
        <v>60</v>
      </c>
      <c r="B832">
        <v>25</v>
      </c>
      <c r="C832" s="6" t="s">
        <v>68</v>
      </c>
      <c r="D832" t="s">
        <v>18</v>
      </c>
      <c r="E832" t="s">
        <v>19</v>
      </c>
      <c r="F832" t="s">
        <v>44</v>
      </c>
      <c r="G832" s="7">
        <v>43881</v>
      </c>
      <c r="H832" t="s">
        <v>31</v>
      </c>
      <c r="I832" t="s">
        <v>69</v>
      </c>
      <c r="J832" t="s">
        <v>28</v>
      </c>
      <c r="K832">
        <f>IF(HR_Data4[[#This Row],[Phone]]="Missing",0,1)</f>
        <v>1</v>
      </c>
    </row>
    <row r="833" spans="1:11" x14ac:dyDescent="0.3">
      <c r="A833" t="s">
        <v>59</v>
      </c>
      <c r="B833">
        <v>50</v>
      </c>
      <c r="C833" s="6">
        <v>65000</v>
      </c>
      <c r="D833" t="s">
        <v>11</v>
      </c>
      <c r="E833" t="s">
        <v>30</v>
      </c>
      <c r="F833" t="s">
        <v>13</v>
      </c>
      <c r="G833" s="7">
        <v>43800</v>
      </c>
      <c r="H833" t="s">
        <v>31</v>
      </c>
      <c r="I833" t="s">
        <v>32</v>
      </c>
      <c r="J833" t="s">
        <v>69</v>
      </c>
      <c r="K833">
        <f>IF(HR_Data4[[#This Row],[Phone]]="Missing",0,1)</f>
        <v>0</v>
      </c>
    </row>
    <row r="834" spans="1:11" x14ac:dyDescent="0.3">
      <c r="A834" t="s">
        <v>54</v>
      </c>
      <c r="B834">
        <v>40</v>
      </c>
      <c r="C834" s="6">
        <v>55000</v>
      </c>
      <c r="D834" t="s">
        <v>36</v>
      </c>
      <c r="E834" t="s">
        <v>30</v>
      </c>
      <c r="F834" t="s">
        <v>44</v>
      </c>
      <c r="G834" s="7">
        <v>43800</v>
      </c>
      <c r="H834" t="s">
        <v>27</v>
      </c>
      <c r="I834" t="s">
        <v>15</v>
      </c>
      <c r="J834" t="s">
        <v>23</v>
      </c>
      <c r="K834">
        <f>IF(HR_Data4[[#This Row],[Phone]]="Missing",0,1)</f>
        <v>1</v>
      </c>
    </row>
    <row r="835" spans="1:11" x14ac:dyDescent="0.3">
      <c r="A835" t="s">
        <v>57</v>
      </c>
      <c r="B835">
        <v>30</v>
      </c>
      <c r="C835" s="6" t="s">
        <v>68</v>
      </c>
      <c r="D835" t="s">
        <v>18</v>
      </c>
      <c r="E835" t="s">
        <v>26</v>
      </c>
      <c r="F835" t="s">
        <v>13</v>
      </c>
      <c r="G835" s="7">
        <v>43845</v>
      </c>
      <c r="H835" t="s">
        <v>14</v>
      </c>
      <c r="I835" t="s">
        <v>22</v>
      </c>
      <c r="J835" t="s">
        <v>28</v>
      </c>
      <c r="K835">
        <f>IF(HR_Data4[[#This Row],[Phone]]="Missing",0,1)</f>
        <v>1</v>
      </c>
    </row>
    <row r="836" spans="1:11" x14ac:dyDescent="0.3">
      <c r="A836" t="s">
        <v>54</v>
      </c>
      <c r="B836">
        <v>40</v>
      </c>
      <c r="C836" s="6" t="s">
        <v>68</v>
      </c>
      <c r="D836" t="s">
        <v>36</v>
      </c>
      <c r="E836" t="s">
        <v>19</v>
      </c>
      <c r="F836" t="s">
        <v>13</v>
      </c>
      <c r="G836" s="7">
        <v>43845</v>
      </c>
      <c r="H836" t="s">
        <v>31</v>
      </c>
      <c r="I836" t="s">
        <v>15</v>
      </c>
      <c r="J836" t="s">
        <v>45</v>
      </c>
      <c r="K836">
        <f>IF(HR_Data4[[#This Row],[Phone]]="Missing",0,1)</f>
        <v>1</v>
      </c>
    </row>
    <row r="837" spans="1:11" x14ac:dyDescent="0.3">
      <c r="A837" t="s">
        <v>57</v>
      </c>
      <c r="B837">
        <v>36</v>
      </c>
      <c r="C837" s="6">
        <v>65000</v>
      </c>
      <c r="D837" t="s">
        <v>18</v>
      </c>
      <c r="E837" t="s">
        <v>12</v>
      </c>
      <c r="F837" t="s">
        <v>44</v>
      </c>
      <c r="G837" s="7">
        <v>43549</v>
      </c>
      <c r="H837" t="s">
        <v>27</v>
      </c>
      <c r="I837" t="s">
        <v>32</v>
      </c>
      <c r="J837" t="s">
        <v>23</v>
      </c>
      <c r="K837">
        <f>IF(HR_Data4[[#This Row],[Phone]]="Missing",0,1)</f>
        <v>1</v>
      </c>
    </row>
    <row r="838" spans="1:11" x14ac:dyDescent="0.3">
      <c r="A838" t="s">
        <v>57</v>
      </c>
      <c r="B838">
        <v>40</v>
      </c>
      <c r="C838" s="6">
        <v>60000</v>
      </c>
      <c r="D838" t="s">
        <v>11</v>
      </c>
      <c r="E838" t="s">
        <v>37</v>
      </c>
      <c r="F838" t="s">
        <v>44</v>
      </c>
      <c r="G838" s="7">
        <v>43881</v>
      </c>
      <c r="H838" t="s">
        <v>21</v>
      </c>
      <c r="I838" t="s">
        <v>22</v>
      </c>
      <c r="J838" t="s">
        <v>45</v>
      </c>
      <c r="K838">
        <f>IF(HR_Data4[[#This Row],[Phone]]="Missing",0,1)</f>
        <v>1</v>
      </c>
    </row>
    <row r="839" spans="1:11" x14ac:dyDescent="0.3">
      <c r="A839" t="s">
        <v>51</v>
      </c>
      <c r="B839">
        <v>36</v>
      </c>
      <c r="C839" s="6">
        <v>65000</v>
      </c>
      <c r="D839" t="s">
        <v>18</v>
      </c>
      <c r="E839" t="s">
        <v>19</v>
      </c>
      <c r="F839" t="s">
        <v>13</v>
      </c>
      <c r="G839" s="7">
        <v>43195</v>
      </c>
      <c r="H839" t="s">
        <v>27</v>
      </c>
      <c r="I839" t="s">
        <v>69</v>
      </c>
      <c r="J839" t="s">
        <v>69</v>
      </c>
      <c r="K839">
        <f>IF(HR_Data4[[#This Row],[Phone]]="Missing",0,1)</f>
        <v>0</v>
      </c>
    </row>
    <row r="840" spans="1:11" x14ac:dyDescent="0.3">
      <c r="A840" t="s">
        <v>52</v>
      </c>
      <c r="B840">
        <v>36</v>
      </c>
      <c r="C840" s="6" t="s">
        <v>68</v>
      </c>
      <c r="D840" t="s">
        <v>18</v>
      </c>
      <c r="E840" t="s">
        <v>19</v>
      </c>
      <c r="F840" t="s">
        <v>20</v>
      </c>
      <c r="G840" s="7">
        <v>43845</v>
      </c>
      <c r="H840" t="s">
        <v>27</v>
      </c>
      <c r="I840" t="s">
        <v>69</v>
      </c>
      <c r="J840" t="s">
        <v>23</v>
      </c>
      <c r="K840">
        <f>IF(HR_Data4[[#This Row],[Phone]]="Missing",0,1)</f>
        <v>1</v>
      </c>
    </row>
    <row r="841" spans="1:11" x14ac:dyDescent="0.3">
      <c r="A841" t="s">
        <v>53</v>
      </c>
      <c r="B841">
        <v>36</v>
      </c>
      <c r="C841" s="6">
        <v>55000</v>
      </c>
      <c r="D841" t="s">
        <v>11</v>
      </c>
      <c r="E841" t="s">
        <v>30</v>
      </c>
      <c r="F841" t="s">
        <v>44</v>
      </c>
      <c r="G841" s="7">
        <v>43195</v>
      </c>
      <c r="H841" t="s">
        <v>27</v>
      </c>
      <c r="I841" t="s">
        <v>69</v>
      </c>
      <c r="J841" t="s">
        <v>69</v>
      </c>
      <c r="K841">
        <f>IF(HR_Data4[[#This Row],[Phone]]="Missing",0,1)</f>
        <v>0</v>
      </c>
    </row>
    <row r="842" spans="1:11" x14ac:dyDescent="0.3">
      <c r="A842" t="s">
        <v>51</v>
      </c>
      <c r="B842">
        <v>50</v>
      </c>
      <c r="C842" s="6" t="s">
        <v>68</v>
      </c>
      <c r="D842" t="s">
        <v>11</v>
      </c>
      <c r="E842" t="s">
        <v>37</v>
      </c>
      <c r="F842" t="s">
        <v>39</v>
      </c>
      <c r="G842" s="7">
        <v>43195</v>
      </c>
      <c r="H842" t="s">
        <v>41</v>
      </c>
      <c r="I842" t="s">
        <v>69</v>
      </c>
      <c r="J842" t="s">
        <v>69</v>
      </c>
      <c r="K842">
        <f>IF(HR_Data4[[#This Row],[Phone]]="Missing",0,1)</f>
        <v>0</v>
      </c>
    </row>
    <row r="843" spans="1:11" x14ac:dyDescent="0.3">
      <c r="A843" t="s">
        <v>60</v>
      </c>
      <c r="B843">
        <v>36</v>
      </c>
      <c r="C843" s="6">
        <v>55000</v>
      </c>
      <c r="D843" t="s">
        <v>36</v>
      </c>
      <c r="E843" t="s">
        <v>26</v>
      </c>
      <c r="F843" t="s">
        <v>43</v>
      </c>
      <c r="G843" s="7">
        <v>43881</v>
      </c>
      <c r="H843" t="s">
        <v>27</v>
      </c>
      <c r="I843" t="s">
        <v>69</v>
      </c>
      <c r="J843" t="s">
        <v>69</v>
      </c>
      <c r="K843">
        <f>IF(HR_Data4[[#This Row],[Phone]]="Missing",0,1)</f>
        <v>0</v>
      </c>
    </row>
    <row r="844" spans="1:11" x14ac:dyDescent="0.3">
      <c r="A844" t="s">
        <v>51</v>
      </c>
      <c r="B844">
        <v>36</v>
      </c>
      <c r="C844" s="6">
        <v>50000</v>
      </c>
      <c r="D844" t="s">
        <v>36</v>
      </c>
      <c r="E844" t="s">
        <v>19</v>
      </c>
      <c r="F844" t="s">
        <v>13</v>
      </c>
      <c r="G844" s="7">
        <v>43549</v>
      </c>
      <c r="H844" t="s">
        <v>27</v>
      </c>
      <c r="I844" t="s">
        <v>69</v>
      </c>
      <c r="J844" t="s">
        <v>45</v>
      </c>
      <c r="K844">
        <f>IF(HR_Data4[[#This Row],[Phone]]="Missing",0,1)</f>
        <v>1</v>
      </c>
    </row>
    <row r="845" spans="1:11" x14ac:dyDescent="0.3">
      <c r="A845" t="s">
        <v>56</v>
      </c>
      <c r="B845">
        <v>30</v>
      </c>
      <c r="C845" s="6">
        <v>70000</v>
      </c>
      <c r="D845" t="s">
        <v>11</v>
      </c>
      <c r="E845" t="s">
        <v>26</v>
      </c>
      <c r="F845" t="s">
        <v>13</v>
      </c>
      <c r="G845" s="7">
        <v>43881</v>
      </c>
      <c r="H845" t="s">
        <v>41</v>
      </c>
      <c r="I845" t="s">
        <v>69</v>
      </c>
      <c r="J845" t="s">
        <v>69</v>
      </c>
      <c r="K845">
        <f>IF(HR_Data4[[#This Row],[Phone]]="Missing",0,1)</f>
        <v>0</v>
      </c>
    </row>
    <row r="846" spans="1:11" x14ac:dyDescent="0.3">
      <c r="A846" t="s">
        <v>56</v>
      </c>
      <c r="B846">
        <v>25</v>
      </c>
      <c r="C846" s="6" t="s">
        <v>68</v>
      </c>
      <c r="D846" t="s">
        <v>11</v>
      </c>
      <c r="E846" t="s">
        <v>19</v>
      </c>
      <c r="F846" t="s">
        <v>43</v>
      </c>
      <c r="G846" s="7">
        <v>43845</v>
      </c>
      <c r="H846" t="s">
        <v>41</v>
      </c>
      <c r="I846" t="s">
        <v>22</v>
      </c>
      <c r="J846" t="s">
        <v>28</v>
      </c>
      <c r="K846">
        <f>IF(HR_Data4[[#This Row],[Phone]]="Missing",0,1)</f>
        <v>1</v>
      </c>
    </row>
    <row r="847" spans="1:11" x14ac:dyDescent="0.3">
      <c r="A847" t="s">
        <v>53</v>
      </c>
      <c r="B847">
        <v>35</v>
      </c>
      <c r="C847" s="6">
        <v>65000</v>
      </c>
      <c r="D847" t="s">
        <v>11</v>
      </c>
      <c r="E847" t="s">
        <v>26</v>
      </c>
      <c r="F847" t="s">
        <v>20</v>
      </c>
      <c r="G847" s="7">
        <v>43195</v>
      </c>
      <c r="H847" t="s">
        <v>21</v>
      </c>
      <c r="I847" t="s">
        <v>15</v>
      </c>
      <c r="J847" t="s">
        <v>23</v>
      </c>
      <c r="K847">
        <f>IF(HR_Data4[[#This Row],[Phone]]="Missing",0,1)</f>
        <v>1</v>
      </c>
    </row>
    <row r="848" spans="1:11" x14ac:dyDescent="0.3">
      <c r="A848" t="s">
        <v>54</v>
      </c>
      <c r="B848">
        <v>25</v>
      </c>
      <c r="C848" s="6">
        <v>50000</v>
      </c>
      <c r="D848" t="s">
        <v>18</v>
      </c>
      <c r="E848" t="s">
        <v>37</v>
      </c>
      <c r="F848" t="s">
        <v>43</v>
      </c>
      <c r="G848" s="7">
        <v>43881</v>
      </c>
      <c r="H848" t="s">
        <v>14</v>
      </c>
      <c r="I848" t="s">
        <v>15</v>
      </c>
      <c r="J848" t="s">
        <v>28</v>
      </c>
      <c r="K848">
        <f>IF(HR_Data4[[#This Row],[Phone]]="Missing",0,1)</f>
        <v>1</v>
      </c>
    </row>
    <row r="849" spans="1:11" x14ac:dyDescent="0.3">
      <c r="A849" t="s">
        <v>52</v>
      </c>
      <c r="B849">
        <v>36</v>
      </c>
      <c r="C849" s="6">
        <v>70000</v>
      </c>
      <c r="D849" t="s">
        <v>18</v>
      </c>
      <c r="E849" t="s">
        <v>30</v>
      </c>
      <c r="F849" t="s">
        <v>44</v>
      </c>
      <c r="G849" s="7">
        <v>43881</v>
      </c>
      <c r="H849" t="s">
        <v>31</v>
      </c>
      <c r="I849" t="s">
        <v>69</v>
      </c>
      <c r="J849" t="s">
        <v>45</v>
      </c>
      <c r="K849">
        <f>IF(HR_Data4[[#This Row],[Phone]]="Missing",0,1)</f>
        <v>1</v>
      </c>
    </row>
    <row r="850" spans="1:11" x14ac:dyDescent="0.3">
      <c r="A850" t="s">
        <v>53</v>
      </c>
      <c r="B850">
        <v>30</v>
      </c>
      <c r="C850" s="6">
        <v>65000</v>
      </c>
      <c r="D850" t="s">
        <v>18</v>
      </c>
      <c r="E850" t="s">
        <v>37</v>
      </c>
      <c r="F850" t="s">
        <v>43</v>
      </c>
      <c r="G850" s="7">
        <v>43881</v>
      </c>
      <c r="H850" t="s">
        <v>31</v>
      </c>
      <c r="I850" t="s">
        <v>69</v>
      </c>
      <c r="J850" t="s">
        <v>45</v>
      </c>
      <c r="K850">
        <f>IF(HR_Data4[[#This Row],[Phone]]="Missing",0,1)</f>
        <v>1</v>
      </c>
    </row>
    <row r="851" spans="1:11" x14ac:dyDescent="0.3">
      <c r="A851" t="s">
        <v>57</v>
      </c>
      <c r="B851">
        <v>40</v>
      </c>
      <c r="C851" s="6">
        <v>60000</v>
      </c>
      <c r="D851" t="s">
        <v>11</v>
      </c>
      <c r="E851" t="s">
        <v>12</v>
      </c>
      <c r="F851" t="s">
        <v>13</v>
      </c>
      <c r="G851" s="7">
        <v>43845</v>
      </c>
      <c r="H851" t="s">
        <v>27</v>
      </c>
      <c r="I851" t="s">
        <v>32</v>
      </c>
      <c r="J851" t="s">
        <v>23</v>
      </c>
      <c r="K851">
        <f>IF(HR_Data4[[#This Row],[Phone]]="Missing",0,1)</f>
        <v>1</v>
      </c>
    </row>
    <row r="852" spans="1:11" x14ac:dyDescent="0.3">
      <c r="A852" t="s">
        <v>58</v>
      </c>
      <c r="B852">
        <v>30</v>
      </c>
      <c r="C852" s="6">
        <v>65000</v>
      </c>
      <c r="D852" t="s">
        <v>36</v>
      </c>
      <c r="E852" t="s">
        <v>30</v>
      </c>
      <c r="F852" t="s">
        <v>43</v>
      </c>
      <c r="G852" s="7">
        <v>43549</v>
      </c>
      <c r="H852" t="s">
        <v>21</v>
      </c>
      <c r="I852" t="s">
        <v>69</v>
      </c>
      <c r="J852" t="s">
        <v>69</v>
      </c>
      <c r="K852">
        <f>IF(HR_Data4[[#This Row],[Phone]]="Missing",0,1)</f>
        <v>0</v>
      </c>
    </row>
    <row r="853" spans="1:11" x14ac:dyDescent="0.3">
      <c r="A853" t="s">
        <v>52</v>
      </c>
      <c r="B853">
        <v>36</v>
      </c>
      <c r="C853" s="6">
        <v>55000</v>
      </c>
      <c r="D853" t="s">
        <v>11</v>
      </c>
      <c r="E853" t="s">
        <v>37</v>
      </c>
      <c r="F853" t="s">
        <v>39</v>
      </c>
      <c r="G853" s="7">
        <v>43881</v>
      </c>
      <c r="H853" t="s">
        <v>27</v>
      </c>
      <c r="I853" t="s">
        <v>69</v>
      </c>
      <c r="J853" t="s">
        <v>69</v>
      </c>
      <c r="K853">
        <f>IF(HR_Data4[[#This Row],[Phone]]="Missing",0,1)</f>
        <v>0</v>
      </c>
    </row>
    <row r="854" spans="1:11" x14ac:dyDescent="0.3">
      <c r="A854" t="s">
        <v>52</v>
      </c>
      <c r="B854">
        <v>30</v>
      </c>
      <c r="C854" s="6">
        <v>55000</v>
      </c>
      <c r="D854" t="s">
        <v>18</v>
      </c>
      <c r="E854" t="s">
        <v>12</v>
      </c>
      <c r="F854" t="s">
        <v>44</v>
      </c>
      <c r="G854" s="7">
        <v>43845</v>
      </c>
      <c r="H854" t="s">
        <v>31</v>
      </c>
      <c r="I854" t="s">
        <v>69</v>
      </c>
      <c r="J854" t="s">
        <v>45</v>
      </c>
      <c r="K854">
        <f>IF(HR_Data4[[#This Row],[Phone]]="Missing",0,1)</f>
        <v>1</v>
      </c>
    </row>
    <row r="855" spans="1:11" x14ac:dyDescent="0.3">
      <c r="A855" t="s">
        <v>57</v>
      </c>
      <c r="B855">
        <v>30</v>
      </c>
      <c r="C855" s="6">
        <v>60000</v>
      </c>
      <c r="D855" t="s">
        <v>18</v>
      </c>
      <c r="E855" t="s">
        <v>19</v>
      </c>
      <c r="F855" t="s">
        <v>43</v>
      </c>
      <c r="G855" s="7">
        <v>43195</v>
      </c>
      <c r="H855" t="s">
        <v>41</v>
      </c>
      <c r="I855" t="s">
        <v>22</v>
      </c>
      <c r="J855" t="s">
        <v>23</v>
      </c>
      <c r="K855">
        <f>IF(HR_Data4[[#This Row],[Phone]]="Missing",0,1)</f>
        <v>1</v>
      </c>
    </row>
    <row r="856" spans="1:11" x14ac:dyDescent="0.3">
      <c r="A856" t="s">
        <v>57</v>
      </c>
      <c r="B856">
        <v>36</v>
      </c>
      <c r="C856" s="6">
        <v>50000</v>
      </c>
      <c r="D856" t="s">
        <v>11</v>
      </c>
      <c r="E856" t="s">
        <v>19</v>
      </c>
      <c r="F856" t="s">
        <v>13</v>
      </c>
      <c r="G856" s="7">
        <v>43800</v>
      </c>
      <c r="H856" t="s">
        <v>14</v>
      </c>
      <c r="I856" t="s">
        <v>22</v>
      </c>
      <c r="J856" t="s">
        <v>69</v>
      </c>
      <c r="K856">
        <f>IF(HR_Data4[[#This Row],[Phone]]="Missing",0,1)</f>
        <v>0</v>
      </c>
    </row>
    <row r="857" spans="1:11" x14ac:dyDescent="0.3">
      <c r="A857" t="s">
        <v>59</v>
      </c>
      <c r="B857">
        <v>50</v>
      </c>
      <c r="C857" s="6">
        <v>70000</v>
      </c>
      <c r="D857" t="s">
        <v>11</v>
      </c>
      <c r="E857" t="s">
        <v>26</v>
      </c>
      <c r="F857" t="s">
        <v>44</v>
      </c>
      <c r="G857" s="7">
        <v>43845</v>
      </c>
      <c r="H857" t="s">
        <v>21</v>
      </c>
      <c r="I857" t="s">
        <v>15</v>
      </c>
      <c r="J857" t="s">
        <v>69</v>
      </c>
      <c r="K857">
        <f>IF(HR_Data4[[#This Row],[Phone]]="Missing",0,1)</f>
        <v>0</v>
      </c>
    </row>
    <row r="858" spans="1:11" x14ac:dyDescent="0.3">
      <c r="A858" t="s">
        <v>53</v>
      </c>
      <c r="B858">
        <v>30</v>
      </c>
      <c r="C858" s="6">
        <v>65000</v>
      </c>
      <c r="D858" t="s">
        <v>18</v>
      </c>
      <c r="E858" t="s">
        <v>30</v>
      </c>
      <c r="F858" t="s">
        <v>13</v>
      </c>
      <c r="G858" s="7">
        <v>43800</v>
      </c>
      <c r="H858" t="s">
        <v>41</v>
      </c>
      <c r="I858" t="s">
        <v>15</v>
      </c>
      <c r="J858" t="s">
        <v>45</v>
      </c>
      <c r="K858">
        <f>IF(HR_Data4[[#This Row],[Phone]]="Missing",0,1)</f>
        <v>1</v>
      </c>
    </row>
    <row r="859" spans="1:11" x14ac:dyDescent="0.3">
      <c r="A859" t="s">
        <v>57</v>
      </c>
      <c r="B859">
        <v>35</v>
      </c>
      <c r="C859" s="6">
        <v>55000</v>
      </c>
      <c r="D859" t="s">
        <v>18</v>
      </c>
      <c r="E859" t="s">
        <v>19</v>
      </c>
      <c r="F859" t="s">
        <v>20</v>
      </c>
      <c r="G859" s="7">
        <v>43881</v>
      </c>
      <c r="H859" t="s">
        <v>14</v>
      </c>
      <c r="I859" t="s">
        <v>32</v>
      </c>
      <c r="J859" t="s">
        <v>23</v>
      </c>
      <c r="K859">
        <f>IF(HR_Data4[[#This Row],[Phone]]="Missing",0,1)</f>
        <v>1</v>
      </c>
    </row>
    <row r="860" spans="1:11" x14ac:dyDescent="0.3">
      <c r="A860" t="s">
        <v>56</v>
      </c>
      <c r="B860">
        <v>35</v>
      </c>
      <c r="C860" s="6">
        <v>50000</v>
      </c>
      <c r="D860" t="s">
        <v>18</v>
      </c>
      <c r="E860" t="s">
        <v>30</v>
      </c>
      <c r="F860" t="s">
        <v>39</v>
      </c>
      <c r="G860" s="7">
        <v>43881</v>
      </c>
      <c r="H860" t="s">
        <v>21</v>
      </c>
      <c r="I860" t="s">
        <v>32</v>
      </c>
      <c r="J860" t="s">
        <v>23</v>
      </c>
      <c r="K860">
        <f>IF(HR_Data4[[#This Row],[Phone]]="Missing",0,1)</f>
        <v>1</v>
      </c>
    </row>
    <row r="861" spans="1:11" x14ac:dyDescent="0.3">
      <c r="A861" t="s">
        <v>60</v>
      </c>
      <c r="B861">
        <v>30</v>
      </c>
      <c r="C861" s="6">
        <v>60000</v>
      </c>
      <c r="D861" t="s">
        <v>11</v>
      </c>
      <c r="E861" t="s">
        <v>19</v>
      </c>
      <c r="F861" t="s">
        <v>20</v>
      </c>
      <c r="G861" s="7">
        <v>43845</v>
      </c>
      <c r="H861" t="s">
        <v>21</v>
      </c>
      <c r="I861" t="s">
        <v>32</v>
      </c>
      <c r="J861" t="s">
        <v>23</v>
      </c>
      <c r="K861">
        <f>IF(HR_Data4[[#This Row],[Phone]]="Missing",0,1)</f>
        <v>1</v>
      </c>
    </row>
    <row r="862" spans="1:11" x14ac:dyDescent="0.3">
      <c r="A862" t="s">
        <v>58</v>
      </c>
      <c r="B862">
        <v>50</v>
      </c>
      <c r="C862" s="6" t="s">
        <v>68</v>
      </c>
      <c r="D862" t="s">
        <v>18</v>
      </c>
      <c r="E862" t="s">
        <v>26</v>
      </c>
      <c r="F862" t="s">
        <v>39</v>
      </c>
      <c r="G862" s="7">
        <v>43800</v>
      </c>
      <c r="H862" t="s">
        <v>31</v>
      </c>
      <c r="I862" t="s">
        <v>32</v>
      </c>
      <c r="J862" t="s">
        <v>45</v>
      </c>
      <c r="K862">
        <f>IF(HR_Data4[[#This Row],[Phone]]="Missing",0,1)</f>
        <v>1</v>
      </c>
    </row>
    <row r="863" spans="1:11" x14ac:dyDescent="0.3">
      <c r="A863" t="s">
        <v>53</v>
      </c>
      <c r="B863">
        <v>40</v>
      </c>
      <c r="C863" s="6">
        <v>55000</v>
      </c>
      <c r="D863" t="s">
        <v>18</v>
      </c>
      <c r="E863" t="s">
        <v>37</v>
      </c>
      <c r="F863" t="s">
        <v>43</v>
      </c>
      <c r="G863" s="7">
        <v>43881</v>
      </c>
      <c r="H863" t="s">
        <v>41</v>
      </c>
      <c r="I863" t="s">
        <v>69</v>
      </c>
      <c r="J863" t="s">
        <v>69</v>
      </c>
      <c r="K863">
        <f>IF(HR_Data4[[#This Row],[Phone]]="Missing",0,1)</f>
        <v>0</v>
      </c>
    </row>
    <row r="864" spans="1:11" x14ac:dyDescent="0.3">
      <c r="A864" t="s">
        <v>55</v>
      </c>
      <c r="B864">
        <v>36</v>
      </c>
      <c r="C864" s="6">
        <v>60000</v>
      </c>
      <c r="D864" t="s">
        <v>36</v>
      </c>
      <c r="E864" t="s">
        <v>26</v>
      </c>
      <c r="F864" t="s">
        <v>44</v>
      </c>
      <c r="G864" s="7">
        <v>43195</v>
      </c>
      <c r="H864" t="s">
        <v>21</v>
      </c>
      <c r="I864" t="s">
        <v>69</v>
      </c>
      <c r="J864" t="s">
        <v>23</v>
      </c>
      <c r="K864">
        <f>IF(HR_Data4[[#This Row],[Phone]]="Missing",0,1)</f>
        <v>1</v>
      </c>
    </row>
    <row r="865" spans="1:11" x14ac:dyDescent="0.3">
      <c r="A865" t="s">
        <v>56</v>
      </c>
      <c r="B865">
        <v>35</v>
      </c>
      <c r="C865" s="6">
        <v>65000</v>
      </c>
      <c r="D865" t="s">
        <v>11</v>
      </c>
      <c r="E865" t="s">
        <v>12</v>
      </c>
      <c r="F865" t="s">
        <v>43</v>
      </c>
      <c r="G865" s="7">
        <v>43549</v>
      </c>
      <c r="H865" t="s">
        <v>21</v>
      </c>
      <c r="I865" t="s">
        <v>15</v>
      </c>
      <c r="J865" t="s">
        <v>69</v>
      </c>
      <c r="K865">
        <f>IF(HR_Data4[[#This Row],[Phone]]="Missing",0,1)</f>
        <v>0</v>
      </c>
    </row>
    <row r="866" spans="1:11" x14ac:dyDescent="0.3">
      <c r="A866" t="s">
        <v>54</v>
      </c>
      <c r="B866">
        <v>40</v>
      </c>
      <c r="C866" s="6">
        <v>70000</v>
      </c>
      <c r="D866" t="s">
        <v>36</v>
      </c>
      <c r="E866" t="s">
        <v>19</v>
      </c>
      <c r="F866" t="s">
        <v>39</v>
      </c>
      <c r="G866" s="7">
        <v>43549</v>
      </c>
      <c r="H866" t="s">
        <v>14</v>
      </c>
      <c r="I866" t="s">
        <v>22</v>
      </c>
      <c r="J866" t="s">
        <v>23</v>
      </c>
      <c r="K866">
        <f>IF(HR_Data4[[#This Row],[Phone]]="Missing",0,1)</f>
        <v>1</v>
      </c>
    </row>
    <row r="867" spans="1:11" x14ac:dyDescent="0.3">
      <c r="A867" t="s">
        <v>57</v>
      </c>
      <c r="B867">
        <v>30</v>
      </c>
      <c r="C867" s="6">
        <v>55000</v>
      </c>
      <c r="D867" t="s">
        <v>36</v>
      </c>
      <c r="E867" t="s">
        <v>12</v>
      </c>
      <c r="F867" t="s">
        <v>39</v>
      </c>
      <c r="G867" s="7">
        <v>43881</v>
      </c>
      <c r="H867" t="s">
        <v>31</v>
      </c>
      <c r="I867" t="s">
        <v>22</v>
      </c>
      <c r="J867" t="s">
        <v>69</v>
      </c>
      <c r="K867">
        <f>IF(HR_Data4[[#This Row],[Phone]]="Missing",0,1)</f>
        <v>0</v>
      </c>
    </row>
    <row r="868" spans="1:11" x14ac:dyDescent="0.3">
      <c r="A868" t="s">
        <v>55</v>
      </c>
      <c r="B868">
        <v>40</v>
      </c>
      <c r="C868" s="6">
        <v>55000</v>
      </c>
      <c r="D868" t="s">
        <v>18</v>
      </c>
      <c r="E868" t="s">
        <v>12</v>
      </c>
      <c r="F868" t="s">
        <v>39</v>
      </c>
      <c r="G868" s="7">
        <v>43800</v>
      </c>
      <c r="H868" t="s">
        <v>27</v>
      </c>
      <c r="I868" t="s">
        <v>69</v>
      </c>
      <c r="J868" t="s">
        <v>45</v>
      </c>
      <c r="K868">
        <f>IF(HR_Data4[[#This Row],[Phone]]="Missing",0,1)</f>
        <v>1</v>
      </c>
    </row>
    <row r="869" spans="1:11" x14ac:dyDescent="0.3">
      <c r="A869" t="s">
        <v>57</v>
      </c>
      <c r="B869">
        <v>25</v>
      </c>
      <c r="C869" s="6">
        <v>65000</v>
      </c>
      <c r="D869" t="s">
        <v>11</v>
      </c>
      <c r="E869" t="s">
        <v>30</v>
      </c>
      <c r="F869" t="s">
        <v>13</v>
      </c>
      <c r="G869" s="7">
        <v>43881</v>
      </c>
      <c r="H869" t="s">
        <v>31</v>
      </c>
      <c r="I869" t="s">
        <v>69</v>
      </c>
      <c r="J869" t="s">
        <v>23</v>
      </c>
      <c r="K869">
        <f>IF(HR_Data4[[#This Row],[Phone]]="Missing",0,1)</f>
        <v>1</v>
      </c>
    </row>
    <row r="870" spans="1:11" x14ac:dyDescent="0.3">
      <c r="A870" t="s">
        <v>52</v>
      </c>
      <c r="B870">
        <v>35</v>
      </c>
      <c r="C870" s="6" t="s">
        <v>68</v>
      </c>
      <c r="D870" t="s">
        <v>18</v>
      </c>
      <c r="E870" t="s">
        <v>19</v>
      </c>
      <c r="F870" t="s">
        <v>44</v>
      </c>
      <c r="G870" s="7">
        <v>43800</v>
      </c>
      <c r="H870" t="s">
        <v>27</v>
      </c>
      <c r="I870" t="s">
        <v>32</v>
      </c>
      <c r="J870" t="s">
        <v>23</v>
      </c>
      <c r="K870">
        <f>IF(HR_Data4[[#This Row],[Phone]]="Missing",0,1)</f>
        <v>1</v>
      </c>
    </row>
    <row r="871" spans="1:11" x14ac:dyDescent="0.3">
      <c r="A871" t="s">
        <v>56</v>
      </c>
      <c r="B871">
        <v>30</v>
      </c>
      <c r="C871" s="6">
        <v>50000</v>
      </c>
      <c r="D871" t="s">
        <v>11</v>
      </c>
      <c r="E871" t="s">
        <v>12</v>
      </c>
      <c r="F871" t="s">
        <v>43</v>
      </c>
      <c r="G871" s="7">
        <v>43195</v>
      </c>
      <c r="H871" t="s">
        <v>41</v>
      </c>
      <c r="I871" t="s">
        <v>32</v>
      </c>
      <c r="J871" t="s">
        <v>69</v>
      </c>
      <c r="K871">
        <f>IF(HR_Data4[[#This Row],[Phone]]="Missing",0,1)</f>
        <v>0</v>
      </c>
    </row>
    <row r="872" spans="1:11" x14ac:dyDescent="0.3">
      <c r="A872" t="s">
        <v>52</v>
      </c>
      <c r="B872">
        <v>36</v>
      </c>
      <c r="C872" s="6">
        <v>70000</v>
      </c>
      <c r="D872" t="s">
        <v>36</v>
      </c>
      <c r="E872" t="s">
        <v>37</v>
      </c>
      <c r="F872" t="s">
        <v>43</v>
      </c>
      <c r="G872" s="7">
        <v>43800</v>
      </c>
      <c r="H872" t="s">
        <v>41</v>
      </c>
      <c r="I872" t="s">
        <v>69</v>
      </c>
      <c r="J872" t="s">
        <v>69</v>
      </c>
      <c r="K872">
        <f>IF(HR_Data4[[#This Row],[Phone]]="Missing",0,1)</f>
        <v>0</v>
      </c>
    </row>
    <row r="873" spans="1:11" x14ac:dyDescent="0.3">
      <c r="A873" t="s">
        <v>59</v>
      </c>
      <c r="B873">
        <v>50</v>
      </c>
      <c r="C873" s="6">
        <v>55000</v>
      </c>
      <c r="D873" t="s">
        <v>11</v>
      </c>
      <c r="E873" t="s">
        <v>12</v>
      </c>
      <c r="F873" t="s">
        <v>20</v>
      </c>
      <c r="G873" s="7">
        <v>43881</v>
      </c>
      <c r="H873" t="s">
        <v>21</v>
      </c>
      <c r="I873" t="s">
        <v>22</v>
      </c>
      <c r="J873" t="s">
        <v>23</v>
      </c>
      <c r="K873">
        <f>IF(HR_Data4[[#This Row],[Phone]]="Missing",0,1)</f>
        <v>1</v>
      </c>
    </row>
    <row r="874" spans="1:11" x14ac:dyDescent="0.3">
      <c r="A874" t="s">
        <v>52</v>
      </c>
      <c r="B874">
        <v>30</v>
      </c>
      <c r="C874" s="6">
        <v>70000</v>
      </c>
      <c r="D874" t="s">
        <v>18</v>
      </c>
      <c r="E874" t="s">
        <v>37</v>
      </c>
      <c r="F874" t="s">
        <v>39</v>
      </c>
      <c r="G874" s="7">
        <v>43195</v>
      </c>
      <c r="H874" t="s">
        <v>41</v>
      </c>
      <c r="I874" t="s">
        <v>32</v>
      </c>
      <c r="J874" t="s">
        <v>23</v>
      </c>
      <c r="K874">
        <f>IF(HR_Data4[[#This Row],[Phone]]="Missing",0,1)</f>
        <v>1</v>
      </c>
    </row>
    <row r="875" spans="1:11" x14ac:dyDescent="0.3">
      <c r="A875" t="s">
        <v>59</v>
      </c>
      <c r="B875">
        <v>36</v>
      </c>
      <c r="C875" s="6">
        <v>55000</v>
      </c>
      <c r="D875" t="s">
        <v>18</v>
      </c>
      <c r="E875" t="s">
        <v>30</v>
      </c>
      <c r="F875" t="s">
        <v>39</v>
      </c>
      <c r="G875" s="7">
        <v>43845</v>
      </c>
      <c r="H875" t="s">
        <v>21</v>
      </c>
      <c r="I875" t="s">
        <v>22</v>
      </c>
      <c r="J875" t="s">
        <v>69</v>
      </c>
      <c r="K875">
        <f>IF(HR_Data4[[#This Row],[Phone]]="Missing",0,1)</f>
        <v>0</v>
      </c>
    </row>
    <row r="876" spans="1:11" x14ac:dyDescent="0.3">
      <c r="A876" t="s">
        <v>59</v>
      </c>
      <c r="B876">
        <v>50</v>
      </c>
      <c r="C876" s="6">
        <v>70000</v>
      </c>
      <c r="D876" t="s">
        <v>18</v>
      </c>
      <c r="E876" t="s">
        <v>12</v>
      </c>
      <c r="F876" t="s">
        <v>39</v>
      </c>
      <c r="G876" s="7">
        <v>43549</v>
      </c>
      <c r="H876" t="s">
        <v>31</v>
      </c>
      <c r="I876" t="s">
        <v>69</v>
      </c>
      <c r="J876" t="s">
        <v>69</v>
      </c>
      <c r="K876">
        <f>IF(HR_Data4[[#This Row],[Phone]]="Missing",0,1)</f>
        <v>0</v>
      </c>
    </row>
    <row r="877" spans="1:11" x14ac:dyDescent="0.3">
      <c r="A877" t="s">
        <v>55</v>
      </c>
      <c r="B877">
        <v>50</v>
      </c>
      <c r="C877" s="6">
        <v>60000</v>
      </c>
      <c r="D877" t="s">
        <v>11</v>
      </c>
      <c r="E877" t="s">
        <v>26</v>
      </c>
      <c r="F877" t="s">
        <v>43</v>
      </c>
      <c r="G877" s="7">
        <v>43881</v>
      </c>
      <c r="H877" t="s">
        <v>41</v>
      </c>
      <c r="I877" t="s">
        <v>22</v>
      </c>
      <c r="J877" t="s">
        <v>28</v>
      </c>
      <c r="K877">
        <f>IF(HR_Data4[[#This Row],[Phone]]="Missing",0,1)</f>
        <v>1</v>
      </c>
    </row>
    <row r="878" spans="1:11" x14ac:dyDescent="0.3">
      <c r="A878" t="s">
        <v>57</v>
      </c>
      <c r="B878">
        <v>30</v>
      </c>
      <c r="C878" s="6">
        <v>55000</v>
      </c>
      <c r="D878" t="s">
        <v>36</v>
      </c>
      <c r="E878" t="s">
        <v>30</v>
      </c>
      <c r="F878" t="s">
        <v>20</v>
      </c>
      <c r="G878" s="7">
        <v>43881</v>
      </c>
      <c r="H878" t="s">
        <v>31</v>
      </c>
      <c r="I878" t="s">
        <v>22</v>
      </c>
      <c r="J878" t="s">
        <v>28</v>
      </c>
      <c r="K878">
        <f>IF(HR_Data4[[#This Row],[Phone]]="Missing",0,1)</f>
        <v>1</v>
      </c>
    </row>
    <row r="879" spans="1:11" x14ac:dyDescent="0.3">
      <c r="A879" t="s">
        <v>54</v>
      </c>
      <c r="B879">
        <v>40</v>
      </c>
      <c r="C879" s="6">
        <v>70000</v>
      </c>
      <c r="D879" t="s">
        <v>36</v>
      </c>
      <c r="E879" t="s">
        <v>37</v>
      </c>
      <c r="F879" t="s">
        <v>13</v>
      </c>
      <c r="G879" s="7">
        <v>43881</v>
      </c>
      <c r="H879" t="s">
        <v>31</v>
      </c>
      <c r="I879" t="s">
        <v>22</v>
      </c>
      <c r="J879" t="s">
        <v>23</v>
      </c>
      <c r="K879">
        <f>IF(HR_Data4[[#This Row],[Phone]]="Missing",0,1)</f>
        <v>1</v>
      </c>
    </row>
    <row r="880" spans="1:11" x14ac:dyDescent="0.3">
      <c r="A880" t="s">
        <v>52</v>
      </c>
      <c r="B880">
        <v>40</v>
      </c>
      <c r="C880" s="6">
        <v>50000</v>
      </c>
      <c r="D880" t="s">
        <v>11</v>
      </c>
      <c r="E880" t="s">
        <v>30</v>
      </c>
      <c r="F880" t="s">
        <v>44</v>
      </c>
      <c r="G880" s="7">
        <v>43195</v>
      </c>
      <c r="H880" t="s">
        <v>41</v>
      </c>
      <c r="I880" t="s">
        <v>32</v>
      </c>
      <c r="J880" t="s">
        <v>69</v>
      </c>
      <c r="K880">
        <f>IF(HR_Data4[[#This Row],[Phone]]="Missing",0,1)</f>
        <v>0</v>
      </c>
    </row>
    <row r="881" spans="1:11" x14ac:dyDescent="0.3">
      <c r="A881" t="s">
        <v>56</v>
      </c>
      <c r="B881">
        <v>50</v>
      </c>
      <c r="C881" s="6">
        <v>60000</v>
      </c>
      <c r="D881" t="s">
        <v>18</v>
      </c>
      <c r="E881" t="s">
        <v>12</v>
      </c>
      <c r="F881" t="s">
        <v>13</v>
      </c>
      <c r="G881" s="7">
        <v>43845</v>
      </c>
      <c r="H881" t="s">
        <v>31</v>
      </c>
      <c r="I881" t="s">
        <v>15</v>
      </c>
      <c r="J881" t="s">
        <v>45</v>
      </c>
      <c r="K881">
        <f>IF(HR_Data4[[#This Row],[Phone]]="Missing",0,1)</f>
        <v>1</v>
      </c>
    </row>
    <row r="882" spans="1:11" x14ac:dyDescent="0.3">
      <c r="A882" t="s">
        <v>59</v>
      </c>
      <c r="B882">
        <v>40</v>
      </c>
      <c r="C882" s="6">
        <v>60000</v>
      </c>
      <c r="D882" t="s">
        <v>36</v>
      </c>
      <c r="E882" t="s">
        <v>19</v>
      </c>
      <c r="F882" t="s">
        <v>43</v>
      </c>
      <c r="G882" s="7">
        <v>43800</v>
      </c>
      <c r="H882" t="s">
        <v>41</v>
      </c>
      <c r="I882" t="s">
        <v>69</v>
      </c>
      <c r="J882" t="s">
        <v>45</v>
      </c>
      <c r="K882">
        <f>IF(HR_Data4[[#This Row],[Phone]]="Missing",0,1)</f>
        <v>1</v>
      </c>
    </row>
    <row r="883" spans="1:11" x14ac:dyDescent="0.3">
      <c r="A883" t="s">
        <v>57</v>
      </c>
      <c r="B883">
        <v>25</v>
      </c>
      <c r="C883" s="6">
        <v>50000</v>
      </c>
      <c r="D883" t="s">
        <v>18</v>
      </c>
      <c r="E883" t="s">
        <v>19</v>
      </c>
      <c r="F883" t="s">
        <v>39</v>
      </c>
      <c r="G883" s="7">
        <v>43845</v>
      </c>
      <c r="H883" t="s">
        <v>41</v>
      </c>
      <c r="I883" t="s">
        <v>22</v>
      </c>
      <c r="J883" t="s">
        <v>28</v>
      </c>
      <c r="K883">
        <f>IF(HR_Data4[[#This Row],[Phone]]="Missing",0,1)</f>
        <v>1</v>
      </c>
    </row>
    <row r="884" spans="1:11" x14ac:dyDescent="0.3">
      <c r="A884" t="s">
        <v>58</v>
      </c>
      <c r="B884">
        <v>50</v>
      </c>
      <c r="C884" s="6">
        <v>70000</v>
      </c>
      <c r="D884" t="s">
        <v>11</v>
      </c>
      <c r="E884" t="s">
        <v>37</v>
      </c>
      <c r="F884" t="s">
        <v>44</v>
      </c>
      <c r="G884" s="7">
        <v>43195</v>
      </c>
      <c r="H884" t="s">
        <v>41</v>
      </c>
      <c r="I884" t="s">
        <v>22</v>
      </c>
      <c r="J884" t="s">
        <v>69</v>
      </c>
      <c r="K884">
        <f>IF(HR_Data4[[#This Row],[Phone]]="Missing",0,1)</f>
        <v>0</v>
      </c>
    </row>
    <row r="885" spans="1:11" x14ac:dyDescent="0.3">
      <c r="A885" t="s">
        <v>53</v>
      </c>
      <c r="B885">
        <v>50</v>
      </c>
      <c r="C885" s="6">
        <v>65000</v>
      </c>
      <c r="D885" t="s">
        <v>18</v>
      </c>
      <c r="E885" t="s">
        <v>37</v>
      </c>
      <c r="F885" t="s">
        <v>43</v>
      </c>
      <c r="G885" s="7">
        <v>43881</v>
      </c>
      <c r="H885" t="s">
        <v>27</v>
      </c>
      <c r="I885" t="s">
        <v>22</v>
      </c>
      <c r="J885" t="s">
        <v>28</v>
      </c>
      <c r="K885">
        <f>IF(HR_Data4[[#This Row],[Phone]]="Missing",0,1)</f>
        <v>1</v>
      </c>
    </row>
    <row r="886" spans="1:11" x14ac:dyDescent="0.3">
      <c r="A886" t="s">
        <v>55</v>
      </c>
      <c r="B886">
        <v>36</v>
      </c>
      <c r="C886" s="6">
        <v>50000</v>
      </c>
      <c r="D886" t="s">
        <v>36</v>
      </c>
      <c r="E886" t="s">
        <v>19</v>
      </c>
      <c r="F886" t="s">
        <v>43</v>
      </c>
      <c r="G886" s="7">
        <v>43549</v>
      </c>
      <c r="H886" t="s">
        <v>31</v>
      </c>
      <c r="I886" t="s">
        <v>15</v>
      </c>
      <c r="J886" t="s">
        <v>23</v>
      </c>
      <c r="K886">
        <f>IF(HR_Data4[[#This Row],[Phone]]="Missing",0,1)</f>
        <v>1</v>
      </c>
    </row>
    <row r="887" spans="1:11" x14ac:dyDescent="0.3">
      <c r="A887" t="s">
        <v>54</v>
      </c>
      <c r="B887">
        <v>40</v>
      </c>
      <c r="C887" s="6">
        <v>70000</v>
      </c>
      <c r="D887" t="s">
        <v>36</v>
      </c>
      <c r="E887" t="s">
        <v>37</v>
      </c>
      <c r="F887" t="s">
        <v>43</v>
      </c>
      <c r="G887" s="7">
        <v>43881</v>
      </c>
      <c r="H887" t="s">
        <v>14</v>
      </c>
      <c r="I887" t="s">
        <v>69</v>
      </c>
      <c r="J887" t="s">
        <v>69</v>
      </c>
      <c r="K887">
        <f>IF(HR_Data4[[#This Row],[Phone]]="Missing",0,1)</f>
        <v>0</v>
      </c>
    </row>
    <row r="888" spans="1:11" x14ac:dyDescent="0.3">
      <c r="A888" t="s">
        <v>51</v>
      </c>
      <c r="B888">
        <v>50</v>
      </c>
      <c r="C888" s="6">
        <v>50000</v>
      </c>
      <c r="D888" t="s">
        <v>18</v>
      </c>
      <c r="E888" t="s">
        <v>30</v>
      </c>
      <c r="F888" t="s">
        <v>44</v>
      </c>
      <c r="G888" s="7">
        <v>43800</v>
      </c>
      <c r="H888" t="s">
        <v>41</v>
      </c>
      <c r="I888" t="s">
        <v>32</v>
      </c>
      <c r="J888" t="s">
        <v>45</v>
      </c>
      <c r="K888">
        <f>IF(HR_Data4[[#This Row],[Phone]]="Missing",0,1)</f>
        <v>1</v>
      </c>
    </row>
    <row r="889" spans="1:11" x14ac:dyDescent="0.3">
      <c r="A889" t="s">
        <v>55</v>
      </c>
      <c r="B889">
        <v>25</v>
      </c>
      <c r="C889" s="6">
        <v>50000</v>
      </c>
      <c r="D889" t="s">
        <v>11</v>
      </c>
      <c r="E889" t="s">
        <v>26</v>
      </c>
      <c r="F889" t="s">
        <v>44</v>
      </c>
      <c r="G889" s="7">
        <v>43549</v>
      </c>
      <c r="H889" t="s">
        <v>31</v>
      </c>
      <c r="I889" t="s">
        <v>15</v>
      </c>
      <c r="J889" t="s">
        <v>69</v>
      </c>
      <c r="K889">
        <f>IF(HR_Data4[[#This Row],[Phone]]="Missing",0,1)</f>
        <v>0</v>
      </c>
    </row>
    <row r="890" spans="1:11" x14ac:dyDescent="0.3">
      <c r="A890" t="s">
        <v>58</v>
      </c>
      <c r="B890">
        <v>36</v>
      </c>
      <c r="C890" s="6">
        <v>55000</v>
      </c>
      <c r="D890" t="s">
        <v>18</v>
      </c>
      <c r="E890" t="s">
        <v>26</v>
      </c>
      <c r="F890" t="s">
        <v>20</v>
      </c>
      <c r="G890" s="7">
        <v>43881</v>
      </c>
      <c r="H890" t="s">
        <v>21</v>
      </c>
      <c r="I890" t="s">
        <v>22</v>
      </c>
      <c r="J890" t="s">
        <v>69</v>
      </c>
      <c r="K890">
        <f>IF(HR_Data4[[#This Row],[Phone]]="Missing",0,1)</f>
        <v>0</v>
      </c>
    </row>
    <row r="891" spans="1:11" x14ac:dyDescent="0.3">
      <c r="A891" t="s">
        <v>53</v>
      </c>
      <c r="B891">
        <v>30</v>
      </c>
      <c r="C891" s="6">
        <v>70000</v>
      </c>
      <c r="D891" t="s">
        <v>11</v>
      </c>
      <c r="E891" t="s">
        <v>30</v>
      </c>
      <c r="F891" t="s">
        <v>20</v>
      </c>
      <c r="G891" s="7">
        <v>43549</v>
      </c>
      <c r="H891" t="s">
        <v>41</v>
      </c>
      <c r="I891" t="s">
        <v>15</v>
      </c>
      <c r="J891" t="s">
        <v>23</v>
      </c>
      <c r="K891">
        <f>IF(HR_Data4[[#This Row],[Phone]]="Missing",0,1)</f>
        <v>1</v>
      </c>
    </row>
    <row r="892" spans="1:11" x14ac:dyDescent="0.3">
      <c r="A892" t="s">
        <v>58</v>
      </c>
      <c r="B892">
        <v>50</v>
      </c>
      <c r="C892" s="6">
        <v>65000</v>
      </c>
      <c r="D892" t="s">
        <v>18</v>
      </c>
      <c r="E892" t="s">
        <v>26</v>
      </c>
      <c r="F892" t="s">
        <v>13</v>
      </c>
      <c r="G892" s="7">
        <v>43845</v>
      </c>
      <c r="H892" t="s">
        <v>41</v>
      </c>
      <c r="I892" t="s">
        <v>15</v>
      </c>
      <c r="J892" t="s">
        <v>28</v>
      </c>
      <c r="K892">
        <f>IF(HR_Data4[[#This Row],[Phone]]="Missing",0,1)</f>
        <v>1</v>
      </c>
    </row>
    <row r="893" spans="1:11" x14ac:dyDescent="0.3">
      <c r="A893" t="s">
        <v>52</v>
      </c>
      <c r="B893">
        <v>25</v>
      </c>
      <c r="C893" s="6">
        <v>55000</v>
      </c>
      <c r="D893" t="s">
        <v>36</v>
      </c>
      <c r="E893" t="s">
        <v>12</v>
      </c>
      <c r="F893" t="s">
        <v>44</v>
      </c>
      <c r="G893" s="7">
        <v>43195</v>
      </c>
      <c r="H893" t="s">
        <v>14</v>
      </c>
      <c r="I893" t="s">
        <v>15</v>
      </c>
      <c r="J893" t="s">
        <v>23</v>
      </c>
      <c r="K893">
        <f>IF(HR_Data4[[#This Row],[Phone]]="Missing",0,1)</f>
        <v>1</v>
      </c>
    </row>
    <row r="894" spans="1:11" x14ac:dyDescent="0.3">
      <c r="A894" t="s">
        <v>59</v>
      </c>
      <c r="B894">
        <v>35</v>
      </c>
      <c r="C894" s="6">
        <v>50000</v>
      </c>
      <c r="D894" t="s">
        <v>11</v>
      </c>
      <c r="E894" t="s">
        <v>30</v>
      </c>
      <c r="F894" t="s">
        <v>44</v>
      </c>
      <c r="G894" s="7">
        <v>43881</v>
      </c>
      <c r="H894" t="s">
        <v>27</v>
      </c>
      <c r="I894" t="s">
        <v>69</v>
      </c>
      <c r="J894" t="s">
        <v>69</v>
      </c>
      <c r="K894">
        <f>IF(HR_Data4[[#This Row],[Phone]]="Missing",0,1)</f>
        <v>0</v>
      </c>
    </row>
    <row r="895" spans="1:11" x14ac:dyDescent="0.3">
      <c r="A895" t="s">
        <v>54</v>
      </c>
      <c r="B895">
        <v>25</v>
      </c>
      <c r="C895" s="6" t="s">
        <v>68</v>
      </c>
      <c r="D895" t="s">
        <v>11</v>
      </c>
      <c r="E895" t="s">
        <v>37</v>
      </c>
      <c r="F895" t="s">
        <v>44</v>
      </c>
      <c r="G895" s="7">
        <v>43800</v>
      </c>
      <c r="H895" t="s">
        <v>27</v>
      </c>
      <c r="I895" t="s">
        <v>69</v>
      </c>
      <c r="J895" t="s">
        <v>45</v>
      </c>
      <c r="K895">
        <f>IF(HR_Data4[[#This Row],[Phone]]="Missing",0,1)</f>
        <v>1</v>
      </c>
    </row>
    <row r="896" spans="1:11" x14ac:dyDescent="0.3">
      <c r="A896" t="s">
        <v>60</v>
      </c>
      <c r="B896">
        <v>25</v>
      </c>
      <c r="C896" s="6">
        <v>50000</v>
      </c>
      <c r="D896" t="s">
        <v>11</v>
      </c>
      <c r="E896" t="s">
        <v>30</v>
      </c>
      <c r="F896" t="s">
        <v>20</v>
      </c>
      <c r="G896" s="7">
        <v>43845</v>
      </c>
      <c r="H896" t="s">
        <v>41</v>
      </c>
      <c r="I896" t="s">
        <v>32</v>
      </c>
      <c r="J896" t="s">
        <v>69</v>
      </c>
      <c r="K896">
        <f>IF(HR_Data4[[#This Row],[Phone]]="Missing",0,1)</f>
        <v>0</v>
      </c>
    </row>
    <row r="897" spans="1:11" x14ac:dyDescent="0.3">
      <c r="A897" t="s">
        <v>59</v>
      </c>
      <c r="B897">
        <v>36</v>
      </c>
      <c r="C897" s="6">
        <v>50000</v>
      </c>
      <c r="D897" t="s">
        <v>36</v>
      </c>
      <c r="E897" t="s">
        <v>19</v>
      </c>
      <c r="F897" t="s">
        <v>43</v>
      </c>
      <c r="G897" s="7">
        <v>43881</v>
      </c>
      <c r="H897" t="s">
        <v>31</v>
      </c>
      <c r="I897" t="s">
        <v>69</v>
      </c>
      <c r="J897" t="s">
        <v>69</v>
      </c>
      <c r="K897">
        <f>IF(HR_Data4[[#This Row],[Phone]]="Missing",0,1)</f>
        <v>0</v>
      </c>
    </row>
    <row r="898" spans="1:11" x14ac:dyDescent="0.3">
      <c r="A898" t="s">
        <v>60</v>
      </c>
      <c r="B898">
        <v>30</v>
      </c>
      <c r="C898" s="6">
        <v>70000</v>
      </c>
      <c r="D898" t="s">
        <v>18</v>
      </c>
      <c r="E898" t="s">
        <v>37</v>
      </c>
      <c r="F898" t="s">
        <v>39</v>
      </c>
      <c r="G898" s="7">
        <v>43845</v>
      </c>
      <c r="H898" t="s">
        <v>21</v>
      </c>
      <c r="I898" t="s">
        <v>69</v>
      </c>
      <c r="J898" t="s">
        <v>69</v>
      </c>
      <c r="K898">
        <f>IF(HR_Data4[[#This Row],[Phone]]="Missing",0,1)</f>
        <v>0</v>
      </c>
    </row>
    <row r="899" spans="1:11" x14ac:dyDescent="0.3">
      <c r="A899" t="s">
        <v>53</v>
      </c>
      <c r="B899">
        <v>35</v>
      </c>
      <c r="C899" s="6">
        <v>70000</v>
      </c>
      <c r="D899" t="s">
        <v>36</v>
      </c>
      <c r="E899" t="s">
        <v>19</v>
      </c>
      <c r="F899" t="s">
        <v>20</v>
      </c>
      <c r="G899" s="7">
        <v>43800</v>
      </c>
      <c r="H899" t="s">
        <v>21</v>
      </c>
      <c r="I899" t="s">
        <v>69</v>
      </c>
      <c r="J899" t="s">
        <v>69</v>
      </c>
      <c r="K899">
        <f>IF(HR_Data4[[#This Row],[Phone]]="Missing",0,1)</f>
        <v>0</v>
      </c>
    </row>
    <row r="900" spans="1:11" x14ac:dyDescent="0.3">
      <c r="A900" t="s">
        <v>57</v>
      </c>
      <c r="B900">
        <v>40</v>
      </c>
      <c r="C900" s="6">
        <v>55000</v>
      </c>
      <c r="D900" t="s">
        <v>11</v>
      </c>
      <c r="E900" t="s">
        <v>37</v>
      </c>
      <c r="F900" t="s">
        <v>44</v>
      </c>
      <c r="G900" s="7">
        <v>43881</v>
      </c>
      <c r="H900" t="s">
        <v>31</v>
      </c>
      <c r="I900" t="s">
        <v>69</v>
      </c>
      <c r="J900" t="s">
        <v>69</v>
      </c>
      <c r="K900">
        <f>IF(HR_Data4[[#This Row],[Phone]]="Missing",0,1)</f>
        <v>0</v>
      </c>
    </row>
    <row r="901" spans="1:11" x14ac:dyDescent="0.3">
      <c r="A901" t="s">
        <v>51</v>
      </c>
      <c r="B901">
        <v>40</v>
      </c>
      <c r="C901" s="6">
        <v>65000</v>
      </c>
      <c r="D901" t="s">
        <v>18</v>
      </c>
      <c r="E901" t="s">
        <v>26</v>
      </c>
      <c r="F901" t="s">
        <v>20</v>
      </c>
      <c r="G901" s="7">
        <v>43800</v>
      </c>
      <c r="H901" t="s">
        <v>41</v>
      </c>
      <c r="I901" t="s">
        <v>15</v>
      </c>
      <c r="J901" t="s">
        <v>28</v>
      </c>
      <c r="K901">
        <f>IF(HR_Data4[[#This Row],[Phone]]="Missing",0,1)</f>
        <v>1</v>
      </c>
    </row>
    <row r="902" spans="1:11" x14ac:dyDescent="0.3">
      <c r="A902" t="s">
        <v>56</v>
      </c>
      <c r="B902">
        <v>25</v>
      </c>
      <c r="C902" s="6">
        <v>55000</v>
      </c>
      <c r="D902" t="s">
        <v>36</v>
      </c>
      <c r="E902" t="s">
        <v>30</v>
      </c>
      <c r="F902" t="s">
        <v>13</v>
      </c>
      <c r="G902" s="7">
        <v>43549</v>
      </c>
      <c r="H902" t="s">
        <v>21</v>
      </c>
      <c r="I902" t="s">
        <v>15</v>
      </c>
      <c r="J902" t="s">
        <v>69</v>
      </c>
      <c r="K902">
        <f>IF(HR_Data4[[#This Row],[Phone]]="Missing",0,1)</f>
        <v>0</v>
      </c>
    </row>
    <row r="903" spans="1:11" x14ac:dyDescent="0.3">
      <c r="A903" t="s">
        <v>59</v>
      </c>
      <c r="B903">
        <v>36</v>
      </c>
      <c r="C903" s="6">
        <v>60000</v>
      </c>
      <c r="D903" t="s">
        <v>11</v>
      </c>
      <c r="E903" t="s">
        <v>12</v>
      </c>
      <c r="F903" t="s">
        <v>44</v>
      </c>
      <c r="G903" s="7">
        <v>43800</v>
      </c>
      <c r="H903" t="s">
        <v>27</v>
      </c>
      <c r="I903" t="s">
        <v>22</v>
      </c>
      <c r="J903" t="s">
        <v>23</v>
      </c>
      <c r="K903">
        <f>IF(HR_Data4[[#This Row],[Phone]]="Missing",0,1)</f>
        <v>1</v>
      </c>
    </row>
    <row r="904" spans="1:11" x14ac:dyDescent="0.3">
      <c r="A904" t="s">
        <v>54</v>
      </c>
      <c r="B904">
        <v>36</v>
      </c>
      <c r="C904" s="6">
        <v>50000</v>
      </c>
      <c r="D904" t="s">
        <v>11</v>
      </c>
      <c r="E904" t="s">
        <v>37</v>
      </c>
      <c r="F904" t="s">
        <v>13</v>
      </c>
      <c r="G904" s="7">
        <v>43549</v>
      </c>
      <c r="H904" t="s">
        <v>31</v>
      </c>
      <c r="I904" t="s">
        <v>69</v>
      </c>
      <c r="J904" t="s">
        <v>69</v>
      </c>
      <c r="K904">
        <f>IF(HR_Data4[[#This Row],[Phone]]="Missing",0,1)</f>
        <v>0</v>
      </c>
    </row>
    <row r="905" spans="1:11" x14ac:dyDescent="0.3">
      <c r="A905" t="s">
        <v>58</v>
      </c>
      <c r="B905">
        <v>40</v>
      </c>
      <c r="C905" s="6" t="s">
        <v>68</v>
      </c>
      <c r="D905" t="s">
        <v>36</v>
      </c>
      <c r="E905" t="s">
        <v>37</v>
      </c>
      <c r="F905" t="s">
        <v>44</v>
      </c>
      <c r="G905" s="7">
        <v>43881</v>
      </c>
      <c r="H905" t="s">
        <v>14</v>
      </c>
      <c r="I905" t="s">
        <v>22</v>
      </c>
      <c r="J905" t="s">
        <v>23</v>
      </c>
      <c r="K905">
        <f>IF(HR_Data4[[#This Row],[Phone]]="Missing",0,1)</f>
        <v>1</v>
      </c>
    </row>
    <row r="906" spans="1:11" x14ac:dyDescent="0.3">
      <c r="A906" t="s">
        <v>54</v>
      </c>
      <c r="B906">
        <v>35</v>
      </c>
      <c r="C906" s="6">
        <v>50000</v>
      </c>
      <c r="D906" t="s">
        <v>36</v>
      </c>
      <c r="E906" t="s">
        <v>19</v>
      </c>
      <c r="F906" t="s">
        <v>20</v>
      </c>
      <c r="G906" s="7">
        <v>43549</v>
      </c>
      <c r="H906" t="s">
        <v>41</v>
      </c>
      <c r="I906" t="s">
        <v>32</v>
      </c>
      <c r="J906" t="s">
        <v>69</v>
      </c>
      <c r="K906">
        <f>IF(HR_Data4[[#This Row],[Phone]]="Missing",0,1)</f>
        <v>0</v>
      </c>
    </row>
    <row r="907" spans="1:11" x14ac:dyDescent="0.3">
      <c r="A907" t="s">
        <v>53</v>
      </c>
      <c r="B907">
        <v>30</v>
      </c>
      <c r="C907" s="6">
        <v>50000</v>
      </c>
      <c r="D907" t="s">
        <v>36</v>
      </c>
      <c r="E907" t="s">
        <v>26</v>
      </c>
      <c r="F907" t="s">
        <v>43</v>
      </c>
      <c r="G907" s="7">
        <v>43881</v>
      </c>
      <c r="H907" t="s">
        <v>31</v>
      </c>
      <c r="I907" t="s">
        <v>15</v>
      </c>
      <c r="J907" t="s">
        <v>69</v>
      </c>
      <c r="K907">
        <f>IF(HR_Data4[[#This Row],[Phone]]="Missing",0,1)</f>
        <v>0</v>
      </c>
    </row>
    <row r="908" spans="1:11" x14ac:dyDescent="0.3">
      <c r="A908" t="s">
        <v>60</v>
      </c>
      <c r="B908">
        <v>35</v>
      </c>
      <c r="C908" s="6">
        <v>55000</v>
      </c>
      <c r="D908" t="s">
        <v>11</v>
      </c>
      <c r="E908" t="s">
        <v>19</v>
      </c>
      <c r="F908" t="s">
        <v>39</v>
      </c>
      <c r="G908" s="7">
        <v>43881</v>
      </c>
      <c r="H908" t="s">
        <v>21</v>
      </c>
      <c r="I908" t="s">
        <v>32</v>
      </c>
      <c r="J908" t="s">
        <v>69</v>
      </c>
      <c r="K908">
        <f>IF(HR_Data4[[#This Row],[Phone]]="Missing",0,1)</f>
        <v>0</v>
      </c>
    </row>
    <row r="909" spans="1:11" x14ac:dyDescent="0.3">
      <c r="A909" t="s">
        <v>58</v>
      </c>
      <c r="B909">
        <v>50</v>
      </c>
      <c r="C909" s="6" t="s">
        <v>68</v>
      </c>
      <c r="D909" t="s">
        <v>36</v>
      </c>
      <c r="E909" t="s">
        <v>19</v>
      </c>
      <c r="F909" t="s">
        <v>13</v>
      </c>
      <c r="G909" s="7">
        <v>43195</v>
      </c>
      <c r="H909" t="s">
        <v>41</v>
      </c>
      <c r="I909" t="s">
        <v>69</v>
      </c>
      <c r="J909" t="s">
        <v>69</v>
      </c>
      <c r="K909">
        <f>IF(HR_Data4[[#This Row],[Phone]]="Missing",0,1)</f>
        <v>0</v>
      </c>
    </row>
    <row r="910" spans="1:11" x14ac:dyDescent="0.3">
      <c r="A910" t="s">
        <v>56</v>
      </c>
      <c r="B910">
        <v>50</v>
      </c>
      <c r="C910" s="6" t="s">
        <v>68</v>
      </c>
      <c r="D910" t="s">
        <v>11</v>
      </c>
      <c r="E910" t="s">
        <v>26</v>
      </c>
      <c r="F910" t="s">
        <v>20</v>
      </c>
      <c r="G910" s="7">
        <v>43881</v>
      </c>
      <c r="H910" t="s">
        <v>27</v>
      </c>
      <c r="I910" t="s">
        <v>15</v>
      </c>
      <c r="J910" t="s">
        <v>28</v>
      </c>
      <c r="K910">
        <f>IF(HR_Data4[[#This Row],[Phone]]="Missing",0,1)</f>
        <v>1</v>
      </c>
    </row>
    <row r="911" spans="1:11" x14ac:dyDescent="0.3">
      <c r="A911" t="s">
        <v>56</v>
      </c>
      <c r="B911">
        <v>30</v>
      </c>
      <c r="C911" s="6" t="s">
        <v>68</v>
      </c>
      <c r="D911" t="s">
        <v>36</v>
      </c>
      <c r="E911" t="s">
        <v>12</v>
      </c>
      <c r="F911" t="s">
        <v>43</v>
      </c>
      <c r="G911" s="7">
        <v>43549</v>
      </c>
      <c r="H911" t="s">
        <v>41</v>
      </c>
      <c r="I911" t="s">
        <v>32</v>
      </c>
      <c r="J911" t="s">
        <v>69</v>
      </c>
      <c r="K911">
        <f>IF(HR_Data4[[#This Row],[Phone]]="Missing",0,1)</f>
        <v>0</v>
      </c>
    </row>
    <row r="912" spans="1:11" x14ac:dyDescent="0.3">
      <c r="A912" t="s">
        <v>59</v>
      </c>
      <c r="B912">
        <v>40</v>
      </c>
      <c r="C912" s="6">
        <v>55000</v>
      </c>
      <c r="D912" t="s">
        <v>11</v>
      </c>
      <c r="E912" t="s">
        <v>19</v>
      </c>
      <c r="F912" t="s">
        <v>20</v>
      </c>
      <c r="G912" s="7">
        <v>43195</v>
      </c>
      <c r="H912" t="s">
        <v>41</v>
      </c>
      <c r="I912" t="s">
        <v>69</v>
      </c>
      <c r="J912" t="s">
        <v>23</v>
      </c>
      <c r="K912">
        <f>IF(HR_Data4[[#This Row],[Phone]]="Missing",0,1)</f>
        <v>1</v>
      </c>
    </row>
    <row r="913" spans="1:11" x14ac:dyDescent="0.3">
      <c r="A913" t="s">
        <v>53</v>
      </c>
      <c r="B913">
        <v>30</v>
      </c>
      <c r="C913" s="6">
        <v>50000</v>
      </c>
      <c r="D913" t="s">
        <v>11</v>
      </c>
      <c r="E913" t="s">
        <v>19</v>
      </c>
      <c r="F913" t="s">
        <v>13</v>
      </c>
      <c r="G913" s="7">
        <v>43195</v>
      </c>
      <c r="H913" t="s">
        <v>27</v>
      </c>
      <c r="I913" t="s">
        <v>32</v>
      </c>
      <c r="J913" t="s">
        <v>23</v>
      </c>
      <c r="K913">
        <f>IF(HR_Data4[[#This Row],[Phone]]="Missing",0,1)</f>
        <v>1</v>
      </c>
    </row>
    <row r="914" spans="1:11" x14ac:dyDescent="0.3">
      <c r="A914" t="s">
        <v>57</v>
      </c>
      <c r="B914">
        <v>36</v>
      </c>
      <c r="C914" s="6">
        <v>55000</v>
      </c>
      <c r="D914" t="s">
        <v>18</v>
      </c>
      <c r="E914" t="s">
        <v>37</v>
      </c>
      <c r="F914" t="s">
        <v>39</v>
      </c>
      <c r="G914" s="7">
        <v>43881</v>
      </c>
      <c r="H914" t="s">
        <v>27</v>
      </c>
      <c r="I914" t="s">
        <v>69</v>
      </c>
      <c r="J914" t="s">
        <v>69</v>
      </c>
      <c r="K914">
        <f>IF(HR_Data4[[#This Row],[Phone]]="Missing",0,1)</f>
        <v>0</v>
      </c>
    </row>
    <row r="915" spans="1:11" x14ac:dyDescent="0.3">
      <c r="A915" t="s">
        <v>53</v>
      </c>
      <c r="B915">
        <v>50</v>
      </c>
      <c r="C915" s="6">
        <v>70000</v>
      </c>
      <c r="D915" t="s">
        <v>36</v>
      </c>
      <c r="E915" t="s">
        <v>26</v>
      </c>
      <c r="F915" t="s">
        <v>20</v>
      </c>
      <c r="G915" s="7">
        <v>43800</v>
      </c>
      <c r="H915" t="s">
        <v>41</v>
      </c>
      <c r="I915" t="s">
        <v>69</v>
      </c>
      <c r="J915" t="s">
        <v>28</v>
      </c>
      <c r="K915">
        <f>IF(HR_Data4[[#This Row],[Phone]]="Missing",0,1)</f>
        <v>1</v>
      </c>
    </row>
    <row r="916" spans="1:11" x14ac:dyDescent="0.3">
      <c r="A916" t="s">
        <v>60</v>
      </c>
      <c r="B916">
        <v>25</v>
      </c>
      <c r="C916" s="6">
        <v>70000</v>
      </c>
      <c r="D916" t="s">
        <v>36</v>
      </c>
      <c r="E916" t="s">
        <v>30</v>
      </c>
      <c r="F916" t="s">
        <v>44</v>
      </c>
      <c r="G916" s="7">
        <v>43800</v>
      </c>
      <c r="H916" t="s">
        <v>27</v>
      </c>
      <c r="I916" t="s">
        <v>15</v>
      </c>
      <c r="J916" t="s">
        <v>28</v>
      </c>
      <c r="K916">
        <f>IF(HR_Data4[[#This Row],[Phone]]="Missing",0,1)</f>
        <v>1</v>
      </c>
    </row>
    <row r="917" spans="1:11" x14ac:dyDescent="0.3">
      <c r="A917" t="s">
        <v>54</v>
      </c>
      <c r="B917">
        <v>25</v>
      </c>
      <c r="C917" s="6">
        <v>55000</v>
      </c>
      <c r="D917" t="s">
        <v>11</v>
      </c>
      <c r="E917" t="s">
        <v>12</v>
      </c>
      <c r="F917" t="s">
        <v>43</v>
      </c>
      <c r="G917" s="7">
        <v>43195</v>
      </c>
      <c r="H917" t="s">
        <v>31</v>
      </c>
      <c r="I917" t="s">
        <v>22</v>
      </c>
      <c r="J917" t="s">
        <v>28</v>
      </c>
      <c r="K917">
        <f>IF(HR_Data4[[#This Row],[Phone]]="Missing",0,1)</f>
        <v>1</v>
      </c>
    </row>
    <row r="918" spans="1:11" x14ac:dyDescent="0.3">
      <c r="A918" t="s">
        <v>56</v>
      </c>
      <c r="B918">
        <v>40</v>
      </c>
      <c r="C918" s="6" t="s">
        <v>68</v>
      </c>
      <c r="D918" t="s">
        <v>11</v>
      </c>
      <c r="E918" t="s">
        <v>12</v>
      </c>
      <c r="F918" t="s">
        <v>20</v>
      </c>
      <c r="G918" s="7">
        <v>43881</v>
      </c>
      <c r="H918" t="s">
        <v>27</v>
      </c>
      <c r="I918" t="s">
        <v>69</v>
      </c>
      <c r="J918" t="s">
        <v>23</v>
      </c>
      <c r="K918">
        <f>IF(HR_Data4[[#This Row],[Phone]]="Missing",0,1)</f>
        <v>1</v>
      </c>
    </row>
    <row r="919" spans="1:11" x14ac:dyDescent="0.3">
      <c r="A919" t="s">
        <v>54</v>
      </c>
      <c r="B919">
        <v>36</v>
      </c>
      <c r="C919" s="6">
        <v>50000</v>
      </c>
      <c r="D919" t="s">
        <v>11</v>
      </c>
      <c r="E919" t="s">
        <v>26</v>
      </c>
      <c r="F919" t="s">
        <v>43</v>
      </c>
      <c r="G919" s="7">
        <v>43800</v>
      </c>
      <c r="H919" t="s">
        <v>27</v>
      </c>
      <c r="I919" t="s">
        <v>69</v>
      </c>
      <c r="J919" t="s">
        <v>69</v>
      </c>
      <c r="K919">
        <f>IF(HR_Data4[[#This Row],[Phone]]="Missing",0,1)</f>
        <v>0</v>
      </c>
    </row>
    <row r="920" spans="1:11" x14ac:dyDescent="0.3">
      <c r="A920" t="s">
        <v>54</v>
      </c>
      <c r="B920">
        <v>35</v>
      </c>
      <c r="C920" s="6">
        <v>55000</v>
      </c>
      <c r="D920" t="s">
        <v>18</v>
      </c>
      <c r="E920" t="s">
        <v>37</v>
      </c>
      <c r="F920" t="s">
        <v>44</v>
      </c>
      <c r="G920" s="7">
        <v>43881</v>
      </c>
      <c r="H920" t="s">
        <v>41</v>
      </c>
      <c r="I920" t="s">
        <v>15</v>
      </c>
      <c r="J920" t="s">
        <v>28</v>
      </c>
      <c r="K920">
        <f>IF(HR_Data4[[#This Row],[Phone]]="Missing",0,1)</f>
        <v>1</v>
      </c>
    </row>
    <row r="921" spans="1:11" x14ac:dyDescent="0.3">
      <c r="A921" t="s">
        <v>54</v>
      </c>
      <c r="B921">
        <v>36</v>
      </c>
      <c r="C921" s="6">
        <v>55000</v>
      </c>
      <c r="D921" t="s">
        <v>18</v>
      </c>
      <c r="E921" t="s">
        <v>37</v>
      </c>
      <c r="F921" t="s">
        <v>39</v>
      </c>
      <c r="G921" s="7">
        <v>43881</v>
      </c>
      <c r="H921" t="s">
        <v>31</v>
      </c>
      <c r="I921" t="s">
        <v>22</v>
      </c>
      <c r="J921" t="s">
        <v>23</v>
      </c>
      <c r="K921">
        <f>IF(HR_Data4[[#This Row],[Phone]]="Missing",0,1)</f>
        <v>1</v>
      </c>
    </row>
    <row r="922" spans="1:11" x14ac:dyDescent="0.3">
      <c r="A922" t="s">
        <v>56</v>
      </c>
      <c r="B922">
        <v>25</v>
      </c>
      <c r="C922" s="6">
        <v>55000</v>
      </c>
      <c r="D922" t="s">
        <v>11</v>
      </c>
      <c r="E922" t="s">
        <v>26</v>
      </c>
      <c r="F922" t="s">
        <v>39</v>
      </c>
      <c r="G922" s="7">
        <v>43195</v>
      </c>
      <c r="H922" t="s">
        <v>14</v>
      </c>
      <c r="I922" t="s">
        <v>69</v>
      </c>
      <c r="J922" t="s">
        <v>23</v>
      </c>
      <c r="K922">
        <f>IF(HR_Data4[[#This Row],[Phone]]="Missing",0,1)</f>
        <v>1</v>
      </c>
    </row>
    <row r="923" spans="1:11" x14ac:dyDescent="0.3">
      <c r="A923" t="s">
        <v>55</v>
      </c>
      <c r="B923">
        <v>25</v>
      </c>
      <c r="C923" s="6">
        <v>60000</v>
      </c>
      <c r="D923" t="s">
        <v>36</v>
      </c>
      <c r="E923" t="s">
        <v>37</v>
      </c>
      <c r="F923" t="s">
        <v>44</v>
      </c>
      <c r="G923" s="7">
        <v>43195</v>
      </c>
      <c r="H923" t="s">
        <v>14</v>
      </c>
      <c r="I923" t="s">
        <v>69</v>
      </c>
      <c r="J923" t="s">
        <v>69</v>
      </c>
      <c r="K923">
        <f>IF(HR_Data4[[#This Row],[Phone]]="Missing",0,1)</f>
        <v>0</v>
      </c>
    </row>
    <row r="924" spans="1:11" x14ac:dyDescent="0.3">
      <c r="A924" t="s">
        <v>52</v>
      </c>
      <c r="B924">
        <v>50</v>
      </c>
      <c r="C924" s="6">
        <v>70000</v>
      </c>
      <c r="D924" t="s">
        <v>36</v>
      </c>
      <c r="E924" t="s">
        <v>12</v>
      </c>
      <c r="F924" t="s">
        <v>43</v>
      </c>
      <c r="G924" s="7">
        <v>43845</v>
      </c>
      <c r="H924" t="s">
        <v>21</v>
      </c>
      <c r="I924" t="s">
        <v>22</v>
      </c>
      <c r="J924" t="s">
        <v>69</v>
      </c>
      <c r="K924">
        <f>IF(HR_Data4[[#This Row],[Phone]]="Missing",0,1)</f>
        <v>0</v>
      </c>
    </row>
    <row r="925" spans="1:11" x14ac:dyDescent="0.3">
      <c r="A925" t="s">
        <v>60</v>
      </c>
      <c r="B925">
        <v>36</v>
      </c>
      <c r="C925" s="6" t="s">
        <v>68</v>
      </c>
      <c r="D925" t="s">
        <v>18</v>
      </c>
      <c r="E925" t="s">
        <v>12</v>
      </c>
      <c r="F925" t="s">
        <v>20</v>
      </c>
      <c r="G925" s="7">
        <v>43800</v>
      </c>
      <c r="H925" t="s">
        <v>27</v>
      </c>
      <c r="I925" t="s">
        <v>32</v>
      </c>
      <c r="J925" t="s">
        <v>69</v>
      </c>
      <c r="K925">
        <f>IF(HR_Data4[[#This Row],[Phone]]="Missing",0,1)</f>
        <v>0</v>
      </c>
    </row>
    <row r="926" spans="1:11" x14ac:dyDescent="0.3">
      <c r="A926" t="s">
        <v>55</v>
      </c>
      <c r="B926">
        <v>36</v>
      </c>
      <c r="C926" s="6">
        <v>65000</v>
      </c>
      <c r="D926" t="s">
        <v>18</v>
      </c>
      <c r="E926" t="s">
        <v>30</v>
      </c>
      <c r="F926" t="s">
        <v>44</v>
      </c>
      <c r="G926" s="7">
        <v>43800</v>
      </c>
      <c r="H926" t="s">
        <v>27</v>
      </c>
      <c r="I926" t="s">
        <v>15</v>
      </c>
      <c r="J926" t="s">
        <v>28</v>
      </c>
      <c r="K926">
        <f>IF(HR_Data4[[#This Row],[Phone]]="Missing",0,1)</f>
        <v>1</v>
      </c>
    </row>
    <row r="927" spans="1:11" x14ac:dyDescent="0.3">
      <c r="A927" t="s">
        <v>60</v>
      </c>
      <c r="B927">
        <v>25</v>
      </c>
      <c r="C927" s="6" t="s">
        <v>68</v>
      </c>
      <c r="D927" t="s">
        <v>11</v>
      </c>
      <c r="E927" t="s">
        <v>26</v>
      </c>
      <c r="F927" t="s">
        <v>13</v>
      </c>
      <c r="G927" s="7">
        <v>43800</v>
      </c>
      <c r="H927" t="s">
        <v>31</v>
      </c>
      <c r="I927" t="s">
        <v>22</v>
      </c>
      <c r="J927" t="s">
        <v>28</v>
      </c>
      <c r="K927">
        <f>IF(HR_Data4[[#This Row],[Phone]]="Missing",0,1)</f>
        <v>1</v>
      </c>
    </row>
    <row r="928" spans="1:11" x14ac:dyDescent="0.3">
      <c r="A928" t="s">
        <v>58</v>
      </c>
      <c r="B928">
        <v>35</v>
      </c>
      <c r="C928" s="6">
        <v>65000</v>
      </c>
      <c r="D928" t="s">
        <v>36</v>
      </c>
      <c r="E928" t="s">
        <v>19</v>
      </c>
      <c r="F928" t="s">
        <v>43</v>
      </c>
      <c r="G928" s="7">
        <v>43549</v>
      </c>
      <c r="H928" t="s">
        <v>14</v>
      </c>
      <c r="I928" t="s">
        <v>69</v>
      </c>
      <c r="J928" t="s">
        <v>69</v>
      </c>
      <c r="K928">
        <f>IF(HR_Data4[[#This Row],[Phone]]="Missing",0,1)</f>
        <v>0</v>
      </c>
    </row>
    <row r="929" spans="1:11" x14ac:dyDescent="0.3">
      <c r="A929" t="s">
        <v>53</v>
      </c>
      <c r="B929">
        <v>40</v>
      </c>
      <c r="C929" s="6">
        <v>60000</v>
      </c>
      <c r="D929" t="s">
        <v>11</v>
      </c>
      <c r="E929" t="s">
        <v>19</v>
      </c>
      <c r="F929" t="s">
        <v>39</v>
      </c>
      <c r="G929" s="7">
        <v>43881</v>
      </c>
      <c r="H929" t="s">
        <v>21</v>
      </c>
      <c r="I929" t="s">
        <v>69</v>
      </c>
      <c r="J929" t="s">
        <v>28</v>
      </c>
      <c r="K929">
        <f>IF(HR_Data4[[#This Row],[Phone]]="Missing",0,1)</f>
        <v>1</v>
      </c>
    </row>
    <row r="930" spans="1:11" x14ac:dyDescent="0.3">
      <c r="A930" t="s">
        <v>53</v>
      </c>
      <c r="B930">
        <v>40</v>
      </c>
      <c r="C930" s="6">
        <v>55000</v>
      </c>
      <c r="D930" t="s">
        <v>18</v>
      </c>
      <c r="E930" t="s">
        <v>30</v>
      </c>
      <c r="F930" t="s">
        <v>44</v>
      </c>
      <c r="G930" s="7">
        <v>43195</v>
      </c>
      <c r="H930" t="s">
        <v>31</v>
      </c>
      <c r="I930" t="s">
        <v>69</v>
      </c>
      <c r="J930" t="s">
        <v>69</v>
      </c>
      <c r="K930">
        <f>IF(HR_Data4[[#This Row],[Phone]]="Missing",0,1)</f>
        <v>0</v>
      </c>
    </row>
    <row r="931" spans="1:11" x14ac:dyDescent="0.3">
      <c r="A931" t="s">
        <v>51</v>
      </c>
      <c r="B931">
        <v>36</v>
      </c>
      <c r="C931" s="6">
        <v>60000</v>
      </c>
      <c r="D931" t="s">
        <v>36</v>
      </c>
      <c r="E931" t="s">
        <v>30</v>
      </c>
      <c r="F931" t="s">
        <v>39</v>
      </c>
      <c r="G931" s="7">
        <v>43800</v>
      </c>
      <c r="H931" t="s">
        <v>27</v>
      </c>
      <c r="I931" t="s">
        <v>69</v>
      </c>
      <c r="J931" t="s">
        <v>23</v>
      </c>
      <c r="K931">
        <f>IF(HR_Data4[[#This Row],[Phone]]="Missing",0,1)</f>
        <v>1</v>
      </c>
    </row>
    <row r="932" spans="1:11" x14ac:dyDescent="0.3">
      <c r="A932" t="s">
        <v>53</v>
      </c>
      <c r="B932">
        <v>40</v>
      </c>
      <c r="C932" s="6">
        <v>60000</v>
      </c>
      <c r="D932" t="s">
        <v>36</v>
      </c>
      <c r="E932" t="s">
        <v>37</v>
      </c>
      <c r="F932" t="s">
        <v>43</v>
      </c>
      <c r="G932" s="7">
        <v>43845</v>
      </c>
      <c r="H932" t="s">
        <v>14</v>
      </c>
      <c r="I932" t="s">
        <v>15</v>
      </c>
      <c r="J932" t="s">
        <v>28</v>
      </c>
      <c r="K932">
        <f>IF(HR_Data4[[#This Row],[Phone]]="Missing",0,1)</f>
        <v>1</v>
      </c>
    </row>
    <row r="933" spans="1:11" x14ac:dyDescent="0.3">
      <c r="A933" t="s">
        <v>56</v>
      </c>
      <c r="B933">
        <v>25</v>
      </c>
      <c r="C933" s="6">
        <v>50000</v>
      </c>
      <c r="D933" t="s">
        <v>18</v>
      </c>
      <c r="E933" t="s">
        <v>30</v>
      </c>
      <c r="F933" t="s">
        <v>39</v>
      </c>
      <c r="G933" s="7">
        <v>43800</v>
      </c>
      <c r="H933" t="s">
        <v>21</v>
      </c>
      <c r="I933" t="s">
        <v>69</v>
      </c>
      <c r="J933" t="s">
        <v>23</v>
      </c>
      <c r="K933">
        <f>IF(HR_Data4[[#This Row],[Phone]]="Missing",0,1)</f>
        <v>1</v>
      </c>
    </row>
    <row r="934" spans="1:11" x14ac:dyDescent="0.3">
      <c r="A934" t="s">
        <v>57</v>
      </c>
      <c r="B934">
        <v>25</v>
      </c>
      <c r="C934" s="6">
        <v>70000</v>
      </c>
      <c r="D934" t="s">
        <v>11</v>
      </c>
      <c r="E934" t="s">
        <v>30</v>
      </c>
      <c r="F934" t="s">
        <v>44</v>
      </c>
      <c r="G934" s="7">
        <v>43881</v>
      </c>
      <c r="H934" t="s">
        <v>41</v>
      </c>
      <c r="I934" t="s">
        <v>22</v>
      </c>
      <c r="J934" t="s">
        <v>45</v>
      </c>
      <c r="K934">
        <f>IF(HR_Data4[[#This Row],[Phone]]="Missing",0,1)</f>
        <v>1</v>
      </c>
    </row>
    <row r="935" spans="1:11" x14ac:dyDescent="0.3">
      <c r="A935" t="s">
        <v>59</v>
      </c>
      <c r="B935">
        <v>36</v>
      </c>
      <c r="C935" s="6">
        <v>65000</v>
      </c>
      <c r="D935" t="s">
        <v>11</v>
      </c>
      <c r="E935" t="s">
        <v>19</v>
      </c>
      <c r="F935" t="s">
        <v>43</v>
      </c>
      <c r="G935" s="7">
        <v>43881</v>
      </c>
      <c r="H935" t="s">
        <v>14</v>
      </c>
      <c r="I935" t="s">
        <v>69</v>
      </c>
      <c r="J935" t="s">
        <v>69</v>
      </c>
      <c r="K935">
        <f>IF(HR_Data4[[#This Row],[Phone]]="Missing",0,1)</f>
        <v>0</v>
      </c>
    </row>
    <row r="936" spans="1:11" x14ac:dyDescent="0.3">
      <c r="A936" t="s">
        <v>51</v>
      </c>
      <c r="B936">
        <v>36</v>
      </c>
      <c r="C936" s="6">
        <v>55000</v>
      </c>
      <c r="D936" t="s">
        <v>36</v>
      </c>
      <c r="E936" t="s">
        <v>37</v>
      </c>
      <c r="F936" t="s">
        <v>13</v>
      </c>
      <c r="G936" s="7">
        <v>43195</v>
      </c>
      <c r="H936" t="s">
        <v>21</v>
      </c>
      <c r="I936" t="s">
        <v>32</v>
      </c>
      <c r="J936" t="s">
        <v>45</v>
      </c>
      <c r="K936">
        <f>IF(HR_Data4[[#This Row],[Phone]]="Missing",0,1)</f>
        <v>1</v>
      </c>
    </row>
    <row r="937" spans="1:11" x14ac:dyDescent="0.3">
      <c r="A937" t="s">
        <v>59</v>
      </c>
      <c r="B937">
        <v>50</v>
      </c>
      <c r="C937" s="6">
        <v>65000</v>
      </c>
      <c r="D937" t="s">
        <v>18</v>
      </c>
      <c r="E937" t="s">
        <v>30</v>
      </c>
      <c r="F937" t="s">
        <v>44</v>
      </c>
      <c r="G937" s="7">
        <v>43549</v>
      </c>
      <c r="H937" t="s">
        <v>31</v>
      </c>
      <c r="I937" t="s">
        <v>22</v>
      </c>
      <c r="J937" t="s">
        <v>28</v>
      </c>
      <c r="K937">
        <f>IF(HR_Data4[[#This Row],[Phone]]="Missing",0,1)</f>
        <v>1</v>
      </c>
    </row>
    <row r="938" spans="1:11" x14ac:dyDescent="0.3">
      <c r="A938" t="s">
        <v>60</v>
      </c>
      <c r="B938">
        <v>36</v>
      </c>
      <c r="C938" s="6" t="s">
        <v>68</v>
      </c>
      <c r="D938" t="s">
        <v>36</v>
      </c>
      <c r="E938" t="s">
        <v>30</v>
      </c>
      <c r="F938" t="s">
        <v>20</v>
      </c>
      <c r="G938" s="7">
        <v>43195</v>
      </c>
      <c r="H938" t="s">
        <v>41</v>
      </c>
      <c r="I938" t="s">
        <v>15</v>
      </c>
      <c r="J938" t="s">
        <v>23</v>
      </c>
      <c r="K938">
        <f>IF(HR_Data4[[#This Row],[Phone]]="Missing",0,1)</f>
        <v>1</v>
      </c>
    </row>
    <row r="939" spans="1:11" x14ac:dyDescent="0.3">
      <c r="A939" t="s">
        <v>59</v>
      </c>
      <c r="B939">
        <v>35</v>
      </c>
      <c r="C939" s="6">
        <v>65000</v>
      </c>
      <c r="D939" t="s">
        <v>18</v>
      </c>
      <c r="E939" t="s">
        <v>37</v>
      </c>
      <c r="F939" t="s">
        <v>44</v>
      </c>
      <c r="G939" s="7">
        <v>43800</v>
      </c>
      <c r="H939" t="s">
        <v>21</v>
      </c>
      <c r="I939" t="s">
        <v>22</v>
      </c>
      <c r="J939" t="s">
        <v>28</v>
      </c>
      <c r="K939">
        <f>IF(HR_Data4[[#This Row],[Phone]]="Missing",0,1)</f>
        <v>1</v>
      </c>
    </row>
    <row r="940" spans="1:11" x14ac:dyDescent="0.3">
      <c r="A940" t="s">
        <v>59</v>
      </c>
      <c r="B940">
        <v>40</v>
      </c>
      <c r="C940" s="6" t="s">
        <v>68</v>
      </c>
      <c r="D940" t="s">
        <v>11</v>
      </c>
      <c r="E940" t="s">
        <v>26</v>
      </c>
      <c r="F940" t="s">
        <v>43</v>
      </c>
      <c r="G940" s="7">
        <v>43845</v>
      </c>
      <c r="H940" t="s">
        <v>21</v>
      </c>
      <c r="I940" t="s">
        <v>32</v>
      </c>
      <c r="J940" t="s">
        <v>45</v>
      </c>
      <c r="K940">
        <f>IF(HR_Data4[[#This Row],[Phone]]="Missing",0,1)</f>
        <v>1</v>
      </c>
    </row>
    <row r="941" spans="1:11" x14ac:dyDescent="0.3">
      <c r="A941" t="s">
        <v>51</v>
      </c>
      <c r="B941">
        <v>36</v>
      </c>
      <c r="C941" s="6">
        <v>70000</v>
      </c>
      <c r="D941" t="s">
        <v>18</v>
      </c>
      <c r="E941" t="s">
        <v>37</v>
      </c>
      <c r="F941" t="s">
        <v>44</v>
      </c>
      <c r="G941" s="7">
        <v>43195</v>
      </c>
      <c r="H941" t="s">
        <v>27</v>
      </c>
      <c r="I941" t="s">
        <v>15</v>
      </c>
      <c r="J941" t="s">
        <v>28</v>
      </c>
      <c r="K941">
        <f>IF(HR_Data4[[#This Row],[Phone]]="Missing",0,1)</f>
        <v>1</v>
      </c>
    </row>
    <row r="942" spans="1:11" x14ac:dyDescent="0.3">
      <c r="A942" t="s">
        <v>58</v>
      </c>
      <c r="B942">
        <v>30</v>
      </c>
      <c r="C942" s="6" t="s">
        <v>68</v>
      </c>
      <c r="D942" t="s">
        <v>11</v>
      </c>
      <c r="E942" t="s">
        <v>19</v>
      </c>
      <c r="F942" t="s">
        <v>13</v>
      </c>
      <c r="G942" s="7">
        <v>43549</v>
      </c>
      <c r="H942" t="s">
        <v>14</v>
      </c>
      <c r="I942" t="s">
        <v>69</v>
      </c>
      <c r="J942" t="s">
        <v>69</v>
      </c>
      <c r="K942">
        <f>IF(HR_Data4[[#This Row],[Phone]]="Missing",0,1)</f>
        <v>0</v>
      </c>
    </row>
    <row r="943" spans="1:11" x14ac:dyDescent="0.3">
      <c r="A943" t="s">
        <v>54</v>
      </c>
      <c r="B943">
        <v>50</v>
      </c>
      <c r="C943" s="6">
        <v>65000</v>
      </c>
      <c r="D943" t="s">
        <v>18</v>
      </c>
      <c r="E943" t="s">
        <v>26</v>
      </c>
      <c r="F943" t="s">
        <v>13</v>
      </c>
      <c r="G943" s="7">
        <v>43195</v>
      </c>
      <c r="H943" t="s">
        <v>27</v>
      </c>
      <c r="I943" t="s">
        <v>32</v>
      </c>
      <c r="J943" t="s">
        <v>45</v>
      </c>
      <c r="K943">
        <f>IF(HR_Data4[[#This Row],[Phone]]="Missing",0,1)</f>
        <v>1</v>
      </c>
    </row>
    <row r="944" spans="1:11" x14ac:dyDescent="0.3">
      <c r="A944" t="s">
        <v>53</v>
      </c>
      <c r="B944">
        <v>30</v>
      </c>
      <c r="C944" s="6">
        <v>65000</v>
      </c>
      <c r="D944" t="s">
        <v>36</v>
      </c>
      <c r="E944" t="s">
        <v>12</v>
      </c>
      <c r="F944" t="s">
        <v>20</v>
      </c>
      <c r="G944" s="7">
        <v>43881</v>
      </c>
      <c r="H944" t="s">
        <v>41</v>
      </c>
      <c r="I944" t="s">
        <v>15</v>
      </c>
      <c r="J944" t="s">
        <v>28</v>
      </c>
      <c r="K944">
        <f>IF(HR_Data4[[#This Row],[Phone]]="Missing",0,1)</f>
        <v>1</v>
      </c>
    </row>
    <row r="945" spans="1:11" x14ac:dyDescent="0.3">
      <c r="A945" t="s">
        <v>53</v>
      </c>
      <c r="B945">
        <v>25</v>
      </c>
      <c r="C945" s="6" t="s">
        <v>68</v>
      </c>
      <c r="D945" t="s">
        <v>11</v>
      </c>
      <c r="E945" t="s">
        <v>37</v>
      </c>
      <c r="F945" t="s">
        <v>39</v>
      </c>
      <c r="G945" s="7">
        <v>43800</v>
      </c>
      <c r="H945" t="s">
        <v>21</v>
      </c>
      <c r="I945" t="s">
        <v>69</v>
      </c>
      <c r="J945" t="s">
        <v>23</v>
      </c>
      <c r="K945">
        <f>IF(HR_Data4[[#This Row],[Phone]]="Missing",0,1)</f>
        <v>1</v>
      </c>
    </row>
    <row r="946" spans="1:11" x14ac:dyDescent="0.3">
      <c r="A946" t="s">
        <v>56</v>
      </c>
      <c r="B946">
        <v>40</v>
      </c>
      <c r="C946" s="6">
        <v>60000</v>
      </c>
      <c r="D946" t="s">
        <v>36</v>
      </c>
      <c r="E946" t="s">
        <v>19</v>
      </c>
      <c r="F946" t="s">
        <v>43</v>
      </c>
      <c r="G946" s="7">
        <v>43800</v>
      </c>
      <c r="H946" t="s">
        <v>27</v>
      </c>
      <c r="I946" t="s">
        <v>22</v>
      </c>
      <c r="J946" t="s">
        <v>28</v>
      </c>
      <c r="K946">
        <f>IF(HR_Data4[[#This Row],[Phone]]="Missing",0,1)</f>
        <v>1</v>
      </c>
    </row>
    <row r="947" spans="1:11" x14ac:dyDescent="0.3">
      <c r="A947" t="s">
        <v>51</v>
      </c>
      <c r="B947">
        <v>36</v>
      </c>
      <c r="C947" s="6">
        <v>70000</v>
      </c>
      <c r="D947" t="s">
        <v>36</v>
      </c>
      <c r="E947" t="s">
        <v>26</v>
      </c>
      <c r="F947" t="s">
        <v>43</v>
      </c>
      <c r="G947" s="7">
        <v>43800</v>
      </c>
      <c r="H947" t="s">
        <v>14</v>
      </c>
      <c r="I947" t="s">
        <v>15</v>
      </c>
      <c r="J947" t="s">
        <v>23</v>
      </c>
      <c r="K947">
        <f>IF(HR_Data4[[#This Row],[Phone]]="Missing",0,1)</f>
        <v>1</v>
      </c>
    </row>
    <row r="948" spans="1:11" x14ac:dyDescent="0.3">
      <c r="A948" t="s">
        <v>56</v>
      </c>
      <c r="B948">
        <v>30</v>
      </c>
      <c r="C948" s="6">
        <v>50000</v>
      </c>
      <c r="D948" t="s">
        <v>11</v>
      </c>
      <c r="E948" t="s">
        <v>37</v>
      </c>
      <c r="F948" t="s">
        <v>39</v>
      </c>
      <c r="G948" s="7">
        <v>43800</v>
      </c>
      <c r="H948" t="s">
        <v>41</v>
      </c>
      <c r="I948" t="s">
        <v>22</v>
      </c>
      <c r="J948" t="s">
        <v>69</v>
      </c>
      <c r="K948">
        <f>IF(HR_Data4[[#This Row],[Phone]]="Missing",0,1)</f>
        <v>0</v>
      </c>
    </row>
    <row r="949" spans="1:11" x14ac:dyDescent="0.3">
      <c r="A949" t="s">
        <v>57</v>
      </c>
      <c r="B949">
        <v>40</v>
      </c>
      <c r="C949" s="6">
        <v>55000</v>
      </c>
      <c r="D949" t="s">
        <v>11</v>
      </c>
      <c r="E949" t="s">
        <v>30</v>
      </c>
      <c r="F949" t="s">
        <v>13</v>
      </c>
      <c r="G949" s="7">
        <v>43800</v>
      </c>
      <c r="H949" t="s">
        <v>31</v>
      </c>
      <c r="I949" t="s">
        <v>69</v>
      </c>
      <c r="J949" t="s">
        <v>28</v>
      </c>
      <c r="K949">
        <f>IF(HR_Data4[[#This Row],[Phone]]="Missing",0,1)</f>
        <v>1</v>
      </c>
    </row>
    <row r="950" spans="1:11" x14ac:dyDescent="0.3">
      <c r="A950" t="s">
        <v>57</v>
      </c>
      <c r="B950">
        <v>25</v>
      </c>
      <c r="C950" s="6">
        <v>65000</v>
      </c>
      <c r="D950" t="s">
        <v>36</v>
      </c>
      <c r="E950" t="s">
        <v>37</v>
      </c>
      <c r="F950" t="s">
        <v>13</v>
      </c>
      <c r="G950" s="7">
        <v>43800</v>
      </c>
      <c r="H950" t="s">
        <v>27</v>
      </c>
      <c r="I950" t="s">
        <v>15</v>
      </c>
      <c r="J950" t="s">
        <v>69</v>
      </c>
      <c r="K950">
        <f>IF(HR_Data4[[#This Row],[Phone]]="Missing",0,1)</f>
        <v>0</v>
      </c>
    </row>
    <row r="951" spans="1:11" x14ac:dyDescent="0.3">
      <c r="A951" t="s">
        <v>56</v>
      </c>
      <c r="B951">
        <v>35</v>
      </c>
      <c r="C951" s="6">
        <v>55000</v>
      </c>
      <c r="D951" t="s">
        <v>36</v>
      </c>
      <c r="E951" t="s">
        <v>12</v>
      </c>
      <c r="F951" t="s">
        <v>44</v>
      </c>
      <c r="G951" s="7">
        <v>43845</v>
      </c>
      <c r="H951" t="s">
        <v>41</v>
      </c>
      <c r="I951" t="s">
        <v>69</v>
      </c>
      <c r="J951" t="s">
        <v>45</v>
      </c>
      <c r="K951">
        <f>IF(HR_Data4[[#This Row],[Phone]]="Missing",0,1)</f>
        <v>1</v>
      </c>
    </row>
    <row r="952" spans="1:11" x14ac:dyDescent="0.3">
      <c r="A952" t="s">
        <v>51</v>
      </c>
      <c r="B952">
        <v>50</v>
      </c>
      <c r="C952" s="6">
        <v>50000</v>
      </c>
      <c r="D952" t="s">
        <v>36</v>
      </c>
      <c r="E952" t="s">
        <v>37</v>
      </c>
      <c r="F952" t="s">
        <v>20</v>
      </c>
      <c r="G952" s="7">
        <v>43549</v>
      </c>
      <c r="H952" t="s">
        <v>31</v>
      </c>
      <c r="I952" t="s">
        <v>32</v>
      </c>
      <c r="J952" t="s">
        <v>23</v>
      </c>
      <c r="K952">
        <f>IF(HR_Data4[[#This Row],[Phone]]="Missing",0,1)</f>
        <v>1</v>
      </c>
    </row>
    <row r="953" spans="1:11" x14ac:dyDescent="0.3">
      <c r="A953" t="s">
        <v>56</v>
      </c>
      <c r="B953">
        <v>40</v>
      </c>
      <c r="C953" s="6">
        <v>55000</v>
      </c>
      <c r="D953" t="s">
        <v>36</v>
      </c>
      <c r="E953" t="s">
        <v>26</v>
      </c>
      <c r="F953" t="s">
        <v>20</v>
      </c>
      <c r="G953" s="7">
        <v>43800</v>
      </c>
      <c r="H953" t="s">
        <v>27</v>
      </c>
      <c r="I953" t="s">
        <v>15</v>
      </c>
      <c r="J953" t="s">
        <v>45</v>
      </c>
      <c r="K953">
        <f>IF(HR_Data4[[#This Row],[Phone]]="Missing",0,1)</f>
        <v>1</v>
      </c>
    </row>
    <row r="954" spans="1:11" x14ac:dyDescent="0.3">
      <c r="A954" t="s">
        <v>53</v>
      </c>
      <c r="B954">
        <v>40</v>
      </c>
      <c r="C954" s="6">
        <v>50000</v>
      </c>
      <c r="D954" t="s">
        <v>11</v>
      </c>
      <c r="E954" t="s">
        <v>26</v>
      </c>
      <c r="F954" t="s">
        <v>20</v>
      </c>
      <c r="G954" s="7">
        <v>43549</v>
      </c>
      <c r="H954" t="s">
        <v>41</v>
      </c>
      <c r="I954" t="s">
        <v>69</v>
      </c>
      <c r="J954" t="s">
        <v>23</v>
      </c>
      <c r="K954">
        <f>IF(HR_Data4[[#This Row],[Phone]]="Missing",0,1)</f>
        <v>1</v>
      </c>
    </row>
    <row r="955" spans="1:11" x14ac:dyDescent="0.3">
      <c r="A955" t="s">
        <v>55</v>
      </c>
      <c r="B955">
        <v>35</v>
      </c>
      <c r="C955" s="6" t="s">
        <v>68</v>
      </c>
      <c r="D955" t="s">
        <v>11</v>
      </c>
      <c r="E955" t="s">
        <v>37</v>
      </c>
      <c r="F955" t="s">
        <v>44</v>
      </c>
      <c r="G955" s="7">
        <v>43800</v>
      </c>
      <c r="H955" t="s">
        <v>41</v>
      </c>
      <c r="I955" t="s">
        <v>15</v>
      </c>
      <c r="J955" t="s">
        <v>69</v>
      </c>
      <c r="K955">
        <f>IF(HR_Data4[[#This Row],[Phone]]="Missing",0,1)</f>
        <v>0</v>
      </c>
    </row>
    <row r="956" spans="1:11" x14ac:dyDescent="0.3">
      <c r="A956" t="s">
        <v>52</v>
      </c>
      <c r="B956">
        <v>40</v>
      </c>
      <c r="C956" s="6">
        <v>60000</v>
      </c>
      <c r="D956" t="s">
        <v>36</v>
      </c>
      <c r="E956" t="s">
        <v>26</v>
      </c>
      <c r="F956" t="s">
        <v>20</v>
      </c>
      <c r="G956" s="7">
        <v>43195</v>
      </c>
      <c r="H956" t="s">
        <v>27</v>
      </c>
      <c r="I956" t="s">
        <v>22</v>
      </c>
      <c r="J956" t="s">
        <v>69</v>
      </c>
      <c r="K956">
        <f>IF(HR_Data4[[#This Row],[Phone]]="Missing",0,1)</f>
        <v>0</v>
      </c>
    </row>
    <row r="957" spans="1:11" x14ac:dyDescent="0.3">
      <c r="A957" t="s">
        <v>59</v>
      </c>
      <c r="B957">
        <v>25</v>
      </c>
      <c r="C957" s="6">
        <v>65000</v>
      </c>
      <c r="D957" t="s">
        <v>18</v>
      </c>
      <c r="E957" t="s">
        <v>30</v>
      </c>
      <c r="F957" t="s">
        <v>39</v>
      </c>
      <c r="G957" s="7">
        <v>43800</v>
      </c>
      <c r="H957" t="s">
        <v>41</v>
      </c>
      <c r="I957" t="s">
        <v>15</v>
      </c>
      <c r="J957" t="s">
        <v>28</v>
      </c>
      <c r="K957">
        <f>IF(HR_Data4[[#This Row],[Phone]]="Missing",0,1)</f>
        <v>1</v>
      </c>
    </row>
    <row r="958" spans="1:11" x14ac:dyDescent="0.3">
      <c r="A958" t="s">
        <v>52</v>
      </c>
      <c r="B958">
        <v>25</v>
      </c>
      <c r="C958" s="6">
        <v>50000</v>
      </c>
      <c r="D958" t="s">
        <v>18</v>
      </c>
      <c r="E958" t="s">
        <v>37</v>
      </c>
      <c r="F958" t="s">
        <v>44</v>
      </c>
      <c r="G958" s="7">
        <v>43881</v>
      </c>
      <c r="H958" t="s">
        <v>21</v>
      </c>
      <c r="I958" t="s">
        <v>69</v>
      </c>
      <c r="J958" t="s">
        <v>69</v>
      </c>
      <c r="K958">
        <f>IF(HR_Data4[[#This Row],[Phone]]="Missing",0,1)</f>
        <v>0</v>
      </c>
    </row>
    <row r="959" spans="1:11" x14ac:dyDescent="0.3">
      <c r="A959" t="s">
        <v>51</v>
      </c>
      <c r="B959">
        <v>35</v>
      </c>
      <c r="C959" s="6">
        <v>55000</v>
      </c>
      <c r="D959" t="s">
        <v>11</v>
      </c>
      <c r="E959" t="s">
        <v>30</v>
      </c>
      <c r="F959" t="s">
        <v>39</v>
      </c>
      <c r="G959" s="7">
        <v>43845</v>
      </c>
      <c r="H959" t="s">
        <v>27</v>
      </c>
      <c r="I959" t="s">
        <v>15</v>
      </c>
      <c r="J959" t="s">
        <v>23</v>
      </c>
      <c r="K959">
        <f>IF(HR_Data4[[#This Row],[Phone]]="Missing",0,1)</f>
        <v>1</v>
      </c>
    </row>
    <row r="960" spans="1:11" x14ac:dyDescent="0.3">
      <c r="A960" t="s">
        <v>52</v>
      </c>
      <c r="B960">
        <v>50</v>
      </c>
      <c r="C960" s="6">
        <v>65000</v>
      </c>
      <c r="D960" t="s">
        <v>36</v>
      </c>
      <c r="E960" t="s">
        <v>30</v>
      </c>
      <c r="F960" t="s">
        <v>44</v>
      </c>
      <c r="G960" s="7">
        <v>43195</v>
      </c>
      <c r="H960" t="s">
        <v>41</v>
      </c>
      <c r="I960" t="s">
        <v>32</v>
      </c>
      <c r="J960" t="s">
        <v>23</v>
      </c>
      <c r="K960">
        <f>IF(HR_Data4[[#This Row],[Phone]]="Missing",0,1)</f>
        <v>1</v>
      </c>
    </row>
    <row r="961" spans="1:11" x14ac:dyDescent="0.3">
      <c r="A961" t="s">
        <v>57</v>
      </c>
      <c r="B961">
        <v>36</v>
      </c>
      <c r="C961" s="6">
        <v>60000</v>
      </c>
      <c r="D961" t="s">
        <v>36</v>
      </c>
      <c r="E961" t="s">
        <v>19</v>
      </c>
      <c r="F961" t="s">
        <v>20</v>
      </c>
      <c r="G961" s="7">
        <v>43195</v>
      </c>
      <c r="H961" t="s">
        <v>31</v>
      </c>
      <c r="I961" t="s">
        <v>15</v>
      </c>
      <c r="J961" t="s">
        <v>23</v>
      </c>
      <c r="K961">
        <f>IF(HR_Data4[[#This Row],[Phone]]="Missing",0,1)</f>
        <v>1</v>
      </c>
    </row>
    <row r="962" spans="1:11" x14ac:dyDescent="0.3">
      <c r="A962" t="s">
        <v>60</v>
      </c>
      <c r="B962">
        <v>30</v>
      </c>
      <c r="C962" s="6" t="s">
        <v>68</v>
      </c>
      <c r="D962" t="s">
        <v>11</v>
      </c>
      <c r="E962" t="s">
        <v>37</v>
      </c>
      <c r="F962" t="s">
        <v>39</v>
      </c>
      <c r="G962" s="7">
        <v>43881</v>
      </c>
      <c r="H962" t="s">
        <v>31</v>
      </c>
      <c r="I962" t="s">
        <v>22</v>
      </c>
      <c r="J962" t="s">
        <v>23</v>
      </c>
      <c r="K962">
        <f>IF(HR_Data4[[#This Row],[Phone]]="Missing",0,1)</f>
        <v>1</v>
      </c>
    </row>
    <row r="963" spans="1:11" x14ac:dyDescent="0.3">
      <c r="A963" t="s">
        <v>59</v>
      </c>
      <c r="B963">
        <v>36</v>
      </c>
      <c r="C963" s="6">
        <v>65000</v>
      </c>
      <c r="D963" t="s">
        <v>18</v>
      </c>
      <c r="E963" t="s">
        <v>26</v>
      </c>
      <c r="F963" t="s">
        <v>39</v>
      </c>
      <c r="G963" s="7">
        <v>43800</v>
      </c>
      <c r="H963" t="s">
        <v>21</v>
      </c>
      <c r="I963" t="s">
        <v>15</v>
      </c>
      <c r="J963" t="s">
        <v>28</v>
      </c>
      <c r="K963">
        <f>IF(HR_Data4[[#This Row],[Phone]]="Missing",0,1)</f>
        <v>1</v>
      </c>
    </row>
    <row r="964" spans="1:11" x14ac:dyDescent="0.3">
      <c r="A964" t="s">
        <v>54</v>
      </c>
      <c r="B964">
        <v>40</v>
      </c>
      <c r="C964" s="6">
        <v>50000</v>
      </c>
      <c r="D964" t="s">
        <v>18</v>
      </c>
      <c r="E964" t="s">
        <v>30</v>
      </c>
      <c r="F964" t="s">
        <v>39</v>
      </c>
      <c r="G964" s="7">
        <v>43845</v>
      </c>
      <c r="H964" t="s">
        <v>27</v>
      </c>
      <c r="I964" t="s">
        <v>69</v>
      </c>
      <c r="J964" t="s">
        <v>45</v>
      </c>
      <c r="K964">
        <f>IF(HR_Data4[[#This Row],[Phone]]="Missing",0,1)</f>
        <v>1</v>
      </c>
    </row>
    <row r="965" spans="1:11" x14ac:dyDescent="0.3">
      <c r="A965" t="s">
        <v>51</v>
      </c>
      <c r="B965">
        <v>30</v>
      </c>
      <c r="C965" s="6">
        <v>60000</v>
      </c>
      <c r="D965" t="s">
        <v>18</v>
      </c>
      <c r="E965" t="s">
        <v>19</v>
      </c>
      <c r="F965" t="s">
        <v>44</v>
      </c>
      <c r="G965" s="7">
        <v>43195</v>
      </c>
      <c r="H965" t="s">
        <v>41</v>
      </c>
      <c r="I965" t="s">
        <v>69</v>
      </c>
      <c r="J965" t="s">
        <v>69</v>
      </c>
      <c r="K965">
        <f>IF(HR_Data4[[#This Row],[Phone]]="Missing",0,1)</f>
        <v>0</v>
      </c>
    </row>
    <row r="966" spans="1:11" x14ac:dyDescent="0.3">
      <c r="A966" t="s">
        <v>59</v>
      </c>
      <c r="B966">
        <v>35</v>
      </c>
      <c r="C966" s="6">
        <v>55000</v>
      </c>
      <c r="D966" t="s">
        <v>11</v>
      </c>
      <c r="E966" t="s">
        <v>37</v>
      </c>
      <c r="F966" t="s">
        <v>43</v>
      </c>
      <c r="G966" s="7">
        <v>43845</v>
      </c>
      <c r="H966" t="s">
        <v>41</v>
      </c>
      <c r="I966" t="s">
        <v>15</v>
      </c>
      <c r="J966" t="s">
        <v>28</v>
      </c>
      <c r="K966">
        <f>IF(HR_Data4[[#This Row],[Phone]]="Missing",0,1)</f>
        <v>1</v>
      </c>
    </row>
    <row r="967" spans="1:11" x14ac:dyDescent="0.3">
      <c r="A967" t="s">
        <v>52</v>
      </c>
      <c r="B967">
        <v>35</v>
      </c>
      <c r="C967" s="6">
        <v>60000</v>
      </c>
      <c r="D967" t="s">
        <v>18</v>
      </c>
      <c r="E967" t="s">
        <v>37</v>
      </c>
      <c r="F967" t="s">
        <v>20</v>
      </c>
      <c r="G967" s="7">
        <v>43195</v>
      </c>
      <c r="H967" t="s">
        <v>31</v>
      </c>
      <c r="I967" t="s">
        <v>15</v>
      </c>
      <c r="J967" t="s">
        <v>23</v>
      </c>
      <c r="K967">
        <f>IF(HR_Data4[[#This Row],[Phone]]="Missing",0,1)</f>
        <v>1</v>
      </c>
    </row>
    <row r="968" spans="1:11" x14ac:dyDescent="0.3">
      <c r="A968" t="s">
        <v>57</v>
      </c>
      <c r="B968">
        <v>50</v>
      </c>
      <c r="C968" s="6">
        <v>60000</v>
      </c>
      <c r="D968" t="s">
        <v>11</v>
      </c>
      <c r="E968" t="s">
        <v>12</v>
      </c>
      <c r="F968" t="s">
        <v>39</v>
      </c>
      <c r="G968" s="7">
        <v>43800</v>
      </c>
      <c r="H968" t="s">
        <v>21</v>
      </c>
      <c r="I968" t="s">
        <v>32</v>
      </c>
      <c r="J968" t="s">
        <v>28</v>
      </c>
      <c r="K968">
        <f>IF(HR_Data4[[#This Row],[Phone]]="Missing",0,1)</f>
        <v>1</v>
      </c>
    </row>
    <row r="969" spans="1:11" x14ac:dyDescent="0.3">
      <c r="A969" t="s">
        <v>58</v>
      </c>
      <c r="B969">
        <v>30</v>
      </c>
      <c r="C969" s="6">
        <v>70000</v>
      </c>
      <c r="D969" t="s">
        <v>11</v>
      </c>
      <c r="E969" t="s">
        <v>12</v>
      </c>
      <c r="F969" t="s">
        <v>43</v>
      </c>
      <c r="G969" s="7">
        <v>43195</v>
      </c>
      <c r="H969" t="s">
        <v>31</v>
      </c>
      <c r="I969" t="s">
        <v>69</v>
      </c>
      <c r="J969" t="s">
        <v>69</v>
      </c>
      <c r="K969">
        <f>IF(HR_Data4[[#This Row],[Phone]]="Missing",0,1)</f>
        <v>0</v>
      </c>
    </row>
    <row r="970" spans="1:11" x14ac:dyDescent="0.3">
      <c r="A970" t="s">
        <v>55</v>
      </c>
      <c r="B970">
        <v>25</v>
      </c>
      <c r="C970" s="6">
        <v>60000</v>
      </c>
      <c r="D970" t="s">
        <v>36</v>
      </c>
      <c r="E970" t="s">
        <v>30</v>
      </c>
      <c r="F970" t="s">
        <v>20</v>
      </c>
      <c r="G970" s="7">
        <v>43195</v>
      </c>
      <c r="H970" t="s">
        <v>31</v>
      </c>
      <c r="I970" t="s">
        <v>69</v>
      </c>
      <c r="J970" t="s">
        <v>23</v>
      </c>
      <c r="K970">
        <f>IF(HR_Data4[[#This Row],[Phone]]="Missing",0,1)</f>
        <v>1</v>
      </c>
    </row>
    <row r="971" spans="1:11" x14ac:dyDescent="0.3">
      <c r="A971" t="s">
        <v>54</v>
      </c>
      <c r="B971">
        <v>30</v>
      </c>
      <c r="C971" s="6">
        <v>60000</v>
      </c>
      <c r="D971" t="s">
        <v>18</v>
      </c>
      <c r="E971" t="s">
        <v>12</v>
      </c>
      <c r="F971" t="s">
        <v>20</v>
      </c>
      <c r="G971" s="7">
        <v>43549</v>
      </c>
      <c r="H971" t="s">
        <v>21</v>
      </c>
      <c r="I971" t="s">
        <v>22</v>
      </c>
      <c r="J971" t="s">
        <v>69</v>
      </c>
      <c r="K971">
        <f>IF(HR_Data4[[#This Row],[Phone]]="Missing",0,1)</f>
        <v>0</v>
      </c>
    </row>
    <row r="972" spans="1:11" x14ac:dyDescent="0.3">
      <c r="A972" t="s">
        <v>55</v>
      </c>
      <c r="B972">
        <v>40</v>
      </c>
      <c r="C972" s="6">
        <v>65000</v>
      </c>
      <c r="D972" t="s">
        <v>11</v>
      </c>
      <c r="E972" t="s">
        <v>30</v>
      </c>
      <c r="F972" t="s">
        <v>39</v>
      </c>
      <c r="G972" s="7">
        <v>43800</v>
      </c>
      <c r="H972" t="s">
        <v>27</v>
      </c>
      <c r="I972" t="s">
        <v>15</v>
      </c>
      <c r="J972" t="s">
        <v>23</v>
      </c>
      <c r="K972">
        <f>IF(HR_Data4[[#This Row],[Phone]]="Missing",0,1)</f>
        <v>1</v>
      </c>
    </row>
    <row r="973" spans="1:11" x14ac:dyDescent="0.3">
      <c r="A973" t="s">
        <v>59</v>
      </c>
      <c r="B973">
        <v>25</v>
      </c>
      <c r="C973" s="6">
        <v>55000</v>
      </c>
      <c r="D973" t="s">
        <v>18</v>
      </c>
      <c r="E973" t="s">
        <v>26</v>
      </c>
      <c r="F973" t="s">
        <v>39</v>
      </c>
      <c r="G973" s="7">
        <v>43881</v>
      </c>
      <c r="H973" t="s">
        <v>41</v>
      </c>
      <c r="I973" t="s">
        <v>69</v>
      </c>
      <c r="J973" t="s">
        <v>69</v>
      </c>
      <c r="K973">
        <f>IF(HR_Data4[[#This Row],[Phone]]="Missing",0,1)</f>
        <v>0</v>
      </c>
    </row>
    <row r="974" spans="1:11" x14ac:dyDescent="0.3">
      <c r="A974" t="s">
        <v>57</v>
      </c>
      <c r="B974">
        <v>35</v>
      </c>
      <c r="C974" s="6">
        <v>65000</v>
      </c>
      <c r="D974" t="s">
        <v>18</v>
      </c>
      <c r="E974" t="s">
        <v>30</v>
      </c>
      <c r="F974" t="s">
        <v>44</v>
      </c>
      <c r="G974" s="7">
        <v>43881</v>
      </c>
      <c r="H974" t="s">
        <v>27</v>
      </c>
      <c r="I974" t="s">
        <v>22</v>
      </c>
      <c r="J974" t="s">
        <v>69</v>
      </c>
      <c r="K974">
        <f>IF(HR_Data4[[#This Row],[Phone]]="Missing",0,1)</f>
        <v>0</v>
      </c>
    </row>
    <row r="975" spans="1:11" x14ac:dyDescent="0.3">
      <c r="A975" t="s">
        <v>57</v>
      </c>
      <c r="B975">
        <v>30</v>
      </c>
      <c r="C975" s="6">
        <v>65000</v>
      </c>
      <c r="D975" t="s">
        <v>36</v>
      </c>
      <c r="E975" t="s">
        <v>12</v>
      </c>
      <c r="F975" t="s">
        <v>43</v>
      </c>
      <c r="G975" s="7">
        <v>43800</v>
      </c>
      <c r="H975" t="s">
        <v>14</v>
      </c>
      <c r="I975" t="s">
        <v>69</v>
      </c>
      <c r="J975" t="s">
        <v>45</v>
      </c>
      <c r="K975">
        <f>IF(HR_Data4[[#This Row],[Phone]]="Missing",0,1)</f>
        <v>1</v>
      </c>
    </row>
    <row r="976" spans="1:11" x14ac:dyDescent="0.3">
      <c r="A976" t="s">
        <v>52</v>
      </c>
      <c r="B976">
        <v>36</v>
      </c>
      <c r="C976" s="6">
        <v>50000</v>
      </c>
      <c r="D976" t="s">
        <v>18</v>
      </c>
      <c r="E976" t="s">
        <v>26</v>
      </c>
      <c r="F976" t="s">
        <v>43</v>
      </c>
      <c r="G976" s="7">
        <v>43881</v>
      </c>
      <c r="H976" t="s">
        <v>14</v>
      </c>
      <c r="I976" t="s">
        <v>69</v>
      </c>
      <c r="J976" t="s">
        <v>45</v>
      </c>
      <c r="K976">
        <f>IF(HR_Data4[[#This Row],[Phone]]="Missing",0,1)</f>
        <v>1</v>
      </c>
    </row>
    <row r="977" spans="1:11" x14ac:dyDescent="0.3">
      <c r="A977" t="s">
        <v>53</v>
      </c>
      <c r="B977">
        <v>50</v>
      </c>
      <c r="C977" s="6">
        <v>65000</v>
      </c>
      <c r="D977" t="s">
        <v>36</v>
      </c>
      <c r="E977" t="s">
        <v>12</v>
      </c>
      <c r="F977" t="s">
        <v>39</v>
      </c>
      <c r="G977" s="7">
        <v>43800</v>
      </c>
      <c r="H977" t="s">
        <v>14</v>
      </c>
      <c r="I977" t="s">
        <v>69</v>
      </c>
      <c r="J977" t="s">
        <v>28</v>
      </c>
      <c r="K977">
        <f>IF(HR_Data4[[#This Row],[Phone]]="Missing",0,1)</f>
        <v>1</v>
      </c>
    </row>
    <row r="978" spans="1:11" x14ac:dyDescent="0.3">
      <c r="A978" t="s">
        <v>52</v>
      </c>
      <c r="B978">
        <v>36</v>
      </c>
      <c r="C978" s="6">
        <v>70000</v>
      </c>
      <c r="D978" t="s">
        <v>11</v>
      </c>
      <c r="E978" t="s">
        <v>30</v>
      </c>
      <c r="F978" t="s">
        <v>20</v>
      </c>
      <c r="G978" s="7">
        <v>43881</v>
      </c>
      <c r="H978" t="s">
        <v>21</v>
      </c>
      <c r="I978" t="s">
        <v>22</v>
      </c>
      <c r="J978" t="s">
        <v>28</v>
      </c>
      <c r="K978">
        <f>IF(HR_Data4[[#This Row],[Phone]]="Missing",0,1)</f>
        <v>1</v>
      </c>
    </row>
    <row r="979" spans="1:11" x14ac:dyDescent="0.3">
      <c r="A979" t="s">
        <v>53</v>
      </c>
      <c r="B979">
        <v>50</v>
      </c>
      <c r="C979" s="6">
        <v>70000</v>
      </c>
      <c r="D979" t="s">
        <v>18</v>
      </c>
      <c r="E979" t="s">
        <v>19</v>
      </c>
      <c r="F979" t="s">
        <v>39</v>
      </c>
      <c r="G979" s="7">
        <v>43549</v>
      </c>
      <c r="H979" t="s">
        <v>31</v>
      </c>
      <c r="I979" t="s">
        <v>69</v>
      </c>
      <c r="J979" t="s">
        <v>69</v>
      </c>
      <c r="K979">
        <f>IF(HR_Data4[[#This Row],[Phone]]="Missing",0,1)</f>
        <v>0</v>
      </c>
    </row>
    <row r="980" spans="1:11" x14ac:dyDescent="0.3">
      <c r="A980" t="s">
        <v>53</v>
      </c>
      <c r="B980">
        <v>40</v>
      </c>
      <c r="C980" s="6">
        <v>50000</v>
      </c>
      <c r="D980" t="s">
        <v>11</v>
      </c>
      <c r="E980" t="s">
        <v>37</v>
      </c>
      <c r="F980" t="s">
        <v>20</v>
      </c>
      <c r="G980" s="7">
        <v>43881</v>
      </c>
      <c r="H980" t="s">
        <v>27</v>
      </c>
      <c r="I980" t="s">
        <v>69</v>
      </c>
      <c r="J980" t="s">
        <v>23</v>
      </c>
      <c r="K980">
        <f>IF(HR_Data4[[#This Row],[Phone]]="Missing",0,1)</f>
        <v>1</v>
      </c>
    </row>
    <row r="981" spans="1:11" x14ac:dyDescent="0.3">
      <c r="A981" t="s">
        <v>54</v>
      </c>
      <c r="B981">
        <v>36</v>
      </c>
      <c r="C981" s="6" t="s">
        <v>68</v>
      </c>
      <c r="D981" t="s">
        <v>18</v>
      </c>
      <c r="E981" t="s">
        <v>12</v>
      </c>
      <c r="F981" t="s">
        <v>20</v>
      </c>
      <c r="G981" s="7">
        <v>43195</v>
      </c>
      <c r="H981" t="s">
        <v>41</v>
      </c>
      <c r="I981" t="s">
        <v>69</v>
      </c>
      <c r="J981" t="s">
        <v>69</v>
      </c>
      <c r="K981">
        <f>IF(HR_Data4[[#This Row],[Phone]]="Missing",0,1)</f>
        <v>0</v>
      </c>
    </row>
    <row r="982" spans="1:11" x14ac:dyDescent="0.3">
      <c r="A982" t="s">
        <v>52</v>
      </c>
      <c r="B982">
        <v>30</v>
      </c>
      <c r="C982" s="6">
        <v>55000</v>
      </c>
      <c r="D982" t="s">
        <v>11</v>
      </c>
      <c r="E982" t="s">
        <v>30</v>
      </c>
      <c r="F982" t="s">
        <v>39</v>
      </c>
      <c r="G982" s="7">
        <v>43800</v>
      </c>
      <c r="H982" t="s">
        <v>14</v>
      </c>
      <c r="I982" t="s">
        <v>69</v>
      </c>
      <c r="J982" t="s">
        <v>69</v>
      </c>
      <c r="K982">
        <f>IF(HR_Data4[[#This Row],[Phone]]="Missing",0,1)</f>
        <v>0</v>
      </c>
    </row>
    <row r="983" spans="1:11" x14ac:dyDescent="0.3">
      <c r="A983" t="s">
        <v>58</v>
      </c>
      <c r="B983">
        <v>30</v>
      </c>
      <c r="C983" s="6">
        <v>55000</v>
      </c>
      <c r="D983" t="s">
        <v>18</v>
      </c>
      <c r="E983" t="s">
        <v>26</v>
      </c>
      <c r="F983" t="s">
        <v>13</v>
      </c>
      <c r="G983" s="7">
        <v>43845</v>
      </c>
      <c r="H983" t="s">
        <v>27</v>
      </c>
      <c r="I983" t="s">
        <v>69</v>
      </c>
      <c r="J983" t="s">
        <v>23</v>
      </c>
      <c r="K983">
        <f>IF(HR_Data4[[#This Row],[Phone]]="Missing",0,1)</f>
        <v>1</v>
      </c>
    </row>
    <row r="984" spans="1:11" x14ac:dyDescent="0.3">
      <c r="A984" t="s">
        <v>56</v>
      </c>
      <c r="B984">
        <v>36</v>
      </c>
      <c r="C984" s="6">
        <v>65000</v>
      </c>
      <c r="D984" t="s">
        <v>18</v>
      </c>
      <c r="E984" t="s">
        <v>12</v>
      </c>
      <c r="F984" t="s">
        <v>43</v>
      </c>
      <c r="G984" s="7">
        <v>43845</v>
      </c>
      <c r="H984" t="s">
        <v>14</v>
      </c>
      <c r="I984" t="s">
        <v>32</v>
      </c>
      <c r="J984" t="s">
        <v>23</v>
      </c>
      <c r="K984">
        <f>IF(HR_Data4[[#This Row],[Phone]]="Missing",0,1)</f>
        <v>1</v>
      </c>
    </row>
    <row r="985" spans="1:11" x14ac:dyDescent="0.3">
      <c r="A985" t="s">
        <v>56</v>
      </c>
      <c r="B985">
        <v>30</v>
      </c>
      <c r="C985" s="6">
        <v>65000</v>
      </c>
      <c r="D985" t="s">
        <v>18</v>
      </c>
      <c r="E985" t="s">
        <v>12</v>
      </c>
      <c r="F985" t="s">
        <v>20</v>
      </c>
      <c r="G985" s="7">
        <v>43800</v>
      </c>
      <c r="H985" t="s">
        <v>14</v>
      </c>
      <c r="I985" t="s">
        <v>22</v>
      </c>
      <c r="J985" t="s">
        <v>45</v>
      </c>
      <c r="K985">
        <f>IF(HR_Data4[[#This Row],[Phone]]="Missing",0,1)</f>
        <v>1</v>
      </c>
    </row>
    <row r="986" spans="1:11" x14ac:dyDescent="0.3">
      <c r="A986" t="s">
        <v>52</v>
      </c>
      <c r="B986">
        <v>40</v>
      </c>
      <c r="C986" s="6" t="s">
        <v>68</v>
      </c>
      <c r="D986" t="s">
        <v>18</v>
      </c>
      <c r="E986" t="s">
        <v>37</v>
      </c>
      <c r="F986" t="s">
        <v>20</v>
      </c>
      <c r="G986" s="7">
        <v>43549</v>
      </c>
      <c r="H986" t="s">
        <v>41</v>
      </c>
      <c r="I986" t="s">
        <v>69</v>
      </c>
      <c r="J986" t="s">
        <v>69</v>
      </c>
      <c r="K986">
        <f>IF(HR_Data4[[#This Row],[Phone]]="Missing",0,1)</f>
        <v>0</v>
      </c>
    </row>
    <row r="987" spans="1:11" x14ac:dyDescent="0.3">
      <c r="A987" t="s">
        <v>52</v>
      </c>
      <c r="B987">
        <v>25</v>
      </c>
      <c r="C987" s="6">
        <v>65000</v>
      </c>
      <c r="D987" t="s">
        <v>18</v>
      </c>
      <c r="E987" t="s">
        <v>30</v>
      </c>
      <c r="F987" t="s">
        <v>13</v>
      </c>
      <c r="G987" s="7">
        <v>43881</v>
      </c>
      <c r="H987" t="s">
        <v>21</v>
      </c>
      <c r="I987" t="s">
        <v>69</v>
      </c>
      <c r="J987" t="s">
        <v>69</v>
      </c>
      <c r="K987">
        <f>IF(HR_Data4[[#This Row],[Phone]]="Missing",0,1)</f>
        <v>0</v>
      </c>
    </row>
    <row r="988" spans="1:11" x14ac:dyDescent="0.3">
      <c r="A988" t="s">
        <v>55</v>
      </c>
      <c r="B988">
        <v>40</v>
      </c>
      <c r="C988" s="6">
        <v>55000</v>
      </c>
      <c r="D988" t="s">
        <v>18</v>
      </c>
      <c r="E988" t="s">
        <v>19</v>
      </c>
      <c r="F988" t="s">
        <v>44</v>
      </c>
      <c r="G988" s="7">
        <v>43549</v>
      </c>
      <c r="H988" t="s">
        <v>31</v>
      </c>
      <c r="I988" t="s">
        <v>22</v>
      </c>
      <c r="J988" t="s">
        <v>28</v>
      </c>
      <c r="K988">
        <f>IF(HR_Data4[[#This Row],[Phone]]="Missing",0,1)</f>
        <v>1</v>
      </c>
    </row>
    <row r="989" spans="1:11" x14ac:dyDescent="0.3">
      <c r="A989" t="s">
        <v>54</v>
      </c>
      <c r="B989">
        <v>50</v>
      </c>
      <c r="C989" s="6">
        <v>60000</v>
      </c>
      <c r="D989" t="s">
        <v>18</v>
      </c>
      <c r="E989" t="s">
        <v>26</v>
      </c>
      <c r="F989" t="s">
        <v>13</v>
      </c>
      <c r="G989" s="7">
        <v>43845</v>
      </c>
      <c r="H989" t="s">
        <v>21</v>
      </c>
      <c r="I989" t="s">
        <v>22</v>
      </c>
      <c r="J989" t="s">
        <v>45</v>
      </c>
      <c r="K989">
        <f>IF(HR_Data4[[#This Row],[Phone]]="Missing",0,1)</f>
        <v>1</v>
      </c>
    </row>
    <row r="990" spans="1:11" x14ac:dyDescent="0.3">
      <c r="A990" t="s">
        <v>52</v>
      </c>
      <c r="B990">
        <v>40</v>
      </c>
      <c r="C990" s="6">
        <v>70000</v>
      </c>
      <c r="D990" t="s">
        <v>18</v>
      </c>
      <c r="E990" t="s">
        <v>30</v>
      </c>
      <c r="F990" t="s">
        <v>13</v>
      </c>
      <c r="G990" s="7">
        <v>43800</v>
      </c>
      <c r="H990" t="s">
        <v>27</v>
      </c>
      <c r="I990" t="s">
        <v>22</v>
      </c>
      <c r="J990" t="s">
        <v>69</v>
      </c>
      <c r="K990">
        <f>IF(HR_Data4[[#This Row],[Phone]]="Missing",0,1)</f>
        <v>0</v>
      </c>
    </row>
    <row r="991" spans="1:11" x14ac:dyDescent="0.3">
      <c r="A991" t="s">
        <v>55</v>
      </c>
      <c r="B991">
        <v>50</v>
      </c>
      <c r="C991" s="6">
        <v>60000</v>
      </c>
      <c r="D991" t="s">
        <v>18</v>
      </c>
      <c r="E991" t="s">
        <v>26</v>
      </c>
      <c r="F991" t="s">
        <v>20</v>
      </c>
      <c r="G991" s="7">
        <v>43800</v>
      </c>
      <c r="H991" t="s">
        <v>21</v>
      </c>
      <c r="I991" t="s">
        <v>22</v>
      </c>
      <c r="J991" t="s">
        <v>23</v>
      </c>
      <c r="K991">
        <f>IF(HR_Data4[[#This Row],[Phone]]="Missing",0,1)</f>
        <v>1</v>
      </c>
    </row>
    <row r="992" spans="1:11" x14ac:dyDescent="0.3">
      <c r="A992" t="s">
        <v>53</v>
      </c>
      <c r="B992">
        <v>30</v>
      </c>
      <c r="C992" s="6">
        <v>60000</v>
      </c>
      <c r="D992" t="s">
        <v>11</v>
      </c>
      <c r="E992" t="s">
        <v>12</v>
      </c>
      <c r="F992" t="s">
        <v>43</v>
      </c>
      <c r="G992" s="7">
        <v>43549</v>
      </c>
      <c r="H992" t="s">
        <v>27</v>
      </c>
      <c r="I992" t="s">
        <v>15</v>
      </c>
      <c r="J992" t="s">
        <v>69</v>
      </c>
      <c r="K992">
        <f>IF(HR_Data4[[#This Row],[Phone]]="Missing",0,1)</f>
        <v>0</v>
      </c>
    </row>
    <row r="993" spans="1:11" x14ac:dyDescent="0.3">
      <c r="A993" t="s">
        <v>57</v>
      </c>
      <c r="B993">
        <v>25</v>
      </c>
      <c r="C993" s="6">
        <v>55000</v>
      </c>
      <c r="D993" t="s">
        <v>36</v>
      </c>
      <c r="E993" t="s">
        <v>37</v>
      </c>
      <c r="F993" t="s">
        <v>13</v>
      </c>
      <c r="G993" s="7">
        <v>43549</v>
      </c>
      <c r="H993" t="s">
        <v>27</v>
      </c>
      <c r="I993" t="s">
        <v>69</v>
      </c>
      <c r="J993" t="s">
        <v>69</v>
      </c>
      <c r="K993">
        <f>IF(HR_Data4[[#This Row],[Phone]]="Missing",0,1)</f>
        <v>0</v>
      </c>
    </row>
    <row r="994" spans="1:11" x14ac:dyDescent="0.3">
      <c r="A994" t="s">
        <v>57</v>
      </c>
      <c r="B994">
        <v>30</v>
      </c>
      <c r="C994" s="6">
        <v>60000</v>
      </c>
      <c r="D994" t="s">
        <v>18</v>
      </c>
      <c r="E994" t="s">
        <v>37</v>
      </c>
      <c r="F994" t="s">
        <v>44</v>
      </c>
      <c r="G994" s="7">
        <v>43881</v>
      </c>
      <c r="H994" t="s">
        <v>31</v>
      </c>
      <c r="I994" t="s">
        <v>15</v>
      </c>
      <c r="J994" t="s">
        <v>45</v>
      </c>
      <c r="K994">
        <f>IF(HR_Data4[[#This Row],[Phone]]="Missing",0,1)</f>
        <v>1</v>
      </c>
    </row>
    <row r="995" spans="1:11" x14ac:dyDescent="0.3">
      <c r="A995" t="s">
        <v>53</v>
      </c>
      <c r="B995">
        <v>35</v>
      </c>
      <c r="C995" s="6" t="s">
        <v>68</v>
      </c>
      <c r="D995" t="s">
        <v>36</v>
      </c>
      <c r="E995" t="s">
        <v>19</v>
      </c>
      <c r="F995" t="s">
        <v>39</v>
      </c>
      <c r="G995" s="7">
        <v>43195</v>
      </c>
      <c r="H995" t="s">
        <v>41</v>
      </c>
      <c r="I995" t="s">
        <v>69</v>
      </c>
      <c r="J995" t="s">
        <v>23</v>
      </c>
      <c r="K995">
        <f>IF(HR_Data4[[#This Row],[Phone]]="Missing",0,1)</f>
        <v>1</v>
      </c>
    </row>
    <row r="996" spans="1:11" x14ac:dyDescent="0.3">
      <c r="A996" t="s">
        <v>51</v>
      </c>
      <c r="B996">
        <v>30</v>
      </c>
      <c r="C996" s="6">
        <v>50000</v>
      </c>
      <c r="D996" t="s">
        <v>18</v>
      </c>
      <c r="E996" t="s">
        <v>37</v>
      </c>
      <c r="F996" t="s">
        <v>13</v>
      </c>
      <c r="G996" s="7">
        <v>43195</v>
      </c>
      <c r="H996" t="s">
        <v>31</v>
      </c>
      <c r="I996" t="s">
        <v>69</v>
      </c>
      <c r="J996" t="s">
        <v>69</v>
      </c>
      <c r="K996">
        <f>IF(HR_Data4[[#This Row],[Phone]]="Missing",0,1)</f>
        <v>0</v>
      </c>
    </row>
    <row r="997" spans="1:11" x14ac:dyDescent="0.3">
      <c r="A997" t="s">
        <v>55</v>
      </c>
      <c r="B997">
        <v>50</v>
      </c>
      <c r="C997" s="6">
        <v>65000</v>
      </c>
      <c r="D997" t="s">
        <v>18</v>
      </c>
      <c r="E997" t="s">
        <v>12</v>
      </c>
      <c r="F997" t="s">
        <v>13</v>
      </c>
      <c r="G997" s="7">
        <v>43881</v>
      </c>
      <c r="H997" t="s">
        <v>21</v>
      </c>
      <c r="I997" t="s">
        <v>69</v>
      </c>
      <c r="J997" t="s">
        <v>28</v>
      </c>
      <c r="K997">
        <f>IF(HR_Data4[[#This Row],[Phone]]="Missing",0,1)</f>
        <v>1</v>
      </c>
    </row>
    <row r="998" spans="1:11" x14ac:dyDescent="0.3">
      <c r="A998" t="s">
        <v>55</v>
      </c>
      <c r="B998">
        <v>30</v>
      </c>
      <c r="C998" s="6">
        <v>50000</v>
      </c>
      <c r="D998" t="s">
        <v>11</v>
      </c>
      <c r="E998" t="s">
        <v>19</v>
      </c>
      <c r="F998" t="s">
        <v>44</v>
      </c>
      <c r="G998" s="7">
        <v>43195</v>
      </c>
      <c r="H998" t="s">
        <v>27</v>
      </c>
      <c r="I998" t="s">
        <v>69</v>
      </c>
      <c r="J998" t="s">
        <v>45</v>
      </c>
      <c r="K998">
        <f>IF(HR_Data4[[#This Row],[Phone]]="Missing",0,1)</f>
        <v>1</v>
      </c>
    </row>
    <row r="999" spans="1:11" x14ac:dyDescent="0.3">
      <c r="A999" t="s">
        <v>53</v>
      </c>
      <c r="B999">
        <v>30</v>
      </c>
      <c r="C999" s="6">
        <v>70000</v>
      </c>
      <c r="D999" t="s">
        <v>11</v>
      </c>
      <c r="E999" t="s">
        <v>30</v>
      </c>
      <c r="F999" t="s">
        <v>43</v>
      </c>
      <c r="G999" s="7">
        <v>43845</v>
      </c>
      <c r="H999" t="s">
        <v>14</v>
      </c>
      <c r="I999" t="s">
        <v>22</v>
      </c>
      <c r="J999" t="s">
        <v>69</v>
      </c>
      <c r="K999">
        <f>IF(HR_Data4[[#This Row],[Phone]]="Missing",0,1)</f>
        <v>0</v>
      </c>
    </row>
    <row r="1000" spans="1:11" x14ac:dyDescent="0.3">
      <c r="A1000" t="s">
        <v>58</v>
      </c>
      <c r="B1000">
        <v>25</v>
      </c>
      <c r="C1000" s="6">
        <v>65000</v>
      </c>
      <c r="D1000" t="s">
        <v>36</v>
      </c>
      <c r="E1000" t="s">
        <v>37</v>
      </c>
      <c r="F1000" t="s">
        <v>13</v>
      </c>
      <c r="G1000" s="7">
        <v>43195</v>
      </c>
      <c r="H1000" t="s">
        <v>14</v>
      </c>
      <c r="I1000" t="s">
        <v>15</v>
      </c>
      <c r="J1000" t="s">
        <v>69</v>
      </c>
      <c r="K1000">
        <f>IF(HR_Data4[[#This Row],[Phone]]="Missing",0,1)</f>
        <v>0</v>
      </c>
    </row>
    <row r="1001" spans="1:11" x14ac:dyDescent="0.3">
      <c r="A1001" t="s">
        <v>60</v>
      </c>
      <c r="B1001">
        <v>30</v>
      </c>
      <c r="C1001" s="6">
        <v>60000</v>
      </c>
      <c r="D1001" t="s">
        <v>11</v>
      </c>
      <c r="E1001" t="s">
        <v>19</v>
      </c>
      <c r="F1001" t="s">
        <v>13</v>
      </c>
      <c r="G1001" s="7">
        <v>43881</v>
      </c>
      <c r="H1001" t="s">
        <v>27</v>
      </c>
      <c r="I1001" t="s">
        <v>22</v>
      </c>
      <c r="J1001" t="s">
        <v>23</v>
      </c>
      <c r="K1001">
        <f>IF(HR_Data4[[#This Row],[Phone]]="Missing",0,1)</f>
        <v>1</v>
      </c>
    </row>
  </sheetData>
  <conditionalFormatting sqref="H2:H1001">
    <cfRule type="cellIs" dxfId="31" priority="18" operator="equal">
      <formula>"F"</formula>
    </cfRule>
    <cfRule type="cellIs" dxfId="30" priority="19" operator="equal">
      <formula>"D"</formula>
    </cfRule>
    <cfRule type="cellIs" dxfId="29" priority="20" operator="equal">
      <formula>"C"</formula>
    </cfRule>
    <cfRule type="cellIs" dxfId="28" priority="21" operator="equal">
      <formula>"B"</formula>
    </cfRule>
    <cfRule type="cellIs" dxfId="27" priority="22" operator="equal">
      <formula>"A"</formula>
    </cfRule>
  </conditionalFormatting>
  <conditionalFormatting sqref="C2:C1001">
    <cfRule type="dataBar" priority="17">
      <dataBar>
        <cfvo type="min"/>
        <cfvo type="max"/>
        <color rgb="FF638EC6"/>
      </dataBar>
      <extLst>
        <ext xmlns:x14="http://schemas.microsoft.com/office/spreadsheetml/2009/9/main" uri="{B025F937-C7B1-47D3-B67F-A62EFF666E3E}">
          <x14:id>{25D67135-A3ED-4164-AFFA-38D7F7CB66CC}</x14:id>
        </ext>
      </extLst>
    </cfRule>
  </conditionalFormatting>
  <conditionalFormatting sqref="B2:B1001">
    <cfRule type="expression" dxfId="26" priority="14">
      <formula>$B2&gt;45</formula>
    </cfRule>
    <cfRule type="expression" dxfId="25" priority="15">
      <formula>$B2&lt;30</formula>
    </cfRule>
  </conditionalFormatting>
  <conditionalFormatting sqref="I2:I1001">
    <cfRule type="expression" dxfId="24" priority="13">
      <formula>$I2="Missing"</formula>
    </cfRule>
  </conditionalFormatting>
  <conditionalFormatting sqref="K979:K1001">
    <cfRule type="iconSet" priority="10">
      <iconSet iconSet="3Symbols">
        <cfvo type="percent" val="0"/>
        <cfvo type="percent" val="33"/>
        <cfvo type="percent" val="67"/>
      </iconSet>
    </cfRule>
  </conditionalFormatting>
  <conditionalFormatting sqref="K2:K1001">
    <cfRule type="iconSet" priority="9">
      <iconSet iconSet="3Symbols">
        <cfvo type="percent" val="0"/>
        <cfvo type="percent" val="33"/>
        <cfvo type="percent" val="67"/>
      </iconSet>
    </cfRule>
  </conditionalFormatting>
  <conditionalFormatting sqref="G2:G1001">
    <cfRule type="expression" dxfId="23" priority="7">
      <formula>YEAR($G2)=2020</formula>
    </cfRule>
  </conditionalFormatting>
  <conditionalFormatting sqref="E2:E1001">
    <cfRule type="cellIs" dxfId="22" priority="1" operator="equal">
      <formula>"Marketing"</formula>
    </cfRule>
    <cfRule type="cellIs" dxfId="21" priority="3" operator="equal">
      <formula>"IT"</formula>
    </cfRule>
    <cfRule type="cellIs" dxfId="20" priority="4" operator="equal">
      <formula>"Sales"</formula>
    </cfRule>
    <cfRule type="cellIs" dxfId="19" priority="5" operator="equal">
      <formula>"Finance"</formula>
    </cfRule>
    <cfRule type="cellIs" dxfId="18" priority="6" operator="equal">
      <formula>"HR"</formula>
    </cfRule>
  </conditionalFormatting>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25D67135-A3ED-4164-AFFA-38D7F7CB66CC}">
            <x14:dataBar minLength="0" maxLength="100" border="1" negativeBarBorderColorSameAsPositive="0">
              <x14:cfvo type="autoMin"/>
              <x14:cfvo type="autoMax"/>
              <x14:borderColor rgb="FF638EC6"/>
              <x14:negativeFillColor rgb="FFFF0000"/>
              <x14:negativeBorderColor rgb="FFFF0000"/>
              <x14:axisColor rgb="FF000000"/>
            </x14:dataBar>
          </x14:cfRule>
          <xm:sqref>C2:C1001</xm:sqref>
        </x14:conditionalFormatting>
        <x14:conditionalFormatting xmlns:xm="http://schemas.microsoft.com/office/excel/2006/main">
          <x14:cfRule type="iconSet" priority="8" id="{E02AE3A2-DC61-4331-A26D-C0F644440739}">
            <x14:iconSet iconSet="3Symbols" showValue="0" custom="1">
              <x14:cfvo type="percent">
                <xm:f>0</xm:f>
              </x14:cfvo>
              <x14:cfvo type="num" gte="0">
                <xm:f>0</xm:f>
              </x14:cfvo>
              <x14:cfvo type="num">
                <xm:f>1</xm:f>
              </x14:cfvo>
              <x14:cfIcon iconSet="NoIcons" iconId="0"/>
              <x14:cfIcon iconSet="3Symbols" iconId="0"/>
              <x14:cfIcon iconSet="3Symbols" iconId="2"/>
            </x14:iconSet>
          </x14:cfRule>
          <xm:sqref>J2:J1001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sheetPr>
  <dimension ref="A1:AE1001"/>
  <sheetViews>
    <sheetView workbookViewId="0">
      <selection activeCell="B21" sqref="B21"/>
    </sheetView>
  </sheetViews>
  <sheetFormatPr defaultRowHeight="14.4" x14ac:dyDescent="0.3"/>
  <cols>
    <col min="2" max="2" width="6.88671875" customWidth="1"/>
    <col min="4" max="4" width="9.21875" customWidth="1"/>
    <col min="5" max="5" width="11.33203125" customWidth="1"/>
    <col min="6" max="6" width="10.21875" customWidth="1"/>
    <col min="7" max="7" width="12" customWidth="1"/>
    <col min="8" max="8" width="9.21875" customWidth="1"/>
    <col min="9" max="9" width="19.33203125" customWidth="1"/>
    <col min="10" max="10" width="14.6640625" customWidth="1"/>
    <col min="11" max="11" width="11.88671875" customWidth="1"/>
    <col min="12" max="12" width="13.77734375" customWidth="1"/>
    <col min="13" max="14" width="10.88671875" customWidth="1"/>
    <col min="15" max="15" width="8.88671875" customWidth="1"/>
  </cols>
  <sheetData>
    <row r="1" spans="1:16" ht="28.8" x14ac:dyDescent="0.3">
      <c r="A1" t="s">
        <v>0</v>
      </c>
      <c r="B1" t="s">
        <v>1</v>
      </c>
      <c r="C1" s="6" t="s">
        <v>2</v>
      </c>
      <c r="D1" t="s">
        <v>3</v>
      </c>
      <c r="E1" t="s">
        <v>4</v>
      </c>
      <c r="F1" t="s">
        <v>5</v>
      </c>
      <c r="G1" s="8" t="s">
        <v>6</v>
      </c>
      <c r="H1" s="8" t="s">
        <v>7</v>
      </c>
      <c r="I1" t="s">
        <v>8</v>
      </c>
      <c r="J1" t="s">
        <v>70</v>
      </c>
      <c r="K1" t="s">
        <v>71</v>
      </c>
      <c r="L1" t="s">
        <v>72</v>
      </c>
      <c r="M1" t="s">
        <v>73</v>
      </c>
      <c r="N1" t="s">
        <v>74</v>
      </c>
      <c r="O1" t="s">
        <v>90</v>
      </c>
    </row>
    <row r="2" spans="1:16" x14ac:dyDescent="0.3">
      <c r="A2" t="s">
        <v>51</v>
      </c>
      <c r="B2">
        <v>25</v>
      </c>
      <c r="C2" s="6">
        <v>50000</v>
      </c>
      <c r="D2" t="s">
        <v>11</v>
      </c>
      <c r="E2" t="s">
        <v>12</v>
      </c>
      <c r="F2" t="s">
        <v>13</v>
      </c>
      <c r="G2" s="7">
        <v>43195</v>
      </c>
      <c r="H2" t="s">
        <v>14</v>
      </c>
      <c r="I2" t="s">
        <v>15</v>
      </c>
      <c r="J2" t="s">
        <v>69</v>
      </c>
      <c r="K2" t="str">
        <f>IF(HR_Data5[[#This Row],[Age]]&lt;30,"Young",IF(HR_Data5[[#This Row],[Age]]&lt;=45,"Mid-Career","Senior"))</f>
        <v>Young</v>
      </c>
      <c r="L2" s="10">
        <f ca="1">DATEDIF(HR_Data5[[#This Row],[Joining Date]],TODAY(),"Y")</f>
        <v>7</v>
      </c>
      <c r="M2" s="10" t="str">
        <f>IF(HR_Data5[[#This Row],[Salary]]&lt;55000,"Low",IF(HR_Data5[[#This Row],[Salary]]&lt;=65000,"Medium","High"))</f>
        <v>Low</v>
      </c>
      <c r="N2" s="10">
        <f>YEAR(HR_Data5[[#This Row],[Joining Date]])</f>
        <v>2018</v>
      </c>
      <c r="O2" s="10" cm="1">
        <f t="array" ref="O2">_xlfn.SWITCH(HR_Data5[[#This Row],[Performance Score]],
"A",5,
"B",4,
"C",3,
"D",2,
"F",1)</f>
        <v>2</v>
      </c>
      <c r="P2" s="10"/>
    </row>
    <row r="3" spans="1:16" x14ac:dyDescent="0.3">
      <c r="A3" t="s">
        <v>52</v>
      </c>
      <c r="B3">
        <v>36</v>
      </c>
      <c r="C3" s="6">
        <v>65000</v>
      </c>
      <c r="D3" t="s">
        <v>18</v>
      </c>
      <c r="E3" t="s">
        <v>19</v>
      </c>
      <c r="F3" t="s">
        <v>20</v>
      </c>
      <c r="G3" s="7">
        <v>43881</v>
      </c>
      <c r="H3" t="s">
        <v>21</v>
      </c>
      <c r="I3" t="s">
        <v>22</v>
      </c>
      <c r="J3" t="s">
        <v>23</v>
      </c>
      <c r="K3" t="str">
        <f>IF(HR_Data5[[#This Row],[Age]]&lt;30,"Young",IF(HR_Data5[[#This Row],[Age]]&lt;=45,"Mid-Career","Senior"))</f>
        <v>Mid-Career</v>
      </c>
      <c r="L3" s="10">
        <f ca="1">DATEDIF(HR_Data5[[#This Row],[Joining Date]],TODAY(),"Y")</f>
        <v>6</v>
      </c>
      <c r="M3" s="10" t="str">
        <f>IF(HR_Data5[[#This Row],[Salary]]&lt;55000,"Low",IF(HR_Data5[[#This Row],[Salary]]&lt;=65000,"Medium","High"))</f>
        <v>Medium</v>
      </c>
      <c r="N3" s="10">
        <f>YEAR(HR_Data5[[#This Row],[Joining Date]])</f>
        <v>2020</v>
      </c>
      <c r="O3" s="10" cm="1">
        <f t="array" ref="O3">_xlfn.SWITCH(HR_Data5[[#This Row],[Performance Score]],
"A",5,
"B",4,
"C",3,
"D",2,
"F",1)</f>
        <v>1</v>
      </c>
      <c r="P3" s="10"/>
    </row>
    <row r="4" spans="1:16" x14ac:dyDescent="0.3">
      <c r="A4" t="s">
        <v>53</v>
      </c>
      <c r="B4">
        <v>35</v>
      </c>
      <c r="C4" s="6">
        <v>60000</v>
      </c>
      <c r="D4" t="s">
        <v>18</v>
      </c>
      <c r="E4" t="s">
        <v>26</v>
      </c>
      <c r="F4" t="s">
        <v>20</v>
      </c>
      <c r="G4" s="7">
        <v>43845</v>
      </c>
      <c r="H4" t="s">
        <v>27</v>
      </c>
      <c r="I4" t="s">
        <v>15</v>
      </c>
      <c r="J4" t="s">
        <v>28</v>
      </c>
      <c r="K4" t="str">
        <f>IF(HR_Data5[[#This Row],[Age]]&lt;30,"Young",IF(HR_Data5[[#This Row],[Age]]&lt;=45,"Mid-Career","Senior"))</f>
        <v>Mid-Career</v>
      </c>
      <c r="L4" s="10">
        <f ca="1">DATEDIF(HR_Data5[[#This Row],[Joining Date]],TODAY(),"Y")</f>
        <v>6</v>
      </c>
      <c r="M4" s="10" t="str">
        <f>IF(HR_Data5[[#This Row],[Salary]]&lt;55000,"Low",IF(HR_Data5[[#This Row],[Salary]]&lt;=65000,"Medium","High"))</f>
        <v>Medium</v>
      </c>
      <c r="N4" s="10">
        <f>YEAR(HR_Data5[[#This Row],[Joining Date]])</f>
        <v>2020</v>
      </c>
      <c r="O4" s="10" cm="1">
        <f t="array" ref="O4">_xlfn.SWITCH(HR_Data5[[#This Row],[Performance Score]],
"A",5,
"B",4,
"C",3,
"D",2,
"F",1)</f>
        <v>3</v>
      </c>
      <c r="P4" s="10"/>
    </row>
    <row r="5" spans="1:16" x14ac:dyDescent="0.3">
      <c r="A5" t="s">
        <v>54</v>
      </c>
      <c r="B5">
        <v>36</v>
      </c>
      <c r="C5" s="6">
        <v>50000</v>
      </c>
      <c r="D5" t="s">
        <v>18</v>
      </c>
      <c r="E5" t="s">
        <v>30</v>
      </c>
      <c r="F5" t="s">
        <v>13</v>
      </c>
      <c r="G5" s="7">
        <v>43195</v>
      </c>
      <c r="H5" t="s">
        <v>31</v>
      </c>
      <c r="I5" t="s">
        <v>32</v>
      </c>
      <c r="J5" t="s">
        <v>69</v>
      </c>
      <c r="K5" t="str">
        <f>IF(HR_Data5[[#This Row],[Age]]&lt;30,"Young",IF(HR_Data5[[#This Row],[Age]]&lt;=45,"Mid-Career","Senior"))</f>
        <v>Mid-Career</v>
      </c>
      <c r="L5" s="10">
        <f ca="1">DATEDIF(HR_Data5[[#This Row],[Joining Date]],TODAY(),"Y")</f>
        <v>7</v>
      </c>
      <c r="M5" s="10" t="str">
        <f>IF(HR_Data5[[#This Row],[Salary]]&lt;55000,"Low",IF(HR_Data5[[#This Row],[Salary]]&lt;=65000,"Medium","High"))</f>
        <v>Low</v>
      </c>
      <c r="N5" s="10">
        <f>YEAR(HR_Data5[[#This Row],[Joining Date]])</f>
        <v>2018</v>
      </c>
      <c r="O5" s="10" cm="1">
        <f t="array" ref="O5">_xlfn.SWITCH(HR_Data5[[#This Row],[Performance Score]],
"A",5,
"B",4,
"C",3,
"D",2,
"F",1)</f>
        <v>5</v>
      </c>
      <c r="P5" s="10"/>
    </row>
    <row r="6" spans="1:16" x14ac:dyDescent="0.3">
      <c r="A6" t="s">
        <v>51</v>
      </c>
      <c r="B6">
        <v>36</v>
      </c>
      <c r="C6" s="6" t="s">
        <v>68</v>
      </c>
      <c r="D6" t="s">
        <v>18</v>
      </c>
      <c r="E6" t="s">
        <v>19</v>
      </c>
      <c r="F6" t="s">
        <v>13</v>
      </c>
      <c r="G6" s="7">
        <v>43845</v>
      </c>
      <c r="H6" t="s">
        <v>21</v>
      </c>
      <c r="I6" t="s">
        <v>32</v>
      </c>
      <c r="J6" t="s">
        <v>28</v>
      </c>
      <c r="K6" t="str">
        <f>IF(HR_Data5[[#This Row],[Age]]&lt;30,"Young",IF(HR_Data5[[#This Row],[Age]]&lt;=45,"Mid-Career","Senior"))</f>
        <v>Mid-Career</v>
      </c>
      <c r="L6" s="10">
        <f ca="1">DATEDIF(HR_Data5[[#This Row],[Joining Date]],TODAY(),"Y")</f>
        <v>6</v>
      </c>
      <c r="M6" s="10" t="str">
        <f>IF(HR_Data5[[#This Row],[Salary]]&lt;55000,"Low",IF(HR_Data5[[#This Row],[Salary]]&lt;=65000,"Medium","High"))</f>
        <v>High</v>
      </c>
      <c r="N6" s="10">
        <f>YEAR(HR_Data5[[#This Row],[Joining Date]])</f>
        <v>2020</v>
      </c>
      <c r="O6" s="10" cm="1">
        <f t="array" ref="O6">_xlfn.SWITCH(HR_Data5[[#This Row],[Performance Score]],
"A",5,
"B",4,
"C",3,
"D",2,
"F",1)</f>
        <v>1</v>
      </c>
      <c r="P6" s="10"/>
    </row>
    <row r="7" spans="1:16" x14ac:dyDescent="0.3">
      <c r="A7" t="s">
        <v>55</v>
      </c>
      <c r="B7">
        <v>36</v>
      </c>
      <c r="C7" s="6">
        <v>65000</v>
      </c>
      <c r="D7" t="s">
        <v>36</v>
      </c>
      <c r="E7" t="s">
        <v>37</v>
      </c>
      <c r="F7" t="s">
        <v>20</v>
      </c>
      <c r="G7" s="7">
        <v>43549</v>
      </c>
      <c r="H7" t="s">
        <v>21</v>
      </c>
      <c r="I7" t="s">
        <v>22</v>
      </c>
      <c r="J7" t="s">
        <v>69</v>
      </c>
      <c r="K7" t="str">
        <f>IF(HR_Data5[[#This Row],[Age]]&lt;30,"Young",IF(HR_Data5[[#This Row],[Age]]&lt;=45,"Mid-Career","Senior"))</f>
        <v>Mid-Career</v>
      </c>
      <c r="L7" s="10">
        <f ca="1">DATEDIF(HR_Data5[[#This Row],[Joining Date]],TODAY(),"Y")</f>
        <v>6</v>
      </c>
      <c r="M7" s="10" t="str">
        <f>IF(HR_Data5[[#This Row],[Salary]]&lt;55000,"Low",IF(HR_Data5[[#This Row],[Salary]]&lt;=65000,"Medium","High"))</f>
        <v>Medium</v>
      </c>
      <c r="N7" s="10">
        <f>YEAR(HR_Data5[[#This Row],[Joining Date]])</f>
        <v>2019</v>
      </c>
      <c r="O7" s="10" cm="1">
        <f t="array" ref="O7">_xlfn.SWITCH(HR_Data5[[#This Row],[Performance Score]],
"A",5,
"B",4,
"C",3,
"D",2,
"F",1)</f>
        <v>1</v>
      </c>
      <c r="P7" s="10"/>
    </row>
    <row r="8" spans="1:16" x14ac:dyDescent="0.3">
      <c r="A8" t="s">
        <v>56</v>
      </c>
      <c r="B8">
        <v>36</v>
      </c>
      <c r="C8" s="6">
        <v>50000</v>
      </c>
      <c r="D8" t="s">
        <v>11</v>
      </c>
      <c r="E8" t="s">
        <v>37</v>
      </c>
      <c r="F8" t="s">
        <v>39</v>
      </c>
      <c r="G8" s="7">
        <v>43800</v>
      </c>
      <c r="H8" t="s">
        <v>41</v>
      </c>
      <c r="I8" t="s">
        <v>69</v>
      </c>
      <c r="J8" t="s">
        <v>23</v>
      </c>
      <c r="K8" t="str">
        <f>IF(HR_Data5[[#This Row],[Age]]&lt;30,"Young",IF(HR_Data5[[#This Row],[Age]]&lt;=45,"Mid-Career","Senior"))</f>
        <v>Mid-Career</v>
      </c>
      <c r="L8" s="10">
        <f ca="1">DATEDIF(HR_Data5[[#This Row],[Joining Date]],TODAY(),"Y")</f>
        <v>6</v>
      </c>
      <c r="M8" s="10" t="str">
        <f>IF(HR_Data5[[#This Row],[Salary]]&lt;55000,"Low",IF(HR_Data5[[#This Row],[Salary]]&lt;=65000,"Medium","High"))</f>
        <v>Low</v>
      </c>
      <c r="N8" s="10">
        <f>YEAR(HR_Data5[[#This Row],[Joining Date]])</f>
        <v>2019</v>
      </c>
      <c r="O8" s="10" cm="1">
        <f t="array" ref="O8">_xlfn.SWITCH(HR_Data5[[#This Row],[Performance Score]],
"A",5,
"B",4,
"C",3,
"D",2,
"F",1)</f>
        <v>4</v>
      </c>
      <c r="P8" s="10"/>
    </row>
    <row r="9" spans="1:16" x14ac:dyDescent="0.3">
      <c r="A9" t="s">
        <v>51</v>
      </c>
      <c r="B9">
        <v>40</v>
      </c>
      <c r="C9" s="6">
        <v>50000</v>
      </c>
      <c r="D9" t="s">
        <v>36</v>
      </c>
      <c r="E9" t="s">
        <v>12</v>
      </c>
      <c r="F9" t="s">
        <v>20</v>
      </c>
      <c r="G9" s="7">
        <v>43549</v>
      </c>
      <c r="H9" t="s">
        <v>27</v>
      </c>
      <c r="I9" t="s">
        <v>69</v>
      </c>
      <c r="J9" t="s">
        <v>69</v>
      </c>
      <c r="K9" t="str">
        <f>IF(HR_Data5[[#This Row],[Age]]&lt;30,"Young",IF(HR_Data5[[#This Row],[Age]]&lt;=45,"Mid-Career","Senior"))</f>
        <v>Mid-Career</v>
      </c>
      <c r="L9" s="10">
        <f ca="1">DATEDIF(HR_Data5[[#This Row],[Joining Date]],TODAY(),"Y")</f>
        <v>6</v>
      </c>
      <c r="M9" s="10" t="str">
        <f>IF(HR_Data5[[#This Row],[Salary]]&lt;55000,"Low",IF(HR_Data5[[#This Row],[Salary]]&lt;=65000,"Medium","High"))</f>
        <v>Low</v>
      </c>
      <c r="N9" s="10">
        <f>YEAR(HR_Data5[[#This Row],[Joining Date]])</f>
        <v>2019</v>
      </c>
      <c r="O9" s="10" cm="1">
        <f t="array" ref="O9">_xlfn.SWITCH(HR_Data5[[#This Row],[Performance Score]],
"A",5,
"B",4,
"C",3,
"D",2,
"F",1)</f>
        <v>3</v>
      </c>
      <c r="P9" s="10"/>
    </row>
    <row r="10" spans="1:16" x14ac:dyDescent="0.3">
      <c r="A10" t="s">
        <v>53</v>
      </c>
      <c r="B10">
        <v>40</v>
      </c>
      <c r="C10" s="6">
        <v>60000</v>
      </c>
      <c r="D10" t="s">
        <v>18</v>
      </c>
      <c r="E10" t="s">
        <v>12</v>
      </c>
      <c r="F10" t="s">
        <v>13</v>
      </c>
      <c r="G10" s="7">
        <v>43845</v>
      </c>
      <c r="H10" t="s">
        <v>27</v>
      </c>
      <c r="I10" t="s">
        <v>22</v>
      </c>
      <c r="J10" t="s">
        <v>23</v>
      </c>
      <c r="K10" t="str">
        <f>IF(HR_Data5[[#This Row],[Age]]&lt;30,"Young",IF(HR_Data5[[#This Row],[Age]]&lt;=45,"Mid-Career","Senior"))</f>
        <v>Mid-Career</v>
      </c>
      <c r="L10" s="10">
        <f ca="1">DATEDIF(HR_Data5[[#This Row],[Joining Date]],TODAY(),"Y")</f>
        <v>6</v>
      </c>
      <c r="M10" s="10" t="str">
        <f>IF(HR_Data5[[#This Row],[Salary]]&lt;55000,"Low",IF(HR_Data5[[#This Row],[Salary]]&lt;=65000,"Medium","High"))</f>
        <v>Medium</v>
      </c>
      <c r="N10" s="10">
        <f>YEAR(HR_Data5[[#This Row],[Joining Date]])</f>
        <v>2020</v>
      </c>
      <c r="O10" s="10" cm="1">
        <f t="array" ref="O10">_xlfn.SWITCH(HR_Data5[[#This Row],[Performance Score]],
"A",5,
"B",4,
"C",3,
"D",2,
"F",1)</f>
        <v>3</v>
      </c>
      <c r="P10" s="10"/>
    </row>
    <row r="11" spans="1:16" x14ac:dyDescent="0.3">
      <c r="A11" t="s">
        <v>54</v>
      </c>
      <c r="B11">
        <v>30</v>
      </c>
      <c r="C11" s="6" t="s">
        <v>68</v>
      </c>
      <c r="D11" t="s">
        <v>36</v>
      </c>
      <c r="E11" t="s">
        <v>19</v>
      </c>
      <c r="F11" t="s">
        <v>43</v>
      </c>
      <c r="G11" s="7">
        <v>43881</v>
      </c>
      <c r="H11" t="s">
        <v>31</v>
      </c>
      <c r="I11" t="s">
        <v>69</v>
      </c>
      <c r="J11" t="s">
        <v>69</v>
      </c>
      <c r="K11" t="str">
        <f>IF(HR_Data5[[#This Row],[Age]]&lt;30,"Young",IF(HR_Data5[[#This Row],[Age]]&lt;=45,"Mid-Career","Senior"))</f>
        <v>Mid-Career</v>
      </c>
      <c r="L11" s="10">
        <f ca="1">DATEDIF(HR_Data5[[#This Row],[Joining Date]],TODAY(),"Y")</f>
        <v>6</v>
      </c>
      <c r="M11" s="10" t="str">
        <f>IF(HR_Data5[[#This Row],[Salary]]&lt;55000,"Low",IF(HR_Data5[[#This Row],[Salary]]&lt;=65000,"Medium","High"))</f>
        <v>High</v>
      </c>
      <c r="N11" s="10">
        <f>YEAR(HR_Data5[[#This Row],[Joining Date]])</f>
        <v>2020</v>
      </c>
      <c r="O11" s="10" cm="1">
        <f t="array" ref="O11">_xlfn.SWITCH(HR_Data5[[#This Row],[Performance Score]],
"A",5,
"B",4,
"C",3,
"D",2,
"F",1)</f>
        <v>5</v>
      </c>
      <c r="P11" s="10"/>
    </row>
    <row r="12" spans="1:16" x14ac:dyDescent="0.3">
      <c r="A12" t="s">
        <v>52</v>
      </c>
      <c r="B12">
        <v>25</v>
      </c>
      <c r="C12" s="6">
        <v>70000</v>
      </c>
      <c r="D12" t="s">
        <v>11</v>
      </c>
      <c r="E12" t="s">
        <v>37</v>
      </c>
      <c r="F12" t="s">
        <v>44</v>
      </c>
      <c r="G12" s="7">
        <v>43800</v>
      </c>
      <c r="H12" t="s">
        <v>41</v>
      </c>
      <c r="I12" t="s">
        <v>69</v>
      </c>
      <c r="J12" t="s">
        <v>23</v>
      </c>
      <c r="K12" t="str">
        <f>IF(HR_Data5[[#This Row],[Age]]&lt;30,"Young",IF(HR_Data5[[#This Row],[Age]]&lt;=45,"Mid-Career","Senior"))</f>
        <v>Young</v>
      </c>
      <c r="L12" s="10">
        <f ca="1">DATEDIF(HR_Data5[[#This Row],[Joining Date]],TODAY(),"Y")</f>
        <v>6</v>
      </c>
      <c r="M12" s="10" t="str">
        <f>IF(HR_Data5[[#This Row],[Salary]]&lt;55000,"Low",IF(HR_Data5[[#This Row],[Salary]]&lt;=65000,"Medium","High"))</f>
        <v>High</v>
      </c>
      <c r="N12" s="10">
        <f>YEAR(HR_Data5[[#This Row],[Joining Date]])</f>
        <v>2019</v>
      </c>
      <c r="O12" s="10" cm="1">
        <f t="array" ref="O12">_xlfn.SWITCH(HR_Data5[[#This Row],[Performance Score]],
"A",5,
"B",4,
"C",3,
"D",2,
"F",1)</f>
        <v>4</v>
      </c>
      <c r="P12" s="10"/>
    </row>
    <row r="13" spans="1:16" x14ac:dyDescent="0.3">
      <c r="A13" t="s">
        <v>53</v>
      </c>
      <c r="B13">
        <v>36</v>
      </c>
      <c r="C13" s="6">
        <v>70000</v>
      </c>
      <c r="D13" t="s">
        <v>36</v>
      </c>
      <c r="E13" t="s">
        <v>19</v>
      </c>
      <c r="F13" t="s">
        <v>43</v>
      </c>
      <c r="G13" s="7">
        <v>43549</v>
      </c>
      <c r="H13" t="s">
        <v>31</v>
      </c>
      <c r="I13" t="s">
        <v>69</v>
      </c>
      <c r="J13" t="s">
        <v>69</v>
      </c>
      <c r="K13" t="str">
        <f>IF(HR_Data5[[#This Row],[Age]]&lt;30,"Young",IF(HR_Data5[[#This Row],[Age]]&lt;=45,"Mid-Career","Senior"))</f>
        <v>Mid-Career</v>
      </c>
      <c r="L13" s="10">
        <f ca="1">DATEDIF(HR_Data5[[#This Row],[Joining Date]],TODAY(),"Y")</f>
        <v>6</v>
      </c>
      <c r="M13" s="10" t="str">
        <f>IF(HR_Data5[[#This Row],[Salary]]&lt;55000,"Low",IF(HR_Data5[[#This Row],[Salary]]&lt;=65000,"Medium","High"))</f>
        <v>High</v>
      </c>
      <c r="N13" s="10">
        <f>YEAR(HR_Data5[[#This Row],[Joining Date]])</f>
        <v>2019</v>
      </c>
      <c r="O13" s="10" cm="1">
        <f t="array" ref="O13">_xlfn.SWITCH(HR_Data5[[#This Row],[Performance Score]],
"A",5,
"B",4,
"C",3,
"D",2,
"F",1)</f>
        <v>5</v>
      </c>
      <c r="P13" s="10"/>
    </row>
    <row r="14" spans="1:16" x14ac:dyDescent="0.3">
      <c r="A14" t="s">
        <v>53</v>
      </c>
      <c r="B14">
        <v>30</v>
      </c>
      <c r="C14" s="6">
        <v>50000</v>
      </c>
      <c r="D14" t="s">
        <v>11</v>
      </c>
      <c r="E14" t="s">
        <v>30</v>
      </c>
      <c r="F14" t="s">
        <v>43</v>
      </c>
      <c r="G14" s="7">
        <v>43195</v>
      </c>
      <c r="H14" t="s">
        <v>14</v>
      </c>
      <c r="I14" t="s">
        <v>69</v>
      </c>
      <c r="J14" t="s">
        <v>69</v>
      </c>
      <c r="K14" t="str">
        <f>IF(HR_Data5[[#This Row],[Age]]&lt;30,"Young",IF(HR_Data5[[#This Row],[Age]]&lt;=45,"Mid-Career","Senior"))</f>
        <v>Mid-Career</v>
      </c>
      <c r="L14" s="10">
        <f ca="1">DATEDIF(HR_Data5[[#This Row],[Joining Date]],TODAY(),"Y")</f>
        <v>7</v>
      </c>
      <c r="M14" s="10" t="str">
        <f>IF(HR_Data5[[#This Row],[Salary]]&lt;55000,"Low",IF(HR_Data5[[#This Row],[Salary]]&lt;=65000,"Medium","High"))</f>
        <v>Low</v>
      </c>
      <c r="N14" s="10">
        <f>YEAR(HR_Data5[[#This Row],[Joining Date]])</f>
        <v>2018</v>
      </c>
      <c r="O14" s="10" cm="1">
        <f t="array" ref="O14">_xlfn.SWITCH(HR_Data5[[#This Row],[Performance Score]],
"A",5,
"B",4,
"C",3,
"D",2,
"F",1)</f>
        <v>2</v>
      </c>
      <c r="P14" s="10"/>
    </row>
    <row r="15" spans="1:16" x14ac:dyDescent="0.3">
      <c r="A15" t="s">
        <v>56</v>
      </c>
      <c r="B15">
        <v>25</v>
      </c>
      <c r="C15" s="6">
        <v>55000</v>
      </c>
      <c r="D15" t="s">
        <v>36</v>
      </c>
      <c r="E15" t="s">
        <v>12</v>
      </c>
      <c r="F15" t="s">
        <v>13</v>
      </c>
      <c r="G15" s="7">
        <v>43881</v>
      </c>
      <c r="H15" t="s">
        <v>21</v>
      </c>
      <c r="I15" t="s">
        <v>69</v>
      </c>
      <c r="J15" t="s">
        <v>45</v>
      </c>
      <c r="K15" t="str">
        <f>IF(HR_Data5[[#This Row],[Age]]&lt;30,"Young",IF(HR_Data5[[#This Row],[Age]]&lt;=45,"Mid-Career","Senior"))</f>
        <v>Young</v>
      </c>
      <c r="L15" s="10">
        <f ca="1">DATEDIF(HR_Data5[[#This Row],[Joining Date]],TODAY(),"Y")</f>
        <v>6</v>
      </c>
      <c r="M15" s="10" t="str">
        <f>IF(HR_Data5[[#This Row],[Salary]]&lt;55000,"Low",IF(HR_Data5[[#This Row],[Salary]]&lt;=65000,"Medium","High"))</f>
        <v>Medium</v>
      </c>
      <c r="N15" s="10">
        <f>YEAR(HR_Data5[[#This Row],[Joining Date]])</f>
        <v>2020</v>
      </c>
      <c r="O15" s="10" cm="1">
        <f t="array" ref="O15">_xlfn.SWITCH(HR_Data5[[#This Row],[Performance Score]],
"A",5,
"B",4,
"C",3,
"D",2,
"F",1)</f>
        <v>1</v>
      </c>
      <c r="P15" s="10"/>
    </row>
    <row r="16" spans="1:16" x14ac:dyDescent="0.3">
      <c r="A16" t="s">
        <v>57</v>
      </c>
      <c r="B16">
        <v>50</v>
      </c>
      <c r="C16" s="6" t="s">
        <v>68</v>
      </c>
      <c r="D16" t="s">
        <v>11</v>
      </c>
      <c r="E16" t="s">
        <v>37</v>
      </c>
      <c r="F16" t="s">
        <v>20</v>
      </c>
      <c r="G16" s="7">
        <v>43549</v>
      </c>
      <c r="H16" t="s">
        <v>31</v>
      </c>
      <c r="I16" t="s">
        <v>69</v>
      </c>
      <c r="J16" t="s">
        <v>23</v>
      </c>
      <c r="K16" t="str">
        <f>IF(HR_Data5[[#This Row],[Age]]&lt;30,"Young",IF(HR_Data5[[#This Row],[Age]]&lt;=45,"Mid-Career","Senior"))</f>
        <v>Senior</v>
      </c>
      <c r="L16" s="10">
        <f ca="1">DATEDIF(HR_Data5[[#This Row],[Joining Date]],TODAY(),"Y")</f>
        <v>6</v>
      </c>
      <c r="M16" s="10" t="str">
        <f>IF(HR_Data5[[#This Row],[Salary]]&lt;55000,"Low",IF(HR_Data5[[#This Row],[Salary]]&lt;=65000,"Medium","High"))</f>
        <v>High</v>
      </c>
      <c r="N16" s="10">
        <f>YEAR(HR_Data5[[#This Row],[Joining Date]])</f>
        <v>2019</v>
      </c>
      <c r="O16" s="10" cm="1">
        <f t="array" ref="O16">_xlfn.SWITCH(HR_Data5[[#This Row],[Performance Score]],
"A",5,
"B",4,
"C",3,
"D",2,
"F",1)</f>
        <v>5</v>
      </c>
      <c r="P16" s="10"/>
    </row>
    <row r="17" spans="1:31" x14ac:dyDescent="0.3">
      <c r="A17" t="s">
        <v>54</v>
      </c>
      <c r="B17">
        <v>35</v>
      </c>
      <c r="C17" s="6">
        <v>65000</v>
      </c>
      <c r="D17" t="s">
        <v>11</v>
      </c>
      <c r="E17" t="s">
        <v>19</v>
      </c>
      <c r="F17" t="s">
        <v>39</v>
      </c>
      <c r="G17" s="7">
        <v>43195</v>
      </c>
      <c r="H17" t="s">
        <v>21</v>
      </c>
      <c r="I17" t="s">
        <v>69</v>
      </c>
      <c r="J17" t="s">
        <v>23</v>
      </c>
      <c r="K17" t="str">
        <f>IF(HR_Data5[[#This Row],[Age]]&lt;30,"Young",IF(HR_Data5[[#This Row],[Age]]&lt;=45,"Mid-Career","Senior"))</f>
        <v>Mid-Career</v>
      </c>
      <c r="L17" s="10">
        <f ca="1">DATEDIF(HR_Data5[[#This Row],[Joining Date]],TODAY(),"Y")</f>
        <v>7</v>
      </c>
      <c r="M17" s="10" t="str">
        <f>IF(HR_Data5[[#This Row],[Salary]]&lt;55000,"Low",IF(HR_Data5[[#This Row],[Salary]]&lt;=65000,"Medium","High"))</f>
        <v>Medium</v>
      </c>
      <c r="N17" s="10">
        <f>YEAR(HR_Data5[[#This Row],[Joining Date]])</f>
        <v>2018</v>
      </c>
      <c r="O17" s="10" cm="1">
        <f t="array" ref="O17">_xlfn.SWITCH(HR_Data5[[#This Row],[Performance Score]],
"A",5,
"B",4,
"C",3,
"D",2,
"F",1)</f>
        <v>1</v>
      </c>
      <c r="P17" s="10"/>
    </row>
    <row r="18" spans="1:31" x14ac:dyDescent="0.3">
      <c r="A18" t="s">
        <v>58</v>
      </c>
      <c r="B18">
        <v>40</v>
      </c>
      <c r="C18" s="6">
        <v>55000</v>
      </c>
      <c r="D18" t="s">
        <v>18</v>
      </c>
      <c r="E18" t="s">
        <v>26</v>
      </c>
      <c r="F18" t="s">
        <v>43</v>
      </c>
      <c r="G18" s="7">
        <v>43845</v>
      </c>
      <c r="H18" t="s">
        <v>41</v>
      </c>
      <c r="I18" t="s">
        <v>69</v>
      </c>
      <c r="J18" t="s">
        <v>28</v>
      </c>
      <c r="K18" t="str">
        <f>IF(HR_Data5[[#This Row],[Age]]&lt;30,"Young",IF(HR_Data5[[#This Row],[Age]]&lt;=45,"Mid-Career","Senior"))</f>
        <v>Mid-Career</v>
      </c>
      <c r="L18" s="10">
        <f ca="1">DATEDIF(HR_Data5[[#This Row],[Joining Date]],TODAY(),"Y")</f>
        <v>6</v>
      </c>
      <c r="M18" s="10" t="str">
        <f>IF(HR_Data5[[#This Row],[Salary]]&lt;55000,"Low",IF(HR_Data5[[#This Row],[Salary]]&lt;=65000,"Medium","High"))</f>
        <v>Medium</v>
      </c>
      <c r="N18" s="10">
        <f>YEAR(HR_Data5[[#This Row],[Joining Date]])</f>
        <v>2020</v>
      </c>
      <c r="O18" s="10" cm="1">
        <f t="array" ref="O18">_xlfn.SWITCH(HR_Data5[[#This Row],[Performance Score]],
"A",5,
"B",4,
"C",3,
"D",2,
"F",1)</f>
        <v>4</v>
      </c>
      <c r="P18" s="10"/>
    </row>
    <row r="19" spans="1:31" x14ac:dyDescent="0.3">
      <c r="A19" t="s">
        <v>53</v>
      </c>
      <c r="B19">
        <v>50</v>
      </c>
      <c r="C19" s="6">
        <v>55000</v>
      </c>
      <c r="D19" t="s">
        <v>11</v>
      </c>
      <c r="E19" t="s">
        <v>12</v>
      </c>
      <c r="F19" t="s">
        <v>20</v>
      </c>
      <c r="G19" s="7">
        <v>43195</v>
      </c>
      <c r="H19" t="s">
        <v>14</v>
      </c>
      <c r="I19" t="s">
        <v>22</v>
      </c>
      <c r="J19" t="s">
        <v>69</v>
      </c>
      <c r="K19" t="str">
        <f>IF(HR_Data5[[#This Row],[Age]]&lt;30,"Young",IF(HR_Data5[[#This Row],[Age]]&lt;=45,"Mid-Career","Senior"))</f>
        <v>Senior</v>
      </c>
      <c r="L19" s="10">
        <f ca="1">DATEDIF(HR_Data5[[#This Row],[Joining Date]],TODAY(),"Y")</f>
        <v>7</v>
      </c>
      <c r="M19" s="10" t="str">
        <f>IF(HR_Data5[[#This Row],[Salary]]&lt;55000,"Low",IF(HR_Data5[[#This Row],[Salary]]&lt;=65000,"Medium","High"))</f>
        <v>Medium</v>
      </c>
      <c r="N19" s="10">
        <f>YEAR(HR_Data5[[#This Row],[Joining Date]])</f>
        <v>2018</v>
      </c>
      <c r="O19" s="10" cm="1">
        <f t="array" ref="O19">_xlfn.SWITCH(HR_Data5[[#This Row],[Performance Score]],
"A",5,
"B",4,
"C",3,
"D",2,
"F",1)</f>
        <v>2</v>
      </c>
      <c r="P19" s="10"/>
    </row>
    <row r="20" spans="1:31" x14ac:dyDescent="0.3">
      <c r="A20" t="s">
        <v>57</v>
      </c>
      <c r="B20">
        <v>25</v>
      </c>
      <c r="C20" s="6" t="s">
        <v>68</v>
      </c>
      <c r="D20" t="s">
        <v>18</v>
      </c>
      <c r="E20" t="s">
        <v>30</v>
      </c>
      <c r="F20" t="s">
        <v>39</v>
      </c>
      <c r="G20" s="7">
        <v>43549</v>
      </c>
      <c r="H20" t="s">
        <v>41</v>
      </c>
      <c r="I20" t="s">
        <v>15</v>
      </c>
      <c r="J20" t="s">
        <v>45</v>
      </c>
      <c r="K20" t="str">
        <f>IF(HR_Data5[[#This Row],[Age]]&lt;30,"Young",IF(HR_Data5[[#This Row],[Age]]&lt;=45,"Mid-Career","Senior"))</f>
        <v>Young</v>
      </c>
      <c r="L20" s="10">
        <f ca="1">DATEDIF(HR_Data5[[#This Row],[Joining Date]],TODAY(),"Y")</f>
        <v>6</v>
      </c>
      <c r="M20" s="10" t="str">
        <f>IF(HR_Data5[[#This Row],[Salary]]&lt;55000,"Low",IF(HR_Data5[[#This Row],[Salary]]&lt;=65000,"Medium","High"))</f>
        <v>High</v>
      </c>
      <c r="N20" s="10">
        <f>YEAR(HR_Data5[[#This Row],[Joining Date]])</f>
        <v>2019</v>
      </c>
      <c r="O20" s="10" cm="1">
        <f t="array" ref="O20">_xlfn.SWITCH(HR_Data5[[#This Row],[Performance Score]],
"A",5,
"B",4,
"C",3,
"D",2,
"F",1)</f>
        <v>4</v>
      </c>
      <c r="P20" s="10"/>
    </row>
    <row r="21" spans="1:31" x14ac:dyDescent="0.3">
      <c r="A21" t="s">
        <v>58</v>
      </c>
      <c r="B21">
        <v>50</v>
      </c>
      <c r="C21" s="6">
        <v>50000</v>
      </c>
      <c r="D21" t="s">
        <v>18</v>
      </c>
      <c r="E21" t="s">
        <v>19</v>
      </c>
      <c r="F21" t="s">
        <v>43</v>
      </c>
      <c r="G21" s="7">
        <v>43549</v>
      </c>
      <c r="H21" t="s">
        <v>14</v>
      </c>
      <c r="I21" t="s">
        <v>22</v>
      </c>
      <c r="J21" t="s">
        <v>69</v>
      </c>
      <c r="K21" t="str">
        <f>IF(HR_Data5[[#This Row],[Age]]&lt;30,"Young",IF(HR_Data5[[#This Row],[Age]]&lt;=45,"Mid-Career","Senior"))</f>
        <v>Senior</v>
      </c>
      <c r="L21" s="10">
        <f ca="1">DATEDIF(HR_Data5[[#This Row],[Joining Date]],TODAY(),"Y")</f>
        <v>6</v>
      </c>
      <c r="M21" s="10" t="str">
        <f>IF(HR_Data5[[#This Row],[Salary]]&lt;55000,"Low",IF(HR_Data5[[#This Row],[Salary]]&lt;=65000,"Medium","High"))</f>
        <v>Low</v>
      </c>
      <c r="N21" s="10">
        <f>YEAR(HR_Data5[[#This Row],[Joining Date]])</f>
        <v>2019</v>
      </c>
      <c r="O21" s="10" cm="1">
        <f t="array" ref="O21">_xlfn.SWITCH(HR_Data5[[#This Row],[Performance Score]],
"A",5,
"B",4,
"C",3,
"D",2,
"F",1)</f>
        <v>2</v>
      </c>
      <c r="P21" s="10"/>
    </row>
    <row r="22" spans="1:31" x14ac:dyDescent="0.3">
      <c r="A22" t="s">
        <v>54</v>
      </c>
      <c r="B22">
        <v>35</v>
      </c>
      <c r="C22" s="6">
        <v>50000</v>
      </c>
      <c r="D22" t="s">
        <v>18</v>
      </c>
      <c r="E22" t="s">
        <v>30</v>
      </c>
      <c r="F22" t="s">
        <v>39</v>
      </c>
      <c r="G22" s="7">
        <v>43845</v>
      </c>
      <c r="H22" t="s">
        <v>14</v>
      </c>
      <c r="I22" t="s">
        <v>15</v>
      </c>
      <c r="J22" t="s">
        <v>28</v>
      </c>
      <c r="K22" t="str">
        <f>IF(HR_Data5[[#This Row],[Age]]&lt;30,"Young",IF(HR_Data5[[#This Row],[Age]]&lt;=45,"Mid-Career","Senior"))</f>
        <v>Mid-Career</v>
      </c>
      <c r="L22" s="10">
        <f ca="1">DATEDIF(HR_Data5[[#This Row],[Joining Date]],TODAY(),"Y")</f>
        <v>6</v>
      </c>
      <c r="M22" s="10" t="str">
        <f>IF(HR_Data5[[#This Row],[Salary]]&lt;55000,"Low",IF(HR_Data5[[#This Row],[Salary]]&lt;=65000,"Medium","High"))</f>
        <v>Low</v>
      </c>
      <c r="N22" s="10">
        <f>YEAR(HR_Data5[[#This Row],[Joining Date]])</f>
        <v>2020</v>
      </c>
      <c r="O22" s="10" cm="1">
        <f t="array" ref="O22">_xlfn.SWITCH(HR_Data5[[#This Row],[Performance Score]],
"A",5,
"B",4,
"C",3,
"D",2,
"F",1)</f>
        <v>2</v>
      </c>
      <c r="P22" s="10"/>
    </row>
    <row r="23" spans="1:31" x14ac:dyDescent="0.3">
      <c r="A23" t="s">
        <v>59</v>
      </c>
      <c r="B23">
        <v>25</v>
      </c>
      <c r="C23" s="6">
        <v>50000</v>
      </c>
      <c r="D23" t="s">
        <v>36</v>
      </c>
      <c r="E23" t="s">
        <v>30</v>
      </c>
      <c r="F23" t="s">
        <v>20</v>
      </c>
      <c r="G23" s="7">
        <v>43195</v>
      </c>
      <c r="H23" t="s">
        <v>21</v>
      </c>
      <c r="I23" t="s">
        <v>22</v>
      </c>
      <c r="J23" t="s">
        <v>45</v>
      </c>
      <c r="K23" t="str">
        <f>IF(HR_Data5[[#This Row],[Age]]&lt;30,"Young",IF(HR_Data5[[#This Row],[Age]]&lt;=45,"Mid-Career","Senior"))</f>
        <v>Young</v>
      </c>
      <c r="L23" s="10">
        <f ca="1">DATEDIF(HR_Data5[[#This Row],[Joining Date]],TODAY(),"Y")</f>
        <v>7</v>
      </c>
      <c r="M23" s="10" t="str">
        <f>IF(HR_Data5[[#This Row],[Salary]]&lt;55000,"Low",IF(HR_Data5[[#This Row],[Salary]]&lt;=65000,"Medium","High"))</f>
        <v>Low</v>
      </c>
      <c r="N23" s="10">
        <f>YEAR(HR_Data5[[#This Row],[Joining Date]])</f>
        <v>2018</v>
      </c>
      <c r="O23" s="10" cm="1">
        <f t="array" ref="O23">_xlfn.SWITCH(HR_Data5[[#This Row],[Performance Score]],
"A",5,
"B",4,
"C",3,
"D",2,
"F",1)</f>
        <v>1</v>
      </c>
      <c r="P23" s="10"/>
    </row>
    <row r="24" spans="1:31" x14ac:dyDescent="0.3">
      <c r="A24" t="s">
        <v>55</v>
      </c>
      <c r="B24">
        <v>50</v>
      </c>
      <c r="C24" s="6">
        <v>50000</v>
      </c>
      <c r="D24" t="s">
        <v>36</v>
      </c>
      <c r="E24" t="s">
        <v>37</v>
      </c>
      <c r="F24" t="s">
        <v>44</v>
      </c>
      <c r="G24" s="7">
        <v>43195</v>
      </c>
      <c r="H24" t="s">
        <v>41</v>
      </c>
      <c r="I24" t="s">
        <v>15</v>
      </c>
      <c r="J24" t="s">
        <v>69</v>
      </c>
      <c r="K24" t="str">
        <f>IF(HR_Data5[[#This Row],[Age]]&lt;30,"Young",IF(HR_Data5[[#This Row],[Age]]&lt;=45,"Mid-Career","Senior"))</f>
        <v>Senior</v>
      </c>
      <c r="L24" s="10">
        <f ca="1">DATEDIF(HR_Data5[[#This Row],[Joining Date]],TODAY(),"Y")</f>
        <v>7</v>
      </c>
      <c r="M24" s="10" t="str">
        <f>IF(HR_Data5[[#This Row],[Salary]]&lt;55000,"Low",IF(HR_Data5[[#This Row],[Salary]]&lt;=65000,"Medium","High"))</f>
        <v>Low</v>
      </c>
      <c r="N24" s="10">
        <f>YEAR(HR_Data5[[#This Row],[Joining Date]])</f>
        <v>2018</v>
      </c>
      <c r="O24" s="10" cm="1">
        <f t="array" ref="O24">_xlfn.SWITCH(HR_Data5[[#This Row],[Performance Score]],
"A",5,
"B",4,
"C",3,
"D",2,
"F",1)</f>
        <v>4</v>
      </c>
      <c r="P24" s="10"/>
    </row>
    <row r="25" spans="1:31" x14ac:dyDescent="0.3">
      <c r="A25" t="s">
        <v>57</v>
      </c>
      <c r="B25">
        <v>40</v>
      </c>
      <c r="C25" s="6">
        <v>70000</v>
      </c>
      <c r="D25" t="s">
        <v>36</v>
      </c>
      <c r="E25" t="s">
        <v>37</v>
      </c>
      <c r="F25" t="s">
        <v>20</v>
      </c>
      <c r="G25" s="7">
        <v>43845</v>
      </c>
      <c r="H25" t="s">
        <v>41</v>
      </c>
      <c r="I25" t="s">
        <v>15</v>
      </c>
      <c r="J25" t="s">
        <v>45</v>
      </c>
      <c r="K25" t="str">
        <f>IF(HR_Data5[[#This Row],[Age]]&lt;30,"Young",IF(HR_Data5[[#This Row],[Age]]&lt;=45,"Mid-Career","Senior"))</f>
        <v>Mid-Career</v>
      </c>
      <c r="L25" s="10">
        <f ca="1">DATEDIF(HR_Data5[[#This Row],[Joining Date]],TODAY(),"Y")</f>
        <v>6</v>
      </c>
      <c r="M25" s="10" t="str">
        <f>IF(HR_Data5[[#This Row],[Salary]]&lt;55000,"Low",IF(HR_Data5[[#This Row],[Salary]]&lt;=65000,"Medium","High"))</f>
        <v>High</v>
      </c>
      <c r="N25" s="10">
        <f>YEAR(HR_Data5[[#This Row],[Joining Date]])</f>
        <v>2020</v>
      </c>
      <c r="O25" s="10" cm="1">
        <f t="array" ref="O25">_xlfn.SWITCH(HR_Data5[[#This Row],[Performance Score]],
"A",5,
"B",4,
"C",3,
"D",2,
"F",1)</f>
        <v>4</v>
      </c>
      <c r="P25" s="10"/>
    </row>
    <row r="26" spans="1:31" x14ac:dyDescent="0.3">
      <c r="A26" t="s">
        <v>60</v>
      </c>
      <c r="B26">
        <v>40</v>
      </c>
      <c r="C26" s="6">
        <v>50000</v>
      </c>
      <c r="D26" t="s">
        <v>36</v>
      </c>
      <c r="E26" t="s">
        <v>19</v>
      </c>
      <c r="F26" t="s">
        <v>13</v>
      </c>
      <c r="G26" s="7">
        <v>43195</v>
      </c>
      <c r="H26" t="s">
        <v>31</v>
      </c>
      <c r="I26" t="s">
        <v>32</v>
      </c>
      <c r="J26" t="s">
        <v>23</v>
      </c>
      <c r="K26" t="str">
        <f>IF(HR_Data5[[#This Row],[Age]]&lt;30,"Young",IF(HR_Data5[[#This Row],[Age]]&lt;=45,"Mid-Career","Senior"))</f>
        <v>Mid-Career</v>
      </c>
      <c r="L26" s="10">
        <f ca="1">DATEDIF(HR_Data5[[#This Row],[Joining Date]],TODAY(),"Y")</f>
        <v>7</v>
      </c>
      <c r="M26" s="10" t="str">
        <f>IF(HR_Data5[[#This Row],[Salary]]&lt;55000,"Low",IF(HR_Data5[[#This Row],[Salary]]&lt;=65000,"Medium","High"))</f>
        <v>Low</v>
      </c>
      <c r="N26" s="10">
        <f>YEAR(HR_Data5[[#This Row],[Joining Date]])</f>
        <v>2018</v>
      </c>
      <c r="O26" s="10" cm="1">
        <f t="array" ref="O26">_xlfn.SWITCH(HR_Data5[[#This Row],[Performance Score]],
"A",5,
"B",4,
"C",3,
"D",2,
"F",1)</f>
        <v>5</v>
      </c>
      <c r="P26" s="10"/>
    </row>
    <row r="27" spans="1:31" x14ac:dyDescent="0.3">
      <c r="A27" t="s">
        <v>59</v>
      </c>
      <c r="B27">
        <v>30</v>
      </c>
      <c r="C27" s="6">
        <v>70000</v>
      </c>
      <c r="D27" t="s">
        <v>11</v>
      </c>
      <c r="E27" t="s">
        <v>26</v>
      </c>
      <c r="F27" t="s">
        <v>39</v>
      </c>
      <c r="G27" s="7">
        <v>43845</v>
      </c>
      <c r="H27" t="s">
        <v>41</v>
      </c>
      <c r="I27" t="s">
        <v>15</v>
      </c>
      <c r="J27" t="s">
        <v>23</v>
      </c>
      <c r="K27" t="str">
        <f>IF(HR_Data5[[#This Row],[Age]]&lt;30,"Young",IF(HR_Data5[[#This Row],[Age]]&lt;=45,"Mid-Career","Senior"))</f>
        <v>Mid-Career</v>
      </c>
      <c r="L27" s="10">
        <f ca="1">DATEDIF(HR_Data5[[#This Row],[Joining Date]],TODAY(),"Y")</f>
        <v>6</v>
      </c>
      <c r="M27" s="10" t="str">
        <f>IF(HR_Data5[[#This Row],[Salary]]&lt;55000,"Low",IF(HR_Data5[[#This Row],[Salary]]&lt;=65000,"Medium","High"))</f>
        <v>High</v>
      </c>
      <c r="N27" s="10">
        <f>YEAR(HR_Data5[[#This Row],[Joining Date]])</f>
        <v>2020</v>
      </c>
      <c r="O27" s="10" cm="1">
        <f t="array" ref="O27">_xlfn.SWITCH(HR_Data5[[#This Row],[Performance Score]],
"A",5,
"B",4,
"C",3,
"D",2,
"F",1)</f>
        <v>4</v>
      </c>
      <c r="P27" s="10"/>
    </row>
    <row r="28" spans="1:31" x14ac:dyDescent="0.3">
      <c r="A28" t="s">
        <v>55</v>
      </c>
      <c r="B28">
        <v>50</v>
      </c>
      <c r="C28" s="6">
        <v>70000</v>
      </c>
      <c r="D28" t="s">
        <v>11</v>
      </c>
      <c r="E28" t="s">
        <v>19</v>
      </c>
      <c r="F28" t="s">
        <v>44</v>
      </c>
      <c r="G28" s="7">
        <v>43881</v>
      </c>
      <c r="H28" t="s">
        <v>31</v>
      </c>
      <c r="I28" t="s">
        <v>15</v>
      </c>
      <c r="J28" t="s">
        <v>28</v>
      </c>
      <c r="K28" t="str">
        <f>IF(HR_Data5[[#This Row],[Age]]&lt;30,"Young",IF(HR_Data5[[#This Row],[Age]]&lt;=45,"Mid-Career","Senior"))</f>
        <v>Senior</v>
      </c>
      <c r="L28" s="10">
        <f ca="1">DATEDIF(HR_Data5[[#This Row],[Joining Date]],TODAY(),"Y")</f>
        <v>6</v>
      </c>
      <c r="M28" s="10" t="str">
        <f>IF(HR_Data5[[#This Row],[Salary]]&lt;55000,"Low",IF(HR_Data5[[#This Row],[Salary]]&lt;=65000,"Medium","High"))</f>
        <v>High</v>
      </c>
      <c r="N28" s="10">
        <f>YEAR(HR_Data5[[#This Row],[Joining Date]])</f>
        <v>2020</v>
      </c>
      <c r="O28" s="10" cm="1">
        <f t="array" ref="O28">_xlfn.SWITCH(HR_Data5[[#This Row],[Performance Score]],
"A",5,
"B",4,
"C",3,
"D",2,
"F",1)</f>
        <v>5</v>
      </c>
      <c r="P28" s="10"/>
    </row>
    <row r="29" spans="1:31" x14ac:dyDescent="0.3">
      <c r="A29" t="s">
        <v>56</v>
      </c>
      <c r="B29">
        <v>36</v>
      </c>
      <c r="C29" s="6">
        <v>50000</v>
      </c>
      <c r="D29" t="s">
        <v>36</v>
      </c>
      <c r="E29" t="s">
        <v>26</v>
      </c>
      <c r="F29" t="s">
        <v>39</v>
      </c>
      <c r="G29" s="7">
        <v>43549</v>
      </c>
      <c r="H29" t="s">
        <v>27</v>
      </c>
      <c r="I29" t="s">
        <v>32</v>
      </c>
      <c r="J29" t="s">
        <v>69</v>
      </c>
      <c r="K29" t="str">
        <f>IF(HR_Data5[[#This Row],[Age]]&lt;30,"Young",IF(HR_Data5[[#This Row],[Age]]&lt;=45,"Mid-Career","Senior"))</f>
        <v>Mid-Career</v>
      </c>
      <c r="L29" s="10">
        <f ca="1">DATEDIF(HR_Data5[[#This Row],[Joining Date]],TODAY(),"Y")</f>
        <v>6</v>
      </c>
      <c r="M29" s="10" t="str">
        <f>IF(HR_Data5[[#This Row],[Salary]]&lt;55000,"Low",IF(HR_Data5[[#This Row],[Salary]]&lt;=65000,"Medium","High"))</f>
        <v>Low</v>
      </c>
      <c r="N29" s="10">
        <f>YEAR(HR_Data5[[#This Row],[Joining Date]])</f>
        <v>2019</v>
      </c>
      <c r="O29" s="10" cm="1">
        <f t="array" ref="O29">_xlfn.SWITCH(HR_Data5[[#This Row],[Performance Score]],
"A",5,
"B",4,
"C",3,
"D",2,
"F",1)</f>
        <v>3</v>
      </c>
      <c r="P29" s="10"/>
    </row>
    <row r="30" spans="1:31" x14ac:dyDescent="0.3">
      <c r="A30" t="s">
        <v>51</v>
      </c>
      <c r="B30">
        <v>50</v>
      </c>
      <c r="C30" s="6">
        <v>60000</v>
      </c>
      <c r="D30" t="s">
        <v>11</v>
      </c>
      <c r="E30" t="s">
        <v>30</v>
      </c>
      <c r="F30" t="s">
        <v>39</v>
      </c>
      <c r="G30" s="7">
        <v>43881</v>
      </c>
      <c r="H30" t="s">
        <v>27</v>
      </c>
      <c r="I30" t="s">
        <v>69</v>
      </c>
      <c r="J30" t="s">
        <v>69</v>
      </c>
      <c r="K30" t="str">
        <f>IF(HR_Data5[[#This Row],[Age]]&lt;30,"Young",IF(HR_Data5[[#This Row],[Age]]&lt;=45,"Mid-Career","Senior"))</f>
        <v>Senior</v>
      </c>
      <c r="L30" s="10">
        <f ca="1">DATEDIF(HR_Data5[[#This Row],[Joining Date]],TODAY(),"Y")</f>
        <v>6</v>
      </c>
      <c r="M30" s="10" t="str">
        <f>IF(HR_Data5[[#This Row],[Salary]]&lt;55000,"Low",IF(HR_Data5[[#This Row],[Salary]]&lt;=65000,"Medium","High"))</f>
        <v>Medium</v>
      </c>
      <c r="N30" s="10">
        <f>YEAR(HR_Data5[[#This Row],[Joining Date]])</f>
        <v>2020</v>
      </c>
      <c r="O30" s="10" cm="1">
        <f t="array" ref="O30">_xlfn.SWITCH(HR_Data5[[#This Row],[Performance Score]],
"A",5,
"B",4,
"C",3,
"D",2,
"F",1)</f>
        <v>3</v>
      </c>
      <c r="P30" s="10"/>
    </row>
    <row r="31" spans="1:31" x14ac:dyDescent="0.3">
      <c r="A31" t="s">
        <v>52</v>
      </c>
      <c r="B31">
        <v>25</v>
      </c>
      <c r="C31" s="6">
        <v>65000</v>
      </c>
      <c r="D31" t="s">
        <v>11</v>
      </c>
      <c r="E31" t="s">
        <v>12</v>
      </c>
      <c r="F31" t="s">
        <v>43</v>
      </c>
      <c r="G31" s="7">
        <v>43800</v>
      </c>
      <c r="H31" t="s">
        <v>27</v>
      </c>
      <c r="I31" t="s">
        <v>69</v>
      </c>
      <c r="J31" t="s">
        <v>45</v>
      </c>
      <c r="K31" t="str">
        <f>IF(HR_Data5[[#This Row],[Age]]&lt;30,"Young",IF(HR_Data5[[#This Row],[Age]]&lt;=45,"Mid-Career","Senior"))</f>
        <v>Young</v>
      </c>
      <c r="L31" s="10">
        <f ca="1">DATEDIF(HR_Data5[[#This Row],[Joining Date]],TODAY(),"Y")</f>
        <v>6</v>
      </c>
      <c r="M31" s="10" t="str">
        <f>IF(HR_Data5[[#This Row],[Salary]]&lt;55000,"Low",IF(HR_Data5[[#This Row],[Salary]]&lt;=65000,"Medium","High"))</f>
        <v>Medium</v>
      </c>
      <c r="N31" s="10">
        <f>YEAR(HR_Data5[[#This Row],[Joining Date]])</f>
        <v>2019</v>
      </c>
      <c r="O31" s="10" cm="1">
        <f t="array" ref="O31">_xlfn.SWITCH(HR_Data5[[#This Row],[Performance Score]],
"A",5,
"B",4,
"C",3,
"D",2,
"F",1)</f>
        <v>3</v>
      </c>
      <c r="P31" s="10"/>
      <c r="Q31" t="str" cm="1">
        <f t="array" aca="1" ref="Q31:AE127" ca="1">_xlfn._xlws.SORT(_xlfn._xlws.FILTER(HR_Data5[],(HR_Data5[Department]="HR")*(HR_Data5[Salary]&gt;60000)),3,-1)</f>
        <v>Bob</v>
      </c>
      <c r="R31">
        <f ca="1"/>
        <v>30</v>
      </c>
      <c r="S31" t="str">
        <f ca="1"/>
        <v/>
      </c>
      <c r="T31" t="str">
        <f ca="1"/>
        <v>Other</v>
      </c>
      <c r="U31" t="str">
        <f ca="1"/>
        <v>HR</v>
      </c>
      <c r="V31" t="str">
        <f ca="1"/>
        <v>Assistant</v>
      </c>
      <c r="W31">
        <f ca="1"/>
        <v>43549</v>
      </c>
      <c r="X31" t="str">
        <f ca="1"/>
        <v>A</v>
      </c>
      <c r="Y31" t="str">
        <f ca="1"/>
        <v>email@example.com</v>
      </c>
      <c r="Z31" t="str">
        <f ca="1"/>
        <v>098-765-4321</v>
      </c>
      <c r="AA31" t="str">
        <f ca="1"/>
        <v>Mid-Career</v>
      </c>
      <c r="AB31">
        <f ca="1"/>
        <v>6</v>
      </c>
      <c r="AC31" t="str">
        <f ca="1"/>
        <v>High</v>
      </c>
      <c r="AD31">
        <f ca="1"/>
        <v>2019</v>
      </c>
      <c r="AE31">
        <f ca="1"/>
        <v>5</v>
      </c>
    </row>
    <row r="32" spans="1:31" x14ac:dyDescent="0.3">
      <c r="A32" t="s">
        <v>60</v>
      </c>
      <c r="B32">
        <v>25</v>
      </c>
      <c r="C32" s="6">
        <v>55000</v>
      </c>
      <c r="D32" t="s">
        <v>18</v>
      </c>
      <c r="E32" t="s">
        <v>19</v>
      </c>
      <c r="F32" t="s">
        <v>13</v>
      </c>
      <c r="G32" s="7">
        <v>43800</v>
      </c>
      <c r="H32" t="s">
        <v>41</v>
      </c>
      <c r="I32" t="s">
        <v>32</v>
      </c>
      <c r="J32" t="s">
        <v>28</v>
      </c>
      <c r="K32" t="str">
        <f>IF(HR_Data5[[#This Row],[Age]]&lt;30,"Young",IF(HR_Data5[[#This Row],[Age]]&lt;=45,"Mid-Career","Senior"))</f>
        <v>Young</v>
      </c>
      <c r="L32" s="10">
        <f ca="1">DATEDIF(HR_Data5[[#This Row],[Joining Date]],TODAY(),"Y")</f>
        <v>6</v>
      </c>
      <c r="M32" s="10" t="str">
        <f>IF(HR_Data5[[#This Row],[Salary]]&lt;55000,"Low",IF(HR_Data5[[#This Row],[Salary]]&lt;=65000,"Medium","High"))</f>
        <v>Medium</v>
      </c>
      <c r="N32" s="10">
        <f>YEAR(HR_Data5[[#This Row],[Joining Date]])</f>
        <v>2019</v>
      </c>
      <c r="O32" s="10" cm="1">
        <f t="array" ref="O32">_xlfn.SWITCH(HR_Data5[[#This Row],[Performance Score]],
"A",5,
"B",4,
"C",3,
"D",2,
"F",1)</f>
        <v>4</v>
      </c>
      <c r="P32" s="10"/>
      <c r="Q32" t="str">
        <f ca="1"/>
        <v>Ivy</v>
      </c>
      <c r="R32">
        <f ca="1"/>
        <v>25</v>
      </c>
      <c r="S32" t="str">
        <f ca="1"/>
        <v/>
      </c>
      <c r="T32" t="str">
        <f ca="1"/>
        <v>Male</v>
      </c>
      <c r="U32" t="str">
        <f ca="1"/>
        <v>HR</v>
      </c>
      <c r="V32" t="str">
        <f ca="1"/>
        <v>Director</v>
      </c>
      <c r="W32">
        <f ca="1"/>
        <v>43549</v>
      </c>
      <c r="X32" t="str">
        <f ca="1"/>
        <v>D</v>
      </c>
      <c r="Y32" t="str">
        <f ca="1"/>
        <v>name@company.org</v>
      </c>
      <c r="Z32" t="str">
        <f ca="1"/>
        <v>098-765-4321</v>
      </c>
      <c r="AA32" t="str">
        <f ca="1"/>
        <v>Young</v>
      </c>
      <c r="AB32">
        <f ca="1"/>
        <v>6</v>
      </c>
      <c r="AC32" t="str">
        <f ca="1"/>
        <v>High</v>
      </c>
      <c r="AD32">
        <f ca="1"/>
        <v>2019</v>
      </c>
      <c r="AE32">
        <f ca="1"/>
        <v>2</v>
      </c>
    </row>
    <row r="33" spans="1:31" x14ac:dyDescent="0.3">
      <c r="A33" t="s">
        <v>56</v>
      </c>
      <c r="B33">
        <v>50</v>
      </c>
      <c r="C33" s="6">
        <v>70000</v>
      </c>
      <c r="D33" t="s">
        <v>18</v>
      </c>
      <c r="E33" t="s">
        <v>19</v>
      </c>
      <c r="F33" t="s">
        <v>39</v>
      </c>
      <c r="G33" s="7">
        <v>43800</v>
      </c>
      <c r="H33" t="s">
        <v>41</v>
      </c>
      <c r="I33" t="s">
        <v>69</v>
      </c>
      <c r="J33" t="s">
        <v>69</v>
      </c>
      <c r="K33" t="str">
        <f>IF(HR_Data5[[#This Row],[Age]]&lt;30,"Young",IF(HR_Data5[[#This Row],[Age]]&lt;=45,"Mid-Career","Senior"))</f>
        <v>Senior</v>
      </c>
      <c r="L33" s="10">
        <f ca="1">DATEDIF(HR_Data5[[#This Row],[Joining Date]],TODAY(),"Y")</f>
        <v>6</v>
      </c>
      <c r="M33" s="10" t="str">
        <f>IF(HR_Data5[[#This Row],[Salary]]&lt;55000,"Low",IF(HR_Data5[[#This Row],[Salary]]&lt;=65000,"Medium","High"))</f>
        <v>High</v>
      </c>
      <c r="N33" s="10">
        <f>YEAR(HR_Data5[[#This Row],[Joining Date]])</f>
        <v>2019</v>
      </c>
      <c r="O33" s="10" cm="1">
        <f t="array" ref="O33">_xlfn.SWITCH(HR_Data5[[#This Row],[Performance Score]],
"A",5,
"B",4,
"C",3,
"D",2,
"F",1)</f>
        <v>4</v>
      </c>
      <c r="P33" s="10"/>
      <c r="Q33" t="str">
        <f ca="1"/>
        <v>Frank</v>
      </c>
      <c r="R33">
        <f ca="1"/>
        <v>30</v>
      </c>
      <c r="S33" t="str">
        <f ca="1"/>
        <v/>
      </c>
      <c r="T33" t="str">
        <f ca="1"/>
        <v>Male</v>
      </c>
      <c r="U33" t="str">
        <f ca="1"/>
        <v>HR</v>
      </c>
      <c r="V33" t="str">
        <f ca="1"/>
        <v>Clerk</v>
      </c>
      <c r="W33">
        <f ca="1"/>
        <v>43800</v>
      </c>
      <c r="X33" t="str">
        <f ca="1"/>
        <v>A</v>
      </c>
      <c r="Y33" t="str">
        <f ca="1"/>
        <v>Missing</v>
      </c>
      <c r="Z33" t="str">
        <f ca="1"/>
        <v>Missing</v>
      </c>
      <c r="AA33" t="str">
        <f ca="1"/>
        <v>Mid-Career</v>
      </c>
      <c r="AB33">
        <f ca="1"/>
        <v>6</v>
      </c>
      <c r="AC33" t="str">
        <f ca="1"/>
        <v>High</v>
      </c>
      <c r="AD33">
        <f ca="1"/>
        <v>2019</v>
      </c>
      <c r="AE33">
        <f ca="1"/>
        <v>5</v>
      </c>
    </row>
    <row r="34" spans="1:31" x14ac:dyDescent="0.3">
      <c r="A34" t="s">
        <v>54</v>
      </c>
      <c r="B34">
        <v>35</v>
      </c>
      <c r="C34" s="6" t="s">
        <v>68</v>
      </c>
      <c r="D34" t="s">
        <v>18</v>
      </c>
      <c r="E34" t="s">
        <v>26</v>
      </c>
      <c r="F34" t="s">
        <v>20</v>
      </c>
      <c r="G34" s="7">
        <v>43845</v>
      </c>
      <c r="H34" t="s">
        <v>31</v>
      </c>
      <c r="I34" t="s">
        <v>15</v>
      </c>
      <c r="J34" t="s">
        <v>23</v>
      </c>
      <c r="K34" t="str">
        <f>IF(HR_Data5[[#This Row],[Age]]&lt;30,"Young",IF(HR_Data5[[#This Row],[Age]]&lt;=45,"Mid-Career","Senior"))</f>
        <v>Mid-Career</v>
      </c>
      <c r="L34" s="10">
        <f ca="1">DATEDIF(HR_Data5[[#This Row],[Joining Date]],TODAY(),"Y")</f>
        <v>6</v>
      </c>
      <c r="M34" s="10" t="str">
        <f>IF(HR_Data5[[#This Row],[Salary]]&lt;55000,"Low",IF(HR_Data5[[#This Row],[Salary]]&lt;=65000,"Medium","High"))</f>
        <v>High</v>
      </c>
      <c r="N34" s="10">
        <f>YEAR(HR_Data5[[#This Row],[Joining Date]])</f>
        <v>2020</v>
      </c>
      <c r="O34" s="10" cm="1">
        <f t="array" ref="O34">_xlfn.SWITCH(HR_Data5[[#This Row],[Performance Score]],
"A",5,
"B",4,
"C",3,
"D",2,
"F",1)</f>
        <v>5</v>
      </c>
      <c r="P34" s="10"/>
      <c r="Q34" t="str">
        <f ca="1"/>
        <v>Jack</v>
      </c>
      <c r="R34">
        <f ca="1"/>
        <v>30</v>
      </c>
      <c r="S34" t="str">
        <f ca="1"/>
        <v/>
      </c>
      <c r="T34" t="str">
        <f ca="1"/>
        <v>Other</v>
      </c>
      <c r="U34" t="str">
        <f ca="1"/>
        <v>HR</v>
      </c>
      <c r="V34" t="str">
        <f ca="1"/>
        <v>Director</v>
      </c>
      <c r="W34">
        <f ca="1"/>
        <v>43195</v>
      </c>
      <c r="X34" t="str">
        <f ca="1"/>
        <v>C</v>
      </c>
      <c r="Y34" t="str">
        <f ca="1"/>
        <v>user@domain.com</v>
      </c>
      <c r="Z34" t="str">
        <f ca="1"/>
        <v>098-765-4321</v>
      </c>
      <c r="AA34" t="str">
        <f ca="1"/>
        <v>Mid-Career</v>
      </c>
      <c r="AB34">
        <f ca="1"/>
        <v>7</v>
      </c>
      <c r="AC34" t="str">
        <f ca="1"/>
        <v>High</v>
      </c>
      <c r="AD34">
        <f ca="1"/>
        <v>2018</v>
      </c>
      <c r="AE34">
        <f ca="1"/>
        <v>3</v>
      </c>
    </row>
    <row r="35" spans="1:31" x14ac:dyDescent="0.3">
      <c r="A35" t="s">
        <v>56</v>
      </c>
      <c r="B35">
        <v>40</v>
      </c>
      <c r="C35" s="6" t="s">
        <v>68</v>
      </c>
      <c r="D35" t="s">
        <v>18</v>
      </c>
      <c r="E35" t="s">
        <v>30</v>
      </c>
      <c r="F35" t="s">
        <v>20</v>
      </c>
      <c r="G35" s="7">
        <v>43195</v>
      </c>
      <c r="H35" t="s">
        <v>14</v>
      </c>
      <c r="I35" t="s">
        <v>15</v>
      </c>
      <c r="J35" t="s">
        <v>45</v>
      </c>
      <c r="K35" t="str">
        <f>IF(HR_Data5[[#This Row],[Age]]&lt;30,"Young",IF(HR_Data5[[#This Row],[Age]]&lt;=45,"Mid-Career","Senior"))</f>
        <v>Mid-Career</v>
      </c>
      <c r="L35" s="10">
        <f ca="1">DATEDIF(HR_Data5[[#This Row],[Joining Date]],TODAY(),"Y")</f>
        <v>7</v>
      </c>
      <c r="M35" s="10" t="str">
        <f>IF(HR_Data5[[#This Row],[Salary]]&lt;55000,"Low",IF(HR_Data5[[#This Row],[Salary]]&lt;=65000,"Medium","High"))</f>
        <v>High</v>
      </c>
      <c r="N35" s="10">
        <f>YEAR(HR_Data5[[#This Row],[Joining Date]])</f>
        <v>2018</v>
      </c>
      <c r="O35" s="10" cm="1">
        <f t="array" ref="O35">_xlfn.SWITCH(HR_Data5[[#This Row],[Performance Score]],
"A",5,
"B",4,
"C",3,
"D",2,
"F",1)</f>
        <v>2</v>
      </c>
      <c r="P35" s="10"/>
      <c r="Q35" t="str">
        <f ca="1"/>
        <v>Grace</v>
      </c>
      <c r="R35">
        <f ca="1"/>
        <v>36</v>
      </c>
      <c r="S35" t="str">
        <f ca="1"/>
        <v/>
      </c>
      <c r="T35" t="str">
        <f ca="1"/>
        <v>Female</v>
      </c>
      <c r="U35" t="str">
        <f ca="1"/>
        <v>HR</v>
      </c>
      <c r="V35" t="str">
        <f ca="1"/>
        <v>Clerk</v>
      </c>
      <c r="W35">
        <f ca="1"/>
        <v>43800</v>
      </c>
      <c r="X35" t="str">
        <f ca="1"/>
        <v>A</v>
      </c>
      <c r="Y35" t="str">
        <f ca="1"/>
        <v>Missing</v>
      </c>
      <c r="Z35" t="str">
        <f ca="1"/>
        <v>098-765-4321</v>
      </c>
      <c r="AA35" t="str">
        <f ca="1"/>
        <v>Mid-Career</v>
      </c>
      <c r="AB35">
        <f ca="1"/>
        <v>6</v>
      </c>
      <c r="AC35" t="str">
        <f ca="1"/>
        <v>High</v>
      </c>
      <c r="AD35">
        <f ca="1"/>
        <v>2019</v>
      </c>
      <c r="AE35">
        <f ca="1"/>
        <v>5</v>
      </c>
    </row>
    <row r="36" spans="1:31" x14ac:dyDescent="0.3">
      <c r="A36" t="s">
        <v>51</v>
      </c>
      <c r="B36">
        <v>25</v>
      </c>
      <c r="C36" s="6">
        <v>65000</v>
      </c>
      <c r="D36" t="s">
        <v>11</v>
      </c>
      <c r="E36" t="s">
        <v>30</v>
      </c>
      <c r="F36" t="s">
        <v>43</v>
      </c>
      <c r="G36" s="7">
        <v>43881</v>
      </c>
      <c r="H36" t="s">
        <v>31</v>
      </c>
      <c r="I36" t="s">
        <v>32</v>
      </c>
      <c r="J36" t="s">
        <v>69</v>
      </c>
      <c r="K36" t="str">
        <f>IF(HR_Data5[[#This Row],[Age]]&lt;30,"Young",IF(HR_Data5[[#This Row],[Age]]&lt;=45,"Mid-Career","Senior"))</f>
        <v>Young</v>
      </c>
      <c r="L36" s="10">
        <f ca="1">DATEDIF(HR_Data5[[#This Row],[Joining Date]],TODAY(),"Y")</f>
        <v>6</v>
      </c>
      <c r="M36" s="10" t="str">
        <f>IF(HR_Data5[[#This Row],[Salary]]&lt;55000,"Low",IF(HR_Data5[[#This Row],[Salary]]&lt;=65000,"Medium","High"))</f>
        <v>Medium</v>
      </c>
      <c r="N36" s="10">
        <f>YEAR(HR_Data5[[#This Row],[Joining Date]])</f>
        <v>2020</v>
      </c>
      <c r="O36" s="10" cm="1">
        <f t="array" ref="O36">_xlfn.SWITCH(HR_Data5[[#This Row],[Performance Score]],
"A",5,
"B",4,
"C",3,
"D",2,
"F",1)</f>
        <v>5</v>
      </c>
      <c r="P36" s="10"/>
      <c r="Q36" t="str">
        <f ca="1"/>
        <v>Bob</v>
      </c>
      <c r="R36">
        <f ca="1"/>
        <v>25</v>
      </c>
      <c r="S36" t="str">
        <f ca="1"/>
        <v/>
      </c>
      <c r="T36" t="str">
        <f ca="1"/>
        <v>Male</v>
      </c>
      <c r="U36" t="str">
        <f ca="1"/>
        <v>HR</v>
      </c>
      <c r="V36" t="str">
        <f ca="1"/>
        <v>Manager</v>
      </c>
      <c r="W36">
        <f ca="1"/>
        <v>43800</v>
      </c>
      <c r="X36" t="str">
        <f ca="1"/>
        <v>C</v>
      </c>
      <c r="Y36" t="str">
        <f ca="1"/>
        <v>Missing</v>
      </c>
      <c r="Z36" t="str">
        <f ca="1"/>
        <v>555-555-5555</v>
      </c>
      <c r="AA36" t="str">
        <f ca="1"/>
        <v>Young</v>
      </c>
      <c r="AB36">
        <f ca="1"/>
        <v>6</v>
      </c>
      <c r="AC36" t="str">
        <f ca="1"/>
        <v>High</v>
      </c>
      <c r="AD36">
        <f ca="1"/>
        <v>2019</v>
      </c>
      <c r="AE36">
        <f ca="1"/>
        <v>3</v>
      </c>
    </row>
    <row r="37" spans="1:31" x14ac:dyDescent="0.3">
      <c r="A37" t="s">
        <v>54</v>
      </c>
      <c r="B37">
        <v>40</v>
      </c>
      <c r="C37" s="6" t="s">
        <v>68</v>
      </c>
      <c r="D37" t="s">
        <v>36</v>
      </c>
      <c r="E37" t="s">
        <v>26</v>
      </c>
      <c r="F37" t="s">
        <v>13</v>
      </c>
      <c r="G37" s="7">
        <v>43881</v>
      </c>
      <c r="H37" t="s">
        <v>27</v>
      </c>
      <c r="I37" t="s">
        <v>32</v>
      </c>
      <c r="J37" t="s">
        <v>23</v>
      </c>
      <c r="K37" t="str">
        <f>IF(HR_Data5[[#This Row],[Age]]&lt;30,"Young",IF(HR_Data5[[#This Row],[Age]]&lt;=45,"Mid-Career","Senior"))</f>
        <v>Mid-Career</v>
      </c>
      <c r="L37" s="10">
        <f ca="1">DATEDIF(HR_Data5[[#This Row],[Joining Date]],TODAY(),"Y")</f>
        <v>6</v>
      </c>
      <c r="M37" s="10" t="str">
        <f>IF(HR_Data5[[#This Row],[Salary]]&lt;55000,"Low",IF(HR_Data5[[#This Row],[Salary]]&lt;=65000,"Medium","High"))</f>
        <v>High</v>
      </c>
      <c r="N37" s="10">
        <f>YEAR(HR_Data5[[#This Row],[Joining Date]])</f>
        <v>2020</v>
      </c>
      <c r="O37" s="10" cm="1">
        <f t="array" ref="O37">_xlfn.SWITCH(HR_Data5[[#This Row],[Performance Score]],
"A",5,
"B",4,
"C",3,
"D",2,
"F",1)</f>
        <v>3</v>
      </c>
      <c r="P37" s="10"/>
      <c r="Q37" t="str">
        <f ca="1"/>
        <v>David</v>
      </c>
      <c r="R37">
        <f ca="1"/>
        <v>50</v>
      </c>
      <c r="S37" t="str">
        <f ca="1"/>
        <v/>
      </c>
      <c r="T37" t="str">
        <f ca="1"/>
        <v>Other</v>
      </c>
      <c r="U37" t="str">
        <f ca="1"/>
        <v>HR</v>
      </c>
      <c r="V37" t="str">
        <f ca="1"/>
        <v>Clerk</v>
      </c>
      <c r="W37">
        <f ca="1"/>
        <v>43549</v>
      </c>
      <c r="X37" t="str">
        <f ca="1"/>
        <v>C</v>
      </c>
      <c r="Y37" t="str">
        <f ca="1"/>
        <v>Missing</v>
      </c>
      <c r="Z37" t="str">
        <f ca="1"/>
        <v>Missing</v>
      </c>
      <c r="AA37" t="str">
        <f ca="1"/>
        <v>Senior</v>
      </c>
      <c r="AB37">
        <f ca="1"/>
        <v>6</v>
      </c>
      <c r="AC37" t="str">
        <f ca="1"/>
        <v>High</v>
      </c>
      <c r="AD37">
        <f ca="1"/>
        <v>2019</v>
      </c>
      <c r="AE37">
        <f ca="1"/>
        <v>3</v>
      </c>
    </row>
    <row r="38" spans="1:31" x14ac:dyDescent="0.3">
      <c r="A38" t="s">
        <v>60</v>
      </c>
      <c r="B38">
        <v>25</v>
      </c>
      <c r="C38" s="6">
        <v>60000</v>
      </c>
      <c r="D38" t="s">
        <v>11</v>
      </c>
      <c r="E38" t="s">
        <v>30</v>
      </c>
      <c r="F38" t="s">
        <v>13</v>
      </c>
      <c r="G38" s="7">
        <v>43881</v>
      </c>
      <c r="H38" t="s">
        <v>31</v>
      </c>
      <c r="I38" t="s">
        <v>69</v>
      </c>
      <c r="J38" t="s">
        <v>28</v>
      </c>
      <c r="K38" t="str">
        <f>IF(HR_Data5[[#This Row],[Age]]&lt;30,"Young",IF(HR_Data5[[#This Row],[Age]]&lt;=45,"Mid-Career","Senior"))</f>
        <v>Young</v>
      </c>
      <c r="L38" s="10">
        <f ca="1">DATEDIF(HR_Data5[[#This Row],[Joining Date]],TODAY(),"Y")</f>
        <v>6</v>
      </c>
      <c r="M38" s="10" t="str">
        <f>IF(HR_Data5[[#This Row],[Salary]]&lt;55000,"Low",IF(HR_Data5[[#This Row],[Salary]]&lt;=65000,"Medium","High"))</f>
        <v>Medium</v>
      </c>
      <c r="N38" s="10">
        <f>YEAR(HR_Data5[[#This Row],[Joining Date]])</f>
        <v>2020</v>
      </c>
      <c r="O38" s="10" cm="1">
        <f t="array" ref="O38">_xlfn.SWITCH(HR_Data5[[#This Row],[Performance Score]],
"A",5,
"B",4,
"C",3,
"D",2,
"F",1)</f>
        <v>5</v>
      </c>
      <c r="P38" s="10"/>
      <c r="Q38" t="str">
        <f ca="1"/>
        <v>David</v>
      </c>
      <c r="R38">
        <f ca="1"/>
        <v>36</v>
      </c>
      <c r="S38" t="str">
        <f ca="1"/>
        <v/>
      </c>
      <c r="T38" t="str">
        <f ca="1"/>
        <v>Male</v>
      </c>
      <c r="U38" t="str">
        <f ca="1"/>
        <v>HR</v>
      </c>
      <c r="V38" t="str">
        <f ca="1"/>
        <v>Director</v>
      </c>
      <c r="W38">
        <f ca="1"/>
        <v>43195</v>
      </c>
      <c r="X38" t="str">
        <f ca="1"/>
        <v>B</v>
      </c>
      <c r="Y38" t="str">
        <f ca="1"/>
        <v>email@example.com</v>
      </c>
      <c r="Z38" t="str">
        <f ca="1"/>
        <v>Missing</v>
      </c>
      <c r="AA38" t="str">
        <f ca="1"/>
        <v>Mid-Career</v>
      </c>
      <c r="AB38">
        <f ca="1"/>
        <v>7</v>
      </c>
      <c r="AC38" t="str">
        <f ca="1"/>
        <v>High</v>
      </c>
      <c r="AD38">
        <f ca="1"/>
        <v>2018</v>
      </c>
      <c r="AE38">
        <f ca="1"/>
        <v>4</v>
      </c>
    </row>
    <row r="39" spans="1:31" x14ac:dyDescent="0.3">
      <c r="A39" t="s">
        <v>51</v>
      </c>
      <c r="B39">
        <v>30</v>
      </c>
      <c r="C39" s="6" t="s">
        <v>68</v>
      </c>
      <c r="D39" t="s">
        <v>11</v>
      </c>
      <c r="E39" t="s">
        <v>37</v>
      </c>
      <c r="F39" t="s">
        <v>20</v>
      </c>
      <c r="G39" s="7">
        <v>43881</v>
      </c>
      <c r="H39" t="s">
        <v>14</v>
      </c>
      <c r="I39" t="s">
        <v>69</v>
      </c>
      <c r="J39" t="s">
        <v>69</v>
      </c>
      <c r="K39" t="str">
        <f>IF(HR_Data5[[#This Row],[Age]]&lt;30,"Young",IF(HR_Data5[[#This Row],[Age]]&lt;=45,"Mid-Career","Senior"))</f>
        <v>Mid-Career</v>
      </c>
      <c r="L39" s="10">
        <f ca="1">DATEDIF(HR_Data5[[#This Row],[Joining Date]],TODAY(),"Y")</f>
        <v>6</v>
      </c>
      <c r="M39" s="10" t="str">
        <f>IF(HR_Data5[[#This Row],[Salary]]&lt;55000,"Low",IF(HR_Data5[[#This Row],[Salary]]&lt;=65000,"Medium","High"))</f>
        <v>High</v>
      </c>
      <c r="N39" s="10">
        <f>YEAR(HR_Data5[[#This Row],[Joining Date]])</f>
        <v>2020</v>
      </c>
      <c r="O39" s="10" cm="1">
        <f t="array" ref="O39">_xlfn.SWITCH(HR_Data5[[#This Row],[Performance Score]],
"A",5,
"B",4,
"C",3,
"D",2,
"F",1)</f>
        <v>2</v>
      </c>
      <c r="P39" s="10"/>
      <c r="Q39" t="str">
        <f ca="1"/>
        <v>Hannah</v>
      </c>
      <c r="R39">
        <f ca="1"/>
        <v>50</v>
      </c>
      <c r="S39" t="str">
        <f ca="1"/>
        <v/>
      </c>
      <c r="T39" t="str">
        <f ca="1"/>
        <v>Male</v>
      </c>
      <c r="U39" t="str">
        <f ca="1"/>
        <v>HR</v>
      </c>
      <c r="V39" t="str">
        <f ca="1"/>
        <v>Director</v>
      </c>
      <c r="W39">
        <f ca="1"/>
        <v>43881</v>
      </c>
      <c r="X39" t="str">
        <f ca="1"/>
        <v>D</v>
      </c>
      <c r="Y39" t="str">
        <f ca="1"/>
        <v>name@company.org</v>
      </c>
      <c r="Z39" t="str">
        <f ca="1"/>
        <v>123-456-7890</v>
      </c>
      <c r="AA39" t="str">
        <f ca="1"/>
        <v>Senior</v>
      </c>
      <c r="AB39">
        <f ca="1"/>
        <v>6</v>
      </c>
      <c r="AC39" t="str">
        <f ca="1"/>
        <v>High</v>
      </c>
      <c r="AD39">
        <f ca="1"/>
        <v>2020</v>
      </c>
      <c r="AE39">
        <f ca="1"/>
        <v>2</v>
      </c>
    </row>
    <row r="40" spans="1:31" x14ac:dyDescent="0.3">
      <c r="A40" t="s">
        <v>58</v>
      </c>
      <c r="B40">
        <v>36</v>
      </c>
      <c r="C40" s="6">
        <v>55000</v>
      </c>
      <c r="D40" t="s">
        <v>11</v>
      </c>
      <c r="E40" t="s">
        <v>12</v>
      </c>
      <c r="F40" t="s">
        <v>44</v>
      </c>
      <c r="G40" s="7">
        <v>43800</v>
      </c>
      <c r="H40" t="s">
        <v>41</v>
      </c>
      <c r="I40" t="s">
        <v>22</v>
      </c>
      <c r="J40" t="s">
        <v>23</v>
      </c>
      <c r="K40" t="str">
        <f>IF(HR_Data5[[#This Row],[Age]]&lt;30,"Young",IF(HR_Data5[[#This Row],[Age]]&lt;=45,"Mid-Career","Senior"))</f>
        <v>Mid-Career</v>
      </c>
      <c r="L40" s="10">
        <f ca="1">DATEDIF(HR_Data5[[#This Row],[Joining Date]],TODAY(),"Y")</f>
        <v>6</v>
      </c>
      <c r="M40" s="10" t="str">
        <f>IF(HR_Data5[[#This Row],[Salary]]&lt;55000,"Low",IF(HR_Data5[[#This Row],[Salary]]&lt;=65000,"Medium","High"))</f>
        <v>Medium</v>
      </c>
      <c r="N40" s="10">
        <f>YEAR(HR_Data5[[#This Row],[Joining Date]])</f>
        <v>2019</v>
      </c>
      <c r="O40" s="10" cm="1">
        <f t="array" ref="O40">_xlfn.SWITCH(HR_Data5[[#This Row],[Performance Score]],
"A",5,
"B",4,
"C",3,
"D",2,
"F",1)</f>
        <v>4</v>
      </c>
      <c r="P40" s="10"/>
      <c r="Q40" t="str">
        <f ca="1"/>
        <v>David</v>
      </c>
      <c r="R40">
        <f ca="1"/>
        <v>30</v>
      </c>
      <c r="S40" t="str">
        <f ca="1"/>
        <v/>
      </c>
      <c r="T40" t="str">
        <f ca="1"/>
        <v>Female</v>
      </c>
      <c r="U40" t="str">
        <f ca="1"/>
        <v>HR</v>
      </c>
      <c r="V40" t="str">
        <f ca="1"/>
        <v>Assistant</v>
      </c>
      <c r="W40">
        <f ca="1"/>
        <v>43549</v>
      </c>
      <c r="X40" t="str">
        <f ca="1"/>
        <v>F</v>
      </c>
      <c r="Y40" t="str">
        <f ca="1"/>
        <v>Missing</v>
      </c>
      <c r="Z40" t="str">
        <f ca="1"/>
        <v>555-555-5555</v>
      </c>
      <c r="AA40" t="str">
        <f ca="1"/>
        <v>Mid-Career</v>
      </c>
      <c r="AB40">
        <f ca="1"/>
        <v>6</v>
      </c>
      <c r="AC40" t="str">
        <f ca="1"/>
        <v>High</v>
      </c>
      <c r="AD40">
        <f ca="1"/>
        <v>2019</v>
      </c>
      <c r="AE40">
        <f ca="1"/>
        <v>1</v>
      </c>
    </row>
    <row r="41" spans="1:31" x14ac:dyDescent="0.3">
      <c r="A41" t="s">
        <v>52</v>
      </c>
      <c r="B41">
        <v>25</v>
      </c>
      <c r="C41" s="6">
        <v>55000</v>
      </c>
      <c r="D41" t="s">
        <v>18</v>
      </c>
      <c r="E41" t="s">
        <v>19</v>
      </c>
      <c r="F41" t="s">
        <v>43</v>
      </c>
      <c r="G41" s="7">
        <v>43881</v>
      </c>
      <c r="H41" t="s">
        <v>31</v>
      </c>
      <c r="I41" t="s">
        <v>69</v>
      </c>
      <c r="J41" t="s">
        <v>69</v>
      </c>
      <c r="K41" t="str">
        <f>IF(HR_Data5[[#This Row],[Age]]&lt;30,"Young",IF(HR_Data5[[#This Row],[Age]]&lt;=45,"Mid-Career","Senior"))</f>
        <v>Young</v>
      </c>
      <c r="L41" s="10">
        <f ca="1">DATEDIF(HR_Data5[[#This Row],[Joining Date]],TODAY(),"Y")</f>
        <v>6</v>
      </c>
      <c r="M41" s="10" t="str">
        <f>IF(HR_Data5[[#This Row],[Salary]]&lt;55000,"Low",IF(HR_Data5[[#This Row],[Salary]]&lt;=65000,"Medium","High"))</f>
        <v>Medium</v>
      </c>
      <c r="N41" s="10">
        <f>YEAR(HR_Data5[[#This Row],[Joining Date]])</f>
        <v>2020</v>
      </c>
      <c r="O41" s="10" cm="1">
        <f t="array" ref="O41">_xlfn.SWITCH(HR_Data5[[#This Row],[Performance Score]],
"A",5,
"B",4,
"C",3,
"D",2,
"F",1)</f>
        <v>5</v>
      </c>
      <c r="P41" s="10"/>
      <c r="Q41" t="str">
        <f ca="1"/>
        <v>Ivy</v>
      </c>
      <c r="R41">
        <f ca="1"/>
        <v>30</v>
      </c>
      <c r="S41" t="str">
        <f ca="1"/>
        <v/>
      </c>
      <c r="T41" t="str">
        <f ca="1"/>
        <v>Other</v>
      </c>
      <c r="U41" t="str">
        <f ca="1"/>
        <v>HR</v>
      </c>
      <c r="V41" t="str">
        <f ca="1"/>
        <v>Director</v>
      </c>
      <c r="W41">
        <f ca="1"/>
        <v>43881</v>
      </c>
      <c r="X41" t="str">
        <f ca="1"/>
        <v>C</v>
      </c>
      <c r="Y41" t="str">
        <f ca="1"/>
        <v>name@company.org</v>
      </c>
      <c r="Z41" t="str">
        <f ca="1"/>
        <v>555-555-5555</v>
      </c>
      <c r="AA41" t="str">
        <f ca="1"/>
        <v>Mid-Career</v>
      </c>
      <c r="AB41">
        <f ca="1"/>
        <v>6</v>
      </c>
      <c r="AC41" t="str">
        <f ca="1"/>
        <v>High</v>
      </c>
      <c r="AD41">
        <f ca="1"/>
        <v>2020</v>
      </c>
      <c r="AE41">
        <f ca="1"/>
        <v>3</v>
      </c>
    </row>
    <row r="42" spans="1:31" x14ac:dyDescent="0.3">
      <c r="A42" t="s">
        <v>60</v>
      </c>
      <c r="B42">
        <v>40</v>
      </c>
      <c r="C42" s="6">
        <v>70000</v>
      </c>
      <c r="D42" t="s">
        <v>18</v>
      </c>
      <c r="E42" t="s">
        <v>12</v>
      </c>
      <c r="F42" t="s">
        <v>43</v>
      </c>
      <c r="G42" s="7">
        <v>43195</v>
      </c>
      <c r="H42" t="s">
        <v>27</v>
      </c>
      <c r="I42" t="s">
        <v>15</v>
      </c>
      <c r="J42" t="s">
        <v>69</v>
      </c>
      <c r="K42" t="str">
        <f>IF(HR_Data5[[#This Row],[Age]]&lt;30,"Young",IF(HR_Data5[[#This Row],[Age]]&lt;=45,"Mid-Career","Senior"))</f>
        <v>Mid-Career</v>
      </c>
      <c r="L42" s="10">
        <f ca="1">DATEDIF(HR_Data5[[#This Row],[Joining Date]],TODAY(),"Y")</f>
        <v>7</v>
      </c>
      <c r="M42" s="10" t="str">
        <f>IF(HR_Data5[[#This Row],[Salary]]&lt;55000,"Low",IF(HR_Data5[[#This Row],[Salary]]&lt;=65000,"Medium","High"))</f>
        <v>High</v>
      </c>
      <c r="N42" s="10">
        <f>YEAR(HR_Data5[[#This Row],[Joining Date]])</f>
        <v>2018</v>
      </c>
      <c r="O42" s="10" cm="1">
        <f t="array" ref="O42">_xlfn.SWITCH(HR_Data5[[#This Row],[Performance Score]],
"A",5,
"B",4,
"C",3,
"D",2,
"F",1)</f>
        <v>3</v>
      </c>
      <c r="P42" s="10"/>
      <c r="Q42" t="str">
        <f ca="1"/>
        <v>Grace</v>
      </c>
      <c r="R42">
        <f ca="1"/>
        <v>25</v>
      </c>
      <c r="S42" t="str">
        <f ca="1"/>
        <v/>
      </c>
      <c r="T42" t="str">
        <f ca="1"/>
        <v>Other</v>
      </c>
      <c r="U42" t="str">
        <f ca="1"/>
        <v>HR</v>
      </c>
      <c r="V42" t="str">
        <f ca="1"/>
        <v>Analyst</v>
      </c>
      <c r="W42">
        <f ca="1"/>
        <v>43549</v>
      </c>
      <c r="X42" t="str">
        <f ca="1"/>
        <v>F</v>
      </c>
      <c r="Y42" t="str">
        <f ca="1"/>
        <v>Missing</v>
      </c>
      <c r="Z42" t="str">
        <f ca="1"/>
        <v>Missing</v>
      </c>
      <c r="AA42" t="str">
        <f ca="1"/>
        <v>Young</v>
      </c>
      <c r="AB42">
        <f ca="1"/>
        <v>6</v>
      </c>
      <c r="AC42" t="str">
        <f ca="1"/>
        <v>High</v>
      </c>
      <c r="AD42">
        <f ca="1"/>
        <v>2019</v>
      </c>
      <c r="AE42">
        <f ca="1"/>
        <v>1</v>
      </c>
    </row>
    <row r="43" spans="1:31" x14ac:dyDescent="0.3">
      <c r="A43" t="s">
        <v>58</v>
      </c>
      <c r="B43">
        <v>30</v>
      </c>
      <c r="C43" s="6">
        <v>50000</v>
      </c>
      <c r="D43" t="s">
        <v>18</v>
      </c>
      <c r="E43" t="s">
        <v>19</v>
      </c>
      <c r="F43" t="s">
        <v>20</v>
      </c>
      <c r="G43" s="7">
        <v>43800</v>
      </c>
      <c r="H43" t="s">
        <v>27</v>
      </c>
      <c r="I43" t="s">
        <v>32</v>
      </c>
      <c r="J43" t="s">
        <v>28</v>
      </c>
      <c r="K43" t="str">
        <f>IF(HR_Data5[[#This Row],[Age]]&lt;30,"Young",IF(HR_Data5[[#This Row],[Age]]&lt;=45,"Mid-Career","Senior"))</f>
        <v>Mid-Career</v>
      </c>
      <c r="L43" s="10">
        <f ca="1">DATEDIF(HR_Data5[[#This Row],[Joining Date]],TODAY(),"Y")</f>
        <v>6</v>
      </c>
      <c r="M43" s="10" t="str">
        <f>IF(HR_Data5[[#This Row],[Salary]]&lt;55000,"Low",IF(HR_Data5[[#This Row],[Salary]]&lt;=65000,"Medium","High"))</f>
        <v>Low</v>
      </c>
      <c r="N43" s="10">
        <f>YEAR(HR_Data5[[#This Row],[Joining Date]])</f>
        <v>2019</v>
      </c>
      <c r="O43" s="10" cm="1">
        <f t="array" ref="O43">_xlfn.SWITCH(HR_Data5[[#This Row],[Performance Score]],
"A",5,
"B",4,
"C",3,
"D",2,
"F",1)</f>
        <v>3</v>
      </c>
      <c r="P43" s="10"/>
      <c r="Q43" t="str">
        <f ca="1"/>
        <v>Jack</v>
      </c>
      <c r="R43">
        <f ca="1"/>
        <v>36</v>
      </c>
      <c r="S43" t="str">
        <f ca="1"/>
        <v/>
      </c>
      <c r="T43" t="str">
        <f ca="1"/>
        <v>Female</v>
      </c>
      <c r="U43" t="str">
        <f ca="1"/>
        <v>HR</v>
      </c>
      <c r="V43" t="str">
        <f ca="1"/>
        <v>Director</v>
      </c>
      <c r="W43">
        <f ca="1"/>
        <v>43881</v>
      </c>
      <c r="X43" t="str">
        <f ca="1"/>
        <v>C</v>
      </c>
      <c r="Y43" t="str">
        <f ca="1"/>
        <v>Missing</v>
      </c>
      <c r="Z43" t="str">
        <f ca="1"/>
        <v>123-456-7890</v>
      </c>
      <c r="AA43" t="str">
        <f ca="1"/>
        <v>Mid-Career</v>
      </c>
      <c r="AB43">
        <f ca="1"/>
        <v>6</v>
      </c>
      <c r="AC43" t="str">
        <f ca="1"/>
        <v>High</v>
      </c>
      <c r="AD43">
        <f ca="1"/>
        <v>2020</v>
      </c>
      <c r="AE43">
        <f ca="1"/>
        <v>3</v>
      </c>
    </row>
    <row r="44" spans="1:31" x14ac:dyDescent="0.3">
      <c r="A44" t="s">
        <v>55</v>
      </c>
      <c r="B44">
        <v>25</v>
      </c>
      <c r="C44" s="6">
        <v>60000</v>
      </c>
      <c r="D44" t="s">
        <v>36</v>
      </c>
      <c r="E44" t="s">
        <v>37</v>
      </c>
      <c r="F44" t="s">
        <v>20</v>
      </c>
      <c r="G44" s="7">
        <v>43881</v>
      </c>
      <c r="H44" t="s">
        <v>41</v>
      </c>
      <c r="I44" t="s">
        <v>69</v>
      </c>
      <c r="J44" t="s">
        <v>23</v>
      </c>
      <c r="K44" t="str">
        <f>IF(HR_Data5[[#This Row],[Age]]&lt;30,"Young",IF(HR_Data5[[#This Row],[Age]]&lt;=45,"Mid-Career","Senior"))</f>
        <v>Young</v>
      </c>
      <c r="L44" s="10">
        <f ca="1">DATEDIF(HR_Data5[[#This Row],[Joining Date]],TODAY(),"Y")</f>
        <v>6</v>
      </c>
      <c r="M44" s="10" t="str">
        <f>IF(HR_Data5[[#This Row],[Salary]]&lt;55000,"Low",IF(HR_Data5[[#This Row],[Salary]]&lt;=65000,"Medium","High"))</f>
        <v>Medium</v>
      </c>
      <c r="N44" s="10">
        <f>YEAR(HR_Data5[[#This Row],[Joining Date]])</f>
        <v>2020</v>
      </c>
      <c r="O44" s="10" cm="1">
        <f t="array" ref="O44">_xlfn.SWITCH(HR_Data5[[#This Row],[Performance Score]],
"A",5,
"B",4,
"C",3,
"D",2,
"F",1)</f>
        <v>4</v>
      </c>
      <c r="P44" s="10"/>
      <c r="Q44" t="str">
        <f ca="1"/>
        <v>David</v>
      </c>
      <c r="R44">
        <f ca="1"/>
        <v>36</v>
      </c>
      <c r="S44" t="str">
        <f ca="1"/>
        <v/>
      </c>
      <c r="T44" t="str">
        <f ca="1"/>
        <v>Male</v>
      </c>
      <c r="U44" t="str">
        <f ca="1"/>
        <v>HR</v>
      </c>
      <c r="V44" t="str">
        <f ca="1"/>
        <v>Clerk</v>
      </c>
      <c r="W44">
        <f ca="1"/>
        <v>43845</v>
      </c>
      <c r="X44" t="str">
        <f ca="1"/>
        <v>B</v>
      </c>
      <c r="Y44" t="str">
        <f ca="1"/>
        <v>Missing</v>
      </c>
      <c r="Z44" t="str">
        <f ca="1"/>
        <v>098-765-4321</v>
      </c>
      <c r="AA44" t="str">
        <f ca="1"/>
        <v>Mid-Career</v>
      </c>
      <c r="AB44">
        <f ca="1"/>
        <v>6</v>
      </c>
      <c r="AC44" t="str">
        <f ca="1"/>
        <v>High</v>
      </c>
      <c r="AD44">
        <f ca="1"/>
        <v>2020</v>
      </c>
      <c r="AE44">
        <f ca="1"/>
        <v>4</v>
      </c>
    </row>
    <row r="45" spans="1:31" x14ac:dyDescent="0.3">
      <c r="A45" t="s">
        <v>60</v>
      </c>
      <c r="B45">
        <v>35</v>
      </c>
      <c r="C45" s="6">
        <v>70000</v>
      </c>
      <c r="D45" t="s">
        <v>11</v>
      </c>
      <c r="E45" t="s">
        <v>30</v>
      </c>
      <c r="F45" t="s">
        <v>44</v>
      </c>
      <c r="G45" s="7">
        <v>43845</v>
      </c>
      <c r="H45" t="s">
        <v>31</v>
      </c>
      <c r="I45" t="s">
        <v>69</v>
      </c>
      <c r="J45" t="s">
        <v>45</v>
      </c>
      <c r="K45" t="str">
        <f>IF(HR_Data5[[#This Row],[Age]]&lt;30,"Young",IF(HR_Data5[[#This Row],[Age]]&lt;=45,"Mid-Career","Senior"))</f>
        <v>Mid-Career</v>
      </c>
      <c r="L45" s="10">
        <f ca="1">DATEDIF(HR_Data5[[#This Row],[Joining Date]],TODAY(),"Y")</f>
        <v>6</v>
      </c>
      <c r="M45" s="10" t="str">
        <f>IF(HR_Data5[[#This Row],[Salary]]&lt;55000,"Low",IF(HR_Data5[[#This Row],[Salary]]&lt;=65000,"Medium","High"))</f>
        <v>High</v>
      </c>
      <c r="N45" s="10">
        <f>YEAR(HR_Data5[[#This Row],[Joining Date]])</f>
        <v>2020</v>
      </c>
      <c r="O45" s="10" cm="1">
        <f t="array" ref="O45">_xlfn.SWITCH(HR_Data5[[#This Row],[Performance Score]],
"A",5,
"B",4,
"C",3,
"D",2,
"F",1)</f>
        <v>5</v>
      </c>
      <c r="P45" s="10"/>
      <c r="Q45" t="str">
        <f ca="1"/>
        <v>Hannah</v>
      </c>
      <c r="R45">
        <f ca="1"/>
        <v>35</v>
      </c>
      <c r="S45" t="str">
        <f ca="1"/>
        <v/>
      </c>
      <c r="T45" t="str">
        <f ca="1"/>
        <v>Female</v>
      </c>
      <c r="U45" t="str">
        <f ca="1"/>
        <v>HR</v>
      </c>
      <c r="V45" t="str">
        <f ca="1"/>
        <v>Manager</v>
      </c>
      <c r="W45">
        <f ca="1"/>
        <v>43195</v>
      </c>
      <c r="X45" t="str">
        <f ca="1"/>
        <v>C</v>
      </c>
      <c r="Y45" t="str">
        <f ca="1"/>
        <v>name@company.org</v>
      </c>
      <c r="Z45" t="str">
        <f ca="1"/>
        <v>123-456-7890</v>
      </c>
      <c r="AA45" t="str">
        <f ca="1"/>
        <v>Mid-Career</v>
      </c>
      <c r="AB45">
        <f ca="1"/>
        <v>7</v>
      </c>
      <c r="AC45" t="str">
        <f ca="1"/>
        <v>High</v>
      </c>
      <c r="AD45">
        <f ca="1"/>
        <v>2018</v>
      </c>
      <c r="AE45">
        <f ca="1"/>
        <v>3</v>
      </c>
    </row>
    <row r="46" spans="1:31" x14ac:dyDescent="0.3">
      <c r="A46" t="s">
        <v>55</v>
      </c>
      <c r="B46">
        <v>36</v>
      </c>
      <c r="C46" s="6">
        <v>60000</v>
      </c>
      <c r="D46" t="s">
        <v>36</v>
      </c>
      <c r="E46" t="s">
        <v>26</v>
      </c>
      <c r="F46" t="s">
        <v>44</v>
      </c>
      <c r="G46" s="7">
        <v>43549</v>
      </c>
      <c r="H46" t="s">
        <v>14</v>
      </c>
      <c r="I46" t="s">
        <v>69</v>
      </c>
      <c r="J46" t="s">
        <v>23</v>
      </c>
      <c r="K46" t="str">
        <f>IF(HR_Data5[[#This Row],[Age]]&lt;30,"Young",IF(HR_Data5[[#This Row],[Age]]&lt;=45,"Mid-Career","Senior"))</f>
        <v>Mid-Career</v>
      </c>
      <c r="L46" s="10">
        <f ca="1">DATEDIF(HR_Data5[[#This Row],[Joining Date]],TODAY(),"Y")</f>
        <v>6</v>
      </c>
      <c r="M46" s="10" t="str">
        <f>IF(HR_Data5[[#This Row],[Salary]]&lt;55000,"Low",IF(HR_Data5[[#This Row],[Salary]]&lt;=65000,"Medium","High"))</f>
        <v>Medium</v>
      </c>
      <c r="N46" s="10">
        <f>YEAR(HR_Data5[[#This Row],[Joining Date]])</f>
        <v>2019</v>
      </c>
      <c r="O46" s="10" cm="1">
        <f t="array" ref="O46">_xlfn.SWITCH(HR_Data5[[#This Row],[Performance Score]],
"A",5,
"B",4,
"C",3,
"D",2,
"F",1)</f>
        <v>2</v>
      </c>
      <c r="P46" s="10"/>
      <c r="Q46" t="str">
        <f ca="1"/>
        <v>Alice</v>
      </c>
      <c r="R46">
        <f ca="1"/>
        <v>40</v>
      </c>
      <c r="S46" t="str">
        <f ca="1"/>
        <v/>
      </c>
      <c r="T46" t="str">
        <f ca="1"/>
        <v>Female</v>
      </c>
      <c r="U46" t="str">
        <f ca="1"/>
        <v>HR</v>
      </c>
      <c r="V46" t="str">
        <f ca="1"/>
        <v>Assistant</v>
      </c>
      <c r="W46">
        <f ca="1"/>
        <v>43845</v>
      </c>
      <c r="X46" t="str">
        <f ca="1"/>
        <v>C</v>
      </c>
      <c r="Y46" t="str">
        <f ca="1"/>
        <v>name@company.org</v>
      </c>
      <c r="Z46" t="str">
        <f ca="1"/>
        <v>098-765-4321</v>
      </c>
      <c r="AA46" t="str">
        <f ca="1"/>
        <v>Mid-Career</v>
      </c>
      <c r="AB46">
        <f ca="1"/>
        <v>6</v>
      </c>
      <c r="AC46" t="str">
        <f ca="1"/>
        <v>High</v>
      </c>
      <c r="AD46">
        <f ca="1"/>
        <v>2020</v>
      </c>
      <c r="AE46">
        <f ca="1"/>
        <v>3</v>
      </c>
    </row>
    <row r="47" spans="1:31" x14ac:dyDescent="0.3">
      <c r="A47" t="s">
        <v>54</v>
      </c>
      <c r="B47">
        <v>25</v>
      </c>
      <c r="C47" s="6">
        <v>50000</v>
      </c>
      <c r="D47" t="s">
        <v>18</v>
      </c>
      <c r="E47" t="s">
        <v>37</v>
      </c>
      <c r="F47" t="s">
        <v>13</v>
      </c>
      <c r="G47" s="7">
        <v>43549</v>
      </c>
      <c r="H47" t="s">
        <v>41</v>
      </c>
      <c r="I47" t="s">
        <v>69</v>
      </c>
      <c r="J47" t="s">
        <v>69</v>
      </c>
      <c r="K47" t="str">
        <f>IF(HR_Data5[[#This Row],[Age]]&lt;30,"Young",IF(HR_Data5[[#This Row],[Age]]&lt;=45,"Mid-Career","Senior"))</f>
        <v>Young</v>
      </c>
      <c r="L47" s="10">
        <f ca="1">DATEDIF(HR_Data5[[#This Row],[Joining Date]],TODAY(),"Y")</f>
        <v>6</v>
      </c>
      <c r="M47" s="10" t="str">
        <f>IF(HR_Data5[[#This Row],[Salary]]&lt;55000,"Low",IF(HR_Data5[[#This Row],[Salary]]&lt;=65000,"Medium","High"))</f>
        <v>Low</v>
      </c>
      <c r="N47" s="10">
        <f>YEAR(HR_Data5[[#This Row],[Joining Date]])</f>
        <v>2019</v>
      </c>
      <c r="O47" s="10" cm="1">
        <f t="array" ref="O47">_xlfn.SWITCH(HR_Data5[[#This Row],[Performance Score]],
"A",5,
"B",4,
"C",3,
"D",2,
"F",1)</f>
        <v>4</v>
      </c>
      <c r="P47" s="10"/>
      <c r="Q47" t="str">
        <f ca="1"/>
        <v>Bob</v>
      </c>
      <c r="R47">
        <f ca="1"/>
        <v>40</v>
      </c>
      <c r="S47" t="str">
        <f ca="1"/>
        <v/>
      </c>
      <c r="T47" t="str">
        <f ca="1"/>
        <v>Female</v>
      </c>
      <c r="U47" t="str">
        <f ca="1"/>
        <v>HR</v>
      </c>
      <c r="V47" t="str">
        <f ca="1"/>
        <v>Manager</v>
      </c>
      <c r="W47">
        <f ca="1"/>
        <v>43881</v>
      </c>
      <c r="X47" t="str">
        <f ca="1"/>
        <v>D</v>
      </c>
      <c r="Y47" t="str">
        <f ca="1"/>
        <v>Missing</v>
      </c>
      <c r="Z47" t="str">
        <f ca="1"/>
        <v>Missing</v>
      </c>
      <c r="AA47" t="str">
        <f ca="1"/>
        <v>Mid-Career</v>
      </c>
      <c r="AB47">
        <f ca="1"/>
        <v>6</v>
      </c>
      <c r="AC47" t="str">
        <f ca="1"/>
        <v>High</v>
      </c>
      <c r="AD47">
        <f ca="1"/>
        <v>2020</v>
      </c>
      <c r="AE47">
        <f ca="1"/>
        <v>2</v>
      </c>
    </row>
    <row r="48" spans="1:31" x14ac:dyDescent="0.3">
      <c r="A48" t="s">
        <v>58</v>
      </c>
      <c r="B48">
        <v>30</v>
      </c>
      <c r="C48" s="6" t="s">
        <v>68</v>
      </c>
      <c r="D48" t="s">
        <v>36</v>
      </c>
      <c r="E48" t="s">
        <v>12</v>
      </c>
      <c r="F48" t="s">
        <v>43</v>
      </c>
      <c r="G48" s="7">
        <v>43549</v>
      </c>
      <c r="H48" t="s">
        <v>31</v>
      </c>
      <c r="I48" t="s">
        <v>15</v>
      </c>
      <c r="J48" t="s">
        <v>28</v>
      </c>
      <c r="K48" t="str">
        <f>IF(HR_Data5[[#This Row],[Age]]&lt;30,"Young",IF(HR_Data5[[#This Row],[Age]]&lt;=45,"Mid-Career","Senior"))</f>
        <v>Mid-Career</v>
      </c>
      <c r="L48" s="10">
        <f ca="1">DATEDIF(HR_Data5[[#This Row],[Joining Date]],TODAY(),"Y")</f>
        <v>6</v>
      </c>
      <c r="M48" s="10" t="str">
        <f>IF(HR_Data5[[#This Row],[Salary]]&lt;55000,"Low",IF(HR_Data5[[#This Row],[Salary]]&lt;=65000,"Medium","High"))</f>
        <v>High</v>
      </c>
      <c r="N48" s="10">
        <f>YEAR(HR_Data5[[#This Row],[Joining Date]])</f>
        <v>2019</v>
      </c>
      <c r="O48" s="10" cm="1">
        <f t="array" ref="O48">_xlfn.SWITCH(HR_Data5[[#This Row],[Performance Score]],
"A",5,
"B",4,
"C",3,
"D",2,
"F",1)</f>
        <v>5</v>
      </c>
      <c r="P48" s="10"/>
      <c r="Q48" t="str">
        <f ca="1"/>
        <v>Alice</v>
      </c>
      <c r="R48">
        <f ca="1"/>
        <v>50</v>
      </c>
      <c r="S48" t="str">
        <f ca="1"/>
        <v/>
      </c>
      <c r="T48" t="str">
        <f ca="1"/>
        <v>Female</v>
      </c>
      <c r="U48" t="str">
        <f ca="1"/>
        <v>HR</v>
      </c>
      <c r="V48" t="str">
        <f ca="1"/>
        <v>Manager</v>
      </c>
      <c r="W48">
        <f ca="1"/>
        <v>43881</v>
      </c>
      <c r="X48" t="str">
        <f ca="1"/>
        <v>B</v>
      </c>
      <c r="Y48" t="str">
        <f ca="1"/>
        <v>user@domain.com</v>
      </c>
      <c r="Z48" t="str">
        <f ca="1"/>
        <v>123-456-7890</v>
      </c>
      <c r="AA48" t="str">
        <f ca="1"/>
        <v>Senior</v>
      </c>
      <c r="AB48">
        <f ca="1"/>
        <v>6</v>
      </c>
      <c r="AC48" t="str">
        <f ca="1"/>
        <v>High</v>
      </c>
      <c r="AD48">
        <f ca="1"/>
        <v>2020</v>
      </c>
      <c r="AE48">
        <f ca="1"/>
        <v>4</v>
      </c>
    </row>
    <row r="49" spans="1:31" x14ac:dyDescent="0.3">
      <c r="A49" t="s">
        <v>52</v>
      </c>
      <c r="B49">
        <v>35</v>
      </c>
      <c r="C49" s="6" t="s">
        <v>68</v>
      </c>
      <c r="D49" t="s">
        <v>11</v>
      </c>
      <c r="E49" t="s">
        <v>26</v>
      </c>
      <c r="F49" t="s">
        <v>43</v>
      </c>
      <c r="G49" s="7">
        <v>43800</v>
      </c>
      <c r="H49" t="s">
        <v>21</v>
      </c>
      <c r="I49" t="s">
        <v>22</v>
      </c>
      <c r="J49" t="s">
        <v>28</v>
      </c>
      <c r="K49" t="str">
        <f>IF(HR_Data5[[#This Row],[Age]]&lt;30,"Young",IF(HR_Data5[[#This Row],[Age]]&lt;=45,"Mid-Career","Senior"))</f>
        <v>Mid-Career</v>
      </c>
      <c r="L49" s="10">
        <f ca="1">DATEDIF(HR_Data5[[#This Row],[Joining Date]],TODAY(),"Y")</f>
        <v>6</v>
      </c>
      <c r="M49" s="10" t="str">
        <f>IF(HR_Data5[[#This Row],[Salary]]&lt;55000,"Low",IF(HR_Data5[[#This Row],[Salary]]&lt;=65000,"Medium","High"))</f>
        <v>High</v>
      </c>
      <c r="N49" s="10">
        <f>YEAR(HR_Data5[[#This Row],[Joining Date]])</f>
        <v>2019</v>
      </c>
      <c r="O49" s="10" cm="1">
        <f t="array" ref="O49">_xlfn.SWITCH(HR_Data5[[#This Row],[Performance Score]],
"A",5,
"B",4,
"C",3,
"D",2,
"F",1)</f>
        <v>1</v>
      </c>
      <c r="P49" s="10"/>
      <c r="Q49" t="str">
        <f ca="1"/>
        <v>Eve</v>
      </c>
      <c r="R49">
        <f ca="1"/>
        <v>35</v>
      </c>
      <c r="S49" t="str">
        <f ca="1"/>
        <v/>
      </c>
      <c r="T49" t="str">
        <f ca="1"/>
        <v>Female</v>
      </c>
      <c r="U49" t="str">
        <f ca="1"/>
        <v>HR</v>
      </c>
      <c r="V49" t="str">
        <f ca="1"/>
        <v>Analyst</v>
      </c>
      <c r="W49">
        <f ca="1"/>
        <v>43195</v>
      </c>
      <c r="X49" t="str">
        <f ca="1"/>
        <v>A</v>
      </c>
      <c r="Y49" t="str">
        <f ca="1"/>
        <v>user@domain.com</v>
      </c>
      <c r="Z49" t="str">
        <f ca="1"/>
        <v>Missing</v>
      </c>
      <c r="AA49" t="str">
        <f ca="1"/>
        <v>Mid-Career</v>
      </c>
      <c r="AB49">
        <f ca="1"/>
        <v>7</v>
      </c>
      <c r="AC49" t="str">
        <f ca="1"/>
        <v>High</v>
      </c>
      <c r="AD49">
        <f ca="1"/>
        <v>2018</v>
      </c>
      <c r="AE49">
        <f ca="1"/>
        <v>5</v>
      </c>
    </row>
    <row r="50" spans="1:31" x14ac:dyDescent="0.3">
      <c r="A50" t="s">
        <v>51</v>
      </c>
      <c r="B50">
        <v>50</v>
      </c>
      <c r="C50" s="6">
        <v>50000</v>
      </c>
      <c r="D50" t="s">
        <v>11</v>
      </c>
      <c r="E50" t="s">
        <v>30</v>
      </c>
      <c r="F50" t="s">
        <v>20</v>
      </c>
      <c r="G50" s="7">
        <v>43881</v>
      </c>
      <c r="H50" t="s">
        <v>27</v>
      </c>
      <c r="I50" t="s">
        <v>69</v>
      </c>
      <c r="J50" t="s">
        <v>45</v>
      </c>
      <c r="K50" t="str">
        <f>IF(HR_Data5[[#This Row],[Age]]&lt;30,"Young",IF(HR_Data5[[#This Row],[Age]]&lt;=45,"Mid-Career","Senior"))</f>
        <v>Senior</v>
      </c>
      <c r="L50" s="10">
        <f ca="1">DATEDIF(HR_Data5[[#This Row],[Joining Date]],TODAY(),"Y")</f>
        <v>6</v>
      </c>
      <c r="M50" s="10" t="str">
        <f>IF(HR_Data5[[#This Row],[Salary]]&lt;55000,"Low",IF(HR_Data5[[#This Row],[Salary]]&lt;=65000,"Medium","High"))</f>
        <v>Low</v>
      </c>
      <c r="N50" s="10">
        <f>YEAR(HR_Data5[[#This Row],[Joining Date]])</f>
        <v>2020</v>
      </c>
      <c r="O50" s="10" cm="1">
        <f t="array" ref="O50">_xlfn.SWITCH(HR_Data5[[#This Row],[Performance Score]],
"A",5,
"B",4,
"C",3,
"D",2,
"F",1)</f>
        <v>3</v>
      </c>
      <c r="P50" s="10"/>
      <c r="Q50" t="str">
        <f ca="1"/>
        <v>Bob</v>
      </c>
      <c r="R50">
        <f ca="1"/>
        <v>36</v>
      </c>
      <c r="S50" t="str">
        <f ca="1"/>
        <v/>
      </c>
      <c r="T50" t="str">
        <f ca="1"/>
        <v>Other</v>
      </c>
      <c r="U50" t="str">
        <f ca="1"/>
        <v>HR</v>
      </c>
      <c r="V50" t="str">
        <f ca="1"/>
        <v>Clerk</v>
      </c>
      <c r="W50">
        <f ca="1"/>
        <v>43881</v>
      </c>
      <c r="X50" t="str">
        <f ca="1"/>
        <v>F</v>
      </c>
      <c r="Y50" t="str">
        <f ca="1"/>
        <v>Missing</v>
      </c>
      <c r="Z50" t="str">
        <f ca="1"/>
        <v>123-456-7890</v>
      </c>
      <c r="AA50" t="str">
        <f ca="1"/>
        <v>Mid-Career</v>
      </c>
      <c r="AB50">
        <f ca="1"/>
        <v>6</v>
      </c>
      <c r="AC50" t="str">
        <f ca="1"/>
        <v>High</v>
      </c>
      <c r="AD50">
        <f ca="1"/>
        <v>2020</v>
      </c>
      <c r="AE50">
        <f ca="1"/>
        <v>1</v>
      </c>
    </row>
    <row r="51" spans="1:31" x14ac:dyDescent="0.3">
      <c r="A51" t="s">
        <v>53</v>
      </c>
      <c r="B51">
        <v>30</v>
      </c>
      <c r="C51" s="6">
        <v>70000</v>
      </c>
      <c r="D51" t="s">
        <v>18</v>
      </c>
      <c r="E51" t="s">
        <v>37</v>
      </c>
      <c r="F51" t="s">
        <v>13</v>
      </c>
      <c r="G51" s="7">
        <v>43800</v>
      </c>
      <c r="H51" t="s">
        <v>14</v>
      </c>
      <c r="I51" t="s">
        <v>69</v>
      </c>
      <c r="J51" t="s">
        <v>28</v>
      </c>
      <c r="K51" t="str">
        <f>IF(HR_Data5[[#This Row],[Age]]&lt;30,"Young",IF(HR_Data5[[#This Row],[Age]]&lt;=45,"Mid-Career","Senior"))</f>
        <v>Mid-Career</v>
      </c>
      <c r="L51" s="10">
        <f ca="1">DATEDIF(HR_Data5[[#This Row],[Joining Date]],TODAY(),"Y")</f>
        <v>6</v>
      </c>
      <c r="M51" s="10" t="str">
        <f>IF(HR_Data5[[#This Row],[Salary]]&lt;55000,"Low",IF(HR_Data5[[#This Row],[Salary]]&lt;=65000,"Medium","High"))</f>
        <v>High</v>
      </c>
      <c r="N51" s="10">
        <f>YEAR(HR_Data5[[#This Row],[Joining Date]])</f>
        <v>2019</v>
      </c>
      <c r="O51" s="10" cm="1">
        <f t="array" ref="O51">_xlfn.SWITCH(HR_Data5[[#This Row],[Performance Score]],
"A",5,
"B",4,
"C",3,
"D",2,
"F",1)</f>
        <v>2</v>
      </c>
      <c r="P51" s="10"/>
      <c r="Q51" t="str">
        <f ca="1"/>
        <v>David</v>
      </c>
      <c r="R51">
        <f ca="1"/>
        <v>30</v>
      </c>
      <c r="S51" t="str">
        <f ca="1"/>
        <v/>
      </c>
      <c r="T51" t="str">
        <f ca="1"/>
        <v>Female</v>
      </c>
      <c r="U51" t="str">
        <f ca="1"/>
        <v>HR</v>
      </c>
      <c r="V51" t="str">
        <f ca="1"/>
        <v>Director</v>
      </c>
      <c r="W51">
        <f ca="1"/>
        <v>43800</v>
      </c>
      <c r="X51" t="str">
        <f ca="1"/>
        <v>B</v>
      </c>
      <c r="Y51" t="str">
        <f ca="1"/>
        <v>email@example.com</v>
      </c>
      <c r="Z51" t="str">
        <f ca="1"/>
        <v>123-456-7890</v>
      </c>
      <c r="AA51" t="str">
        <f ca="1"/>
        <v>Mid-Career</v>
      </c>
      <c r="AB51">
        <f ca="1"/>
        <v>6</v>
      </c>
      <c r="AC51" t="str">
        <f ca="1"/>
        <v>High</v>
      </c>
      <c r="AD51">
        <f ca="1"/>
        <v>2019</v>
      </c>
      <c r="AE51">
        <f ca="1"/>
        <v>4</v>
      </c>
    </row>
    <row r="52" spans="1:31" x14ac:dyDescent="0.3">
      <c r="A52" t="s">
        <v>56</v>
      </c>
      <c r="B52">
        <v>30</v>
      </c>
      <c r="C52" s="6">
        <v>50000</v>
      </c>
      <c r="D52" t="s">
        <v>18</v>
      </c>
      <c r="E52" t="s">
        <v>26</v>
      </c>
      <c r="F52" t="s">
        <v>43</v>
      </c>
      <c r="G52" s="7">
        <v>43195</v>
      </c>
      <c r="H52" t="s">
        <v>14</v>
      </c>
      <c r="I52" t="s">
        <v>22</v>
      </c>
      <c r="J52" t="s">
        <v>28</v>
      </c>
      <c r="K52" t="str">
        <f>IF(HR_Data5[[#This Row],[Age]]&lt;30,"Young",IF(HR_Data5[[#This Row],[Age]]&lt;=45,"Mid-Career","Senior"))</f>
        <v>Mid-Career</v>
      </c>
      <c r="L52" s="10">
        <f ca="1">DATEDIF(HR_Data5[[#This Row],[Joining Date]],TODAY(),"Y")</f>
        <v>7</v>
      </c>
      <c r="M52" s="10" t="str">
        <f>IF(HR_Data5[[#This Row],[Salary]]&lt;55000,"Low",IF(HR_Data5[[#This Row],[Salary]]&lt;=65000,"Medium","High"))</f>
        <v>Low</v>
      </c>
      <c r="N52" s="10">
        <f>YEAR(HR_Data5[[#This Row],[Joining Date]])</f>
        <v>2018</v>
      </c>
      <c r="O52" s="10" cm="1">
        <f t="array" ref="O52">_xlfn.SWITCH(HR_Data5[[#This Row],[Performance Score]],
"A",5,
"B",4,
"C",3,
"D",2,
"F",1)</f>
        <v>2</v>
      </c>
      <c r="P52" s="10"/>
      <c r="Q52" t="str">
        <f ca="1"/>
        <v>Charlie</v>
      </c>
      <c r="R52">
        <f ca="1"/>
        <v>40</v>
      </c>
      <c r="S52" t="str">
        <f ca="1"/>
        <v/>
      </c>
      <c r="T52" t="str">
        <f ca="1"/>
        <v>Female</v>
      </c>
      <c r="U52" t="str">
        <f ca="1"/>
        <v>HR</v>
      </c>
      <c r="V52" t="str">
        <f ca="1"/>
        <v>Clerk</v>
      </c>
      <c r="W52">
        <f ca="1"/>
        <v>43800</v>
      </c>
      <c r="X52" t="str">
        <f ca="1"/>
        <v>A</v>
      </c>
      <c r="Y52" t="str">
        <f ca="1"/>
        <v>email@example.com</v>
      </c>
      <c r="Z52" t="str">
        <f ca="1"/>
        <v>098-765-4321</v>
      </c>
      <c r="AA52" t="str">
        <f ca="1"/>
        <v>Mid-Career</v>
      </c>
      <c r="AB52">
        <f ca="1"/>
        <v>6</v>
      </c>
      <c r="AC52" t="str">
        <f ca="1"/>
        <v>High</v>
      </c>
      <c r="AD52">
        <f ca="1"/>
        <v>2019</v>
      </c>
      <c r="AE52">
        <f ca="1"/>
        <v>5</v>
      </c>
    </row>
    <row r="53" spans="1:31" x14ac:dyDescent="0.3">
      <c r="A53" t="s">
        <v>59</v>
      </c>
      <c r="B53">
        <v>35</v>
      </c>
      <c r="C53" s="6">
        <v>65000</v>
      </c>
      <c r="D53" t="s">
        <v>36</v>
      </c>
      <c r="E53" t="s">
        <v>37</v>
      </c>
      <c r="F53" t="s">
        <v>13</v>
      </c>
      <c r="G53" s="7">
        <v>43845</v>
      </c>
      <c r="H53" t="s">
        <v>14</v>
      </c>
      <c r="I53" t="s">
        <v>69</v>
      </c>
      <c r="J53" t="s">
        <v>28</v>
      </c>
      <c r="K53" t="str">
        <f>IF(HR_Data5[[#This Row],[Age]]&lt;30,"Young",IF(HR_Data5[[#This Row],[Age]]&lt;=45,"Mid-Career","Senior"))</f>
        <v>Mid-Career</v>
      </c>
      <c r="L53" s="10">
        <f ca="1">DATEDIF(HR_Data5[[#This Row],[Joining Date]],TODAY(),"Y")</f>
        <v>6</v>
      </c>
      <c r="M53" s="10" t="str">
        <f>IF(HR_Data5[[#This Row],[Salary]]&lt;55000,"Low",IF(HR_Data5[[#This Row],[Salary]]&lt;=65000,"Medium","High"))</f>
        <v>Medium</v>
      </c>
      <c r="N53" s="10">
        <f>YEAR(HR_Data5[[#This Row],[Joining Date]])</f>
        <v>2020</v>
      </c>
      <c r="O53" s="10" cm="1">
        <f t="array" ref="O53">_xlfn.SWITCH(HR_Data5[[#This Row],[Performance Score]],
"A",5,
"B",4,
"C",3,
"D",2,
"F",1)</f>
        <v>2</v>
      </c>
      <c r="P53" s="10"/>
      <c r="Q53" t="str">
        <f ca="1"/>
        <v>Alice</v>
      </c>
      <c r="R53">
        <f ca="1"/>
        <v>50</v>
      </c>
      <c r="S53" t="str">
        <f ca="1"/>
        <v/>
      </c>
      <c r="T53" t="str">
        <f ca="1"/>
        <v>Other</v>
      </c>
      <c r="U53" t="str">
        <f ca="1"/>
        <v>HR</v>
      </c>
      <c r="V53" t="str">
        <f ca="1"/>
        <v>Clerk</v>
      </c>
      <c r="W53">
        <f ca="1"/>
        <v>43881</v>
      </c>
      <c r="X53" t="str">
        <f ca="1"/>
        <v>B</v>
      </c>
      <c r="Y53" t="str">
        <f ca="1"/>
        <v>Missing</v>
      </c>
      <c r="Z53" t="str">
        <f ca="1"/>
        <v>123-456-7890</v>
      </c>
      <c r="AA53" t="str">
        <f ca="1"/>
        <v>Senior</v>
      </c>
      <c r="AB53">
        <f ca="1"/>
        <v>6</v>
      </c>
      <c r="AC53" t="str">
        <f ca="1"/>
        <v>High</v>
      </c>
      <c r="AD53">
        <f ca="1"/>
        <v>2020</v>
      </c>
      <c r="AE53">
        <f ca="1"/>
        <v>4</v>
      </c>
    </row>
    <row r="54" spans="1:31" x14ac:dyDescent="0.3">
      <c r="A54" t="s">
        <v>52</v>
      </c>
      <c r="B54">
        <v>30</v>
      </c>
      <c r="C54" s="6">
        <v>55000</v>
      </c>
      <c r="D54" t="s">
        <v>18</v>
      </c>
      <c r="E54" t="s">
        <v>37</v>
      </c>
      <c r="F54" t="s">
        <v>13</v>
      </c>
      <c r="G54" s="7">
        <v>43845</v>
      </c>
      <c r="H54" t="s">
        <v>27</v>
      </c>
      <c r="I54" t="s">
        <v>69</v>
      </c>
      <c r="J54" t="s">
        <v>28</v>
      </c>
      <c r="K54" t="str">
        <f>IF(HR_Data5[[#This Row],[Age]]&lt;30,"Young",IF(HR_Data5[[#This Row],[Age]]&lt;=45,"Mid-Career","Senior"))</f>
        <v>Mid-Career</v>
      </c>
      <c r="L54" s="10">
        <f ca="1">DATEDIF(HR_Data5[[#This Row],[Joining Date]],TODAY(),"Y")</f>
        <v>6</v>
      </c>
      <c r="M54" s="10" t="str">
        <f>IF(HR_Data5[[#This Row],[Salary]]&lt;55000,"Low",IF(HR_Data5[[#This Row],[Salary]]&lt;=65000,"Medium","High"))</f>
        <v>Medium</v>
      </c>
      <c r="N54" s="10">
        <f>YEAR(HR_Data5[[#This Row],[Joining Date]])</f>
        <v>2020</v>
      </c>
      <c r="O54" s="10" cm="1">
        <f t="array" ref="O54">_xlfn.SWITCH(HR_Data5[[#This Row],[Performance Score]],
"A",5,
"B",4,
"C",3,
"D",2,
"F",1)</f>
        <v>3</v>
      </c>
      <c r="P54" s="10"/>
      <c r="Q54" t="str">
        <f ca="1"/>
        <v>Grace</v>
      </c>
      <c r="R54">
        <f ca="1"/>
        <v>30</v>
      </c>
      <c r="S54" t="str">
        <f ca="1"/>
        <v/>
      </c>
      <c r="T54" t="str">
        <f ca="1"/>
        <v>Male</v>
      </c>
      <c r="U54" t="str">
        <f ca="1"/>
        <v>HR</v>
      </c>
      <c r="V54" t="str">
        <f ca="1"/>
        <v>Clerk</v>
      </c>
      <c r="W54">
        <f ca="1"/>
        <v>43549</v>
      </c>
      <c r="X54" t="str">
        <f ca="1"/>
        <v>D</v>
      </c>
      <c r="Y54" t="str">
        <f ca="1"/>
        <v>email@example.com</v>
      </c>
      <c r="Z54" t="str">
        <f ca="1"/>
        <v>555-555-5555</v>
      </c>
      <c r="AA54" t="str">
        <f ca="1"/>
        <v>Mid-Career</v>
      </c>
      <c r="AB54">
        <f ca="1"/>
        <v>6</v>
      </c>
      <c r="AC54" t="str">
        <f ca="1"/>
        <v>High</v>
      </c>
      <c r="AD54">
        <f ca="1"/>
        <v>2019</v>
      </c>
      <c r="AE54">
        <f ca="1"/>
        <v>2</v>
      </c>
    </row>
    <row r="55" spans="1:31" x14ac:dyDescent="0.3">
      <c r="A55" t="s">
        <v>58</v>
      </c>
      <c r="B55">
        <v>35</v>
      </c>
      <c r="C55" s="6">
        <v>70000</v>
      </c>
      <c r="D55" t="s">
        <v>18</v>
      </c>
      <c r="E55" t="s">
        <v>30</v>
      </c>
      <c r="F55" t="s">
        <v>20</v>
      </c>
      <c r="G55" s="7">
        <v>43549</v>
      </c>
      <c r="H55" t="s">
        <v>31</v>
      </c>
      <c r="I55" t="s">
        <v>69</v>
      </c>
      <c r="J55" t="s">
        <v>28</v>
      </c>
      <c r="K55" t="str">
        <f>IF(HR_Data5[[#This Row],[Age]]&lt;30,"Young",IF(HR_Data5[[#This Row],[Age]]&lt;=45,"Mid-Career","Senior"))</f>
        <v>Mid-Career</v>
      </c>
      <c r="L55" s="10">
        <f ca="1">DATEDIF(HR_Data5[[#This Row],[Joining Date]],TODAY(),"Y")</f>
        <v>6</v>
      </c>
      <c r="M55" s="10" t="str">
        <f>IF(HR_Data5[[#This Row],[Salary]]&lt;55000,"Low",IF(HR_Data5[[#This Row],[Salary]]&lt;=65000,"Medium","High"))</f>
        <v>High</v>
      </c>
      <c r="N55" s="10">
        <f>YEAR(HR_Data5[[#This Row],[Joining Date]])</f>
        <v>2019</v>
      </c>
      <c r="O55" s="10" cm="1">
        <f t="array" ref="O55">_xlfn.SWITCH(HR_Data5[[#This Row],[Performance Score]],
"A",5,
"B",4,
"C",3,
"D",2,
"F",1)</f>
        <v>5</v>
      </c>
      <c r="P55" s="10"/>
      <c r="Q55" t="str">
        <f ca="1"/>
        <v>Charlie</v>
      </c>
      <c r="R55">
        <f ca="1"/>
        <v>30</v>
      </c>
      <c r="S55" t="str">
        <f ca="1"/>
        <v/>
      </c>
      <c r="T55" t="str">
        <f ca="1"/>
        <v>Other</v>
      </c>
      <c r="U55" t="str">
        <f ca="1"/>
        <v>HR</v>
      </c>
      <c r="V55" t="str">
        <f ca="1"/>
        <v>Assistant</v>
      </c>
      <c r="W55">
        <f ca="1"/>
        <v>43549</v>
      </c>
      <c r="X55" t="str">
        <f ca="1"/>
        <v>B</v>
      </c>
      <c r="Y55" t="str">
        <f ca="1"/>
        <v>name@company.org</v>
      </c>
      <c r="Z55" t="str">
        <f ca="1"/>
        <v>Missing</v>
      </c>
      <c r="AA55" t="str">
        <f ca="1"/>
        <v>Mid-Career</v>
      </c>
      <c r="AB55">
        <f ca="1"/>
        <v>6</v>
      </c>
      <c r="AC55" t="str">
        <f ca="1"/>
        <v>High</v>
      </c>
      <c r="AD55">
        <f ca="1"/>
        <v>2019</v>
      </c>
      <c r="AE55">
        <f ca="1"/>
        <v>4</v>
      </c>
    </row>
    <row r="56" spans="1:31" x14ac:dyDescent="0.3">
      <c r="A56" t="s">
        <v>53</v>
      </c>
      <c r="B56">
        <v>25</v>
      </c>
      <c r="C56" s="6">
        <v>60000</v>
      </c>
      <c r="D56" t="s">
        <v>11</v>
      </c>
      <c r="E56" t="s">
        <v>19</v>
      </c>
      <c r="F56" t="s">
        <v>13</v>
      </c>
      <c r="G56" s="7">
        <v>43549</v>
      </c>
      <c r="H56" t="s">
        <v>41</v>
      </c>
      <c r="I56" t="s">
        <v>69</v>
      </c>
      <c r="J56" t="s">
        <v>69</v>
      </c>
      <c r="K56" t="str">
        <f>IF(HR_Data5[[#This Row],[Age]]&lt;30,"Young",IF(HR_Data5[[#This Row],[Age]]&lt;=45,"Mid-Career","Senior"))</f>
        <v>Young</v>
      </c>
      <c r="L56" s="10">
        <f ca="1">DATEDIF(HR_Data5[[#This Row],[Joining Date]],TODAY(),"Y")</f>
        <v>6</v>
      </c>
      <c r="M56" s="10" t="str">
        <f>IF(HR_Data5[[#This Row],[Salary]]&lt;55000,"Low",IF(HR_Data5[[#This Row],[Salary]]&lt;=65000,"Medium","High"))</f>
        <v>Medium</v>
      </c>
      <c r="N56" s="10">
        <f>YEAR(HR_Data5[[#This Row],[Joining Date]])</f>
        <v>2019</v>
      </c>
      <c r="O56" s="10" cm="1">
        <f t="array" ref="O56">_xlfn.SWITCH(HR_Data5[[#This Row],[Performance Score]],
"A",5,
"B",4,
"C",3,
"D",2,
"F",1)</f>
        <v>4</v>
      </c>
      <c r="P56" s="10"/>
      <c r="Q56" t="str">
        <f ca="1"/>
        <v>Charlie</v>
      </c>
      <c r="R56">
        <f ca="1"/>
        <v>40</v>
      </c>
      <c r="S56" t="str">
        <f ca="1"/>
        <v/>
      </c>
      <c r="T56" t="str">
        <f ca="1"/>
        <v>Male</v>
      </c>
      <c r="U56" t="str">
        <f ca="1"/>
        <v>HR</v>
      </c>
      <c r="V56" t="str">
        <f ca="1"/>
        <v>Director</v>
      </c>
      <c r="W56">
        <f ca="1"/>
        <v>43881</v>
      </c>
      <c r="X56" t="str">
        <f ca="1"/>
        <v>C</v>
      </c>
      <c r="Y56" t="str">
        <f ca="1"/>
        <v>Missing</v>
      </c>
      <c r="Z56" t="str">
        <f ca="1"/>
        <v>123-456-7890</v>
      </c>
      <c r="AA56" t="str">
        <f ca="1"/>
        <v>Mid-Career</v>
      </c>
      <c r="AB56">
        <f ca="1"/>
        <v>6</v>
      </c>
      <c r="AC56" t="str">
        <f ca="1"/>
        <v>High</v>
      </c>
      <c r="AD56">
        <f ca="1"/>
        <v>2020</v>
      </c>
      <c r="AE56">
        <f ca="1"/>
        <v>3</v>
      </c>
    </row>
    <row r="57" spans="1:31" x14ac:dyDescent="0.3">
      <c r="A57" t="s">
        <v>52</v>
      </c>
      <c r="B57">
        <v>35</v>
      </c>
      <c r="C57" s="6">
        <v>65000</v>
      </c>
      <c r="D57" t="s">
        <v>18</v>
      </c>
      <c r="E57" t="s">
        <v>26</v>
      </c>
      <c r="F57" t="s">
        <v>44</v>
      </c>
      <c r="G57" s="7">
        <v>43549</v>
      </c>
      <c r="H57" t="s">
        <v>31</v>
      </c>
      <c r="I57" t="s">
        <v>22</v>
      </c>
      <c r="J57" t="s">
        <v>23</v>
      </c>
      <c r="K57" t="str">
        <f>IF(HR_Data5[[#This Row],[Age]]&lt;30,"Young",IF(HR_Data5[[#This Row],[Age]]&lt;=45,"Mid-Career","Senior"))</f>
        <v>Mid-Career</v>
      </c>
      <c r="L57" s="10">
        <f ca="1">DATEDIF(HR_Data5[[#This Row],[Joining Date]],TODAY(),"Y")</f>
        <v>6</v>
      </c>
      <c r="M57" s="10" t="str">
        <f>IF(HR_Data5[[#This Row],[Salary]]&lt;55000,"Low",IF(HR_Data5[[#This Row],[Salary]]&lt;=65000,"Medium","High"))</f>
        <v>Medium</v>
      </c>
      <c r="N57" s="10">
        <f>YEAR(HR_Data5[[#This Row],[Joining Date]])</f>
        <v>2019</v>
      </c>
      <c r="O57" s="10" cm="1">
        <f t="array" ref="O57">_xlfn.SWITCH(HR_Data5[[#This Row],[Performance Score]],
"A",5,
"B",4,
"C",3,
"D",2,
"F",1)</f>
        <v>5</v>
      </c>
      <c r="P57" s="10"/>
      <c r="Q57" t="str">
        <f ca="1"/>
        <v>Ivy</v>
      </c>
      <c r="R57">
        <f ca="1"/>
        <v>36</v>
      </c>
      <c r="S57" t="str">
        <f ca="1"/>
        <v/>
      </c>
      <c r="T57" t="str">
        <f ca="1"/>
        <v>Female</v>
      </c>
      <c r="U57" t="str">
        <f ca="1"/>
        <v>HR</v>
      </c>
      <c r="V57" t="str">
        <f ca="1"/>
        <v>Director</v>
      </c>
      <c r="W57">
        <f ca="1"/>
        <v>43800</v>
      </c>
      <c r="X57" t="str">
        <f ca="1"/>
        <v>C</v>
      </c>
      <c r="Y57" t="str">
        <f ca="1"/>
        <v>name@company.org</v>
      </c>
      <c r="Z57" t="str">
        <f ca="1"/>
        <v>Missing</v>
      </c>
      <c r="AA57" t="str">
        <f ca="1"/>
        <v>Mid-Career</v>
      </c>
      <c r="AB57">
        <f ca="1"/>
        <v>6</v>
      </c>
      <c r="AC57" t="str">
        <f ca="1"/>
        <v>High</v>
      </c>
      <c r="AD57">
        <f ca="1"/>
        <v>2019</v>
      </c>
      <c r="AE57">
        <f ca="1"/>
        <v>3</v>
      </c>
    </row>
    <row r="58" spans="1:31" x14ac:dyDescent="0.3">
      <c r="A58" t="s">
        <v>58</v>
      </c>
      <c r="B58">
        <v>35</v>
      </c>
      <c r="C58" s="6">
        <v>70000</v>
      </c>
      <c r="D58" t="s">
        <v>18</v>
      </c>
      <c r="E58" t="s">
        <v>30</v>
      </c>
      <c r="F58" t="s">
        <v>44</v>
      </c>
      <c r="G58" s="7">
        <v>43881</v>
      </c>
      <c r="H58" t="s">
        <v>41</v>
      </c>
      <c r="I58" t="s">
        <v>15</v>
      </c>
      <c r="J58" t="s">
        <v>69</v>
      </c>
      <c r="K58" t="str">
        <f>IF(HR_Data5[[#This Row],[Age]]&lt;30,"Young",IF(HR_Data5[[#This Row],[Age]]&lt;=45,"Mid-Career","Senior"))</f>
        <v>Mid-Career</v>
      </c>
      <c r="L58" s="10">
        <f ca="1">DATEDIF(HR_Data5[[#This Row],[Joining Date]],TODAY(),"Y")</f>
        <v>6</v>
      </c>
      <c r="M58" s="10" t="str">
        <f>IF(HR_Data5[[#This Row],[Salary]]&lt;55000,"Low",IF(HR_Data5[[#This Row],[Salary]]&lt;=65000,"Medium","High"))</f>
        <v>High</v>
      </c>
      <c r="N58" s="10">
        <f>YEAR(HR_Data5[[#This Row],[Joining Date]])</f>
        <v>2020</v>
      </c>
      <c r="O58" s="10" cm="1">
        <f t="array" ref="O58">_xlfn.SWITCH(HR_Data5[[#This Row],[Performance Score]],
"A",5,
"B",4,
"C",3,
"D",2,
"F",1)</f>
        <v>4</v>
      </c>
      <c r="P58" s="10"/>
      <c r="Q58" t="str">
        <f ca="1"/>
        <v>Eve</v>
      </c>
      <c r="R58">
        <f ca="1"/>
        <v>36</v>
      </c>
      <c r="S58" t="str">
        <f ca="1"/>
        <v/>
      </c>
      <c r="T58" t="str">
        <f ca="1"/>
        <v>Female</v>
      </c>
      <c r="U58" t="str">
        <f ca="1"/>
        <v>HR</v>
      </c>
      <c r="V58" t="str">
        <f ca="1"/>
        <v>Director</v>
      </c>
      <c r="W58">
        <f ca="1"/>
        <v>43195</v>
      </c>
      <c r="X58" t="str">
        <f ca="1"/>
        <v>B</v>
      </c>
      <c r="Y58" t="str">
        <f ca="1"/>
        <v>Missing</v>
      </c>
      <c r="Z58" t="str">
        <f ca="1"/>
        <v>Missing</v>
      </c>
      <c r="AA58" t="str">
        <f ca="1"/>
        <v>Mid-Career</v>
      </c>
      <c r="AB58">
        <f ca="1"/>
        <v>7</v>
      </c>
      <c r="AC58" t="str">
        <f ca="1"/>
        <v>High</v>
      </c>
      <c r="AD58">
        <f ca="1"/>
        <v>2018</v>
      </c>
      <c r="AE58">
        <f ca="1"/>
        <v>4</v>
      </c>
    </row>
    <row r="59" spans="1:31" x14ac:dyDescent="0.3">
      <c r="A59" t="s">
        <v>57</v>
      </c>
      <c r="B59">
        <v>36</v>
      </c>
      <c r="C59" s="6">
        <v>50000</v>
      </c>
      <c r="D59" t="s">
        <v>11</v>
      </c>
      <c r="E59" t="s">
        <v>37</v>
      </c>
      <c r="F59" t="s">
        <v>39</v>
      </c>
      <c r="G59" s="7">
        <v>43195</v>
      </c>
      <c r="H59" t="s">
        <v>14</v>
      </c>
      <c r="I59" t="s">
        <v>69</v>
      </c>
      <c r="J59" t="s">
        <v>28</v>
      </c>
      <c r="K59" t="str">
        <f>IF(HR_Data5[[#This Row],[Age]]&lt;30,"Young",IF(HR_Data5[[#This Row],[Age]]&lt;=45,"Mid-Career","Senior"))</f>
        <v>Mid-Career</v>
      </c>
      <c r="L59" s="10">
        <f ca="1">DATEDIF(HR_Data5[[#This Row],[Joining Date]],TODAY(),"Y")</f>
        <v>7</v>
      </c>
      <c r="M59" s="10" t="str">
        <f>IF(HR_Data5[[#This Row],[Salary]]&lt;55000,"Low",IF(HR_Data5[[#This Row],[Salary]]&lt;=65000,"Medium","High"))</f>
        <v>Low</v>
      </c>
      <c r="N59" s="10">
        <f>YEAR(HR_Data5[[#This Row],[Joining Date]])</f>
        <v>2018</v>
      </c>
      <c r="O59" s="10" cm="1">
        <f t="array" ref="O59">_xlfn.SWITCH(HR_Data5[[#This Row],[Performance Score]],
"A",5,
"B",4,
"C",3,
"D",2,
"F",1)</f>
        <v>2</v>
      </c>
      <c r="P59" s="10"/>
      <c r="Q59" t="str">
        <f ca="1"/>
        <v>Ivy</v>
      </c>
      <c r="R59">
        <f ca="1"/>
        <v>40</v>
      </c>
      <c r="S59">
        <f ca="1"/>
        <v>70000</v>
      </c>
      <c r="T59" t="str">
        <f ca="1"/>
        <v>Female</v>
      </c>
      <c r="U59" t="str">
        <f ca="1"/>
        <v>HR</v>
      </c>
      <c r="V59" t="str">
        <f ca="1"/>
        <v>Assistant</v>
      </c>
      <c r="W59">
        <f ca="1"/>
        <v>43195</v>
      </c>
      <c r="X59" t="str">
        <f ca="1"/>
        <v>C</v>
      </c>
      <c r="Y59" t="str">
        <f ca="1"/>
        <v>email@example.com</v>
      </c>
      <c r="Z59" t="str">
        <f ca="1"/>
        <v>Missing</v>
      </c>
      <c r="AA59" t="str">
        <f ca="1"/>
        <v>Mid-Career</v>
      </c>
      <c r="AB59">
        <f ca="1"/>
        <v>7</v>
      </c>
      <c r="AC59" t="str">
        <f ca="1"/>
        <v>High</v>
      </c>
      <c r="AD59">
        <f ca="1"/>
        <v>2018</v>
      </c>
      <c r="AE59">
        <f ca="1"/>
        <v>3</v>
      </c>
    </row>
    <row r="60" spans="1:31" x14ac:dyDescent="0.3">
      <c r="A60" t="s">
        <v>57</v>
      </c>
      <c r="B60">
        <v>35</v>
      </c>
      <c r="C60" s="6">
        <v>50000</v>
      </c>
      <c r="D60" t="s">
        <v>11</v>
      </c>
      <c r="E60" t="s">
        <v>30</v>
      </c>
      <c r="F60" t="s">
        <v>20</v>
      </c>
      <c r="G60" s="7">
        <v>43195</v>
      </c>
      <c r="H60" t="s">
        <v>31</v>
      </c>
      <c r="I60" t="s">
        <v>15</v>
      </c>
      <c r="J60" t="s">
        <v>69</v>
      </c>
      <c r="K60" t="str">
        <f>IF(HR_Data5[[#This Row],[Age]]&lt;30,"Young",IF(HR_Data5[[#This Row],[Age]]&lt;=45,"Mid-Career","Senior"))</f>
        <v>Mid-Career</v>
      </c>
      <c r="L60" s="10">
        <f ca="1">DATEDIF(HR_Data5[[#This Row],[Joining Date]],TODAY(),"Y")</f>
        <v>7</v>
      </c>
      <c r="M60" s="10" t="str">
        <f>IF(HR_Data5[[#This Row],[Salary]]&lt;55000,"Low",IF(HR_Data5[[#This Row],[Salary]]&lt;=65000,"Medium","High"))</f>
        <v>Low</v>
      </c>
      <c r="N60" s="10">
        <f>YEAR(HR_Data5[[#This Row],[Joining Date]])</f>
        <v>2018</v>
      </c>
      <c r="O60" s="10" cm="1">
        <f t="array" ref="O60">_xlfn.SWITCH(HR_Data5[[#This Row],[Performance Score]],
"A",5,
"B",4,
"C",3,
"D",2,
"F",1)</f>
        <v>5</v>
      </c>
      <c r="P60" s="10"/>
      <c r="Q60" t="str">
        <f ca="1"/>
        <v>Hannah</v>
      </c>
      <c r="R60">
        <f ca="1"/>
        <v>25</v>
      </c>
      <c r="S60">
        <f ca="1"/>
        <v>70000</v>
      </c>
      <c r="T60" t="str">
        <f ca="1"/>
        <v>Other</v>
      </c>
      <c r="U60" t="str">
        <f ca="1"/>
        <v>HR</v>
      </c>
      <c r="V60" t="str">
        <f ca="1"/>
        <v>Analyst</v>
      </c>
      <c r="W60">
        <f ca="1"/>
        <v>43800</v>
      </c>
      <c r="X60" t="str">
        <f ca="1"/>
        <v>F</v>
      </c>
      <c r="Y60" t="str">
        <f ca="1"/>
        <v>user@domain.com</v>
      </c>
      <c r="Z60" t="str">
        <f ca="1"/>
        <v>098-765-4321</v>
      </c>
      <c r="AA60" t="str">
        <f ca="1"/>
        <v>Young</v>
      </c>
      <c r="AB60">
        <f ca="1"/>
        <v>6</v>
      </c>
      <c r="AC60" t="str">
        <f ca="1"/>
        <v>High</v>
      </c>
      <c r="AD60">
        <f ca="1"/>
        <v>2019</v>
      </c>
      <c r="AE60">
        <f ca="1"/>
        <v>1</v>
      </c>
    </row>
    <row r="61" spans="1:31" x14ac:dyDescent="0.3">
      <c r="A61" t="s">
        <v>55</v>
      </c>
      <c r="B61">
        <v>35</v>
      </c>
      <c r="C61" s="6">
        <v>50000</v>
      </c>
      <c r="D61" t="s">
        <v>36</v>
      </c>
      <c r="E61" t="s">
        <v>19</v>
      </c>
      <c r="F61" t="s">
        <v>39</v>
      </c>
      <c r="G61" s="7">
        <v>43195</v>
      </c>
      <c r="H61" t="s">
        <v>14</v>
      </c>
      <c r="I61" t="s">
        <v>22</v>
      </c>
      <c r="J61" t="s">
        <v>69</v>
      </c>
      <c r="K61" t="str">
        <f>IF(HR_Data5[[#This Row],[Age]]&lt;30,"Young",IF(HR_Data5[[#This Row],[Age]]&lt;=45,"Mid-Career","Senior"))</f>
        <v>Mid-Career</v>
      </c>
      <c r="L61" s="10">
        <f ca="1">DATEDIF(HR_Data5[[#This Row],[Joining Date]],TODAY(),"Y")</f>
        <v>7</v>
      </c>
      <c r="M61" s="10" t="str">
        <f>IF(HR_Data5[[#This Row],[Salary]]&lt;55000,"Low",IF(HR_Data5[[#This Row],[Salary]]&lt;=65000,"Medium","High"))</f>
        <v>Low</v>
      </c>
      <c r="N61" s="10">
        <f>YEAR(HR_Data5[[#This Row],[Joining Date]])</f>
        <v>2018</v>
      </c>
      <c r="O61" s="10" cm="1">
        <f t="array" ref="O61">_xlfn.SWITCH(HR_Data5[[#This Row],[Performance Score]],
"A",5,
"B",4,
"C",3,
"D",2,
"F",1)</f>
        <v>2</v>
      </c>
      <c r="P61" s="10"/>
      <c r="Q61" t="str">
        <f ca="1"/>
        <v>Hannah</v>
      </c>
      <c r="R61">
        <f ca="1"/>
        <v>25</v>
      </c>
      <c r="S61">
        <f ca="1"/>
        <v>70000</v>
      </c>
      <c r="T61" t="str">
        <f ca="1"/>
        <v>Female</v>
      </c>
      <c r="U61" t="str">
        <f ca="1"/>
        <v>HR</v>
      </c>
      <c r="V61" t="str">
        <f ca="1"/>
        <v>Analyst</v>
      </c>
      <c r="W61">
        <f ca="1"/>
        <v>43845</v>
      </c>
      <c r="X61" t="str">
        <f ca="1"/>
        <v>D</v>
      </c>
      <c r="Y61" t="str">
        <f ca="1"/>
        <v>email@example.com</v>
      </c>
      <c r="Z61" t="str">
        <f ca="1"/>
        <v>Missing</v>
      </c>
      <c r="AA61" t="str">
        <f ca="1"/>
        <v>Young</v>
      </c>
      <c r="AB61">
        <f ca="1"/>
        <v>6</v>
      </c>
      <c r="AC61" t="str">
        <f ca="1"/>
        <v>High</v>
      </c>
      <c r="AD61">
        <f ca="1"/>
        <v>2020</v>
      </c>
      <c r="AE61">
        <f ca="1"/>
        <v>2</v>
      </c>
    </row>
    <row r="62" spans="1:31" x14ac:dyDescent="0.3">
      <c r="A62" t="s">
        <v>52</v>
      </c>
      <c r="B62">
        <v>50</v>
      </c>
      <c r="C62" s="6">
        <v>50000</v>
      </c>
      <c r="D62" t="s">
        <v>18</v>
      </c>
      <c r="E62" t="s">
        <v>26</v>
      </c>
      <c r="F62" t="s">
        <v>44</v>
      </c>
      <c r="G62" s="7">
        <v>43195</v>
      </c>
      <c r="H62" t="s">
        <v>21</v>
      </c>
      <c r="I62" t="s">
        <v>22</v>
      </c>
      <c r="J62" t="s">
        <v>69</v>
      </c>
      <c r="K62" t="str">
        <f>IF(HR_Data5[[#This Row],[Age]]&lt;30,"Young",IF(HR_Data5[[#This Row],[Age]]&lt;=45,"Mid-Career","Senior"))</f>
        <v>Senior</v>
      </c>
      <c r="L62" s="10">
        <f ca="1">DATEDIF(HR_Data5[[#This Row],[Joining Date]],TODAY(),"Y")</f>
        <v>7</v>
      </c>
      <c r="M62" s="10" t="str">
        <f>IF(HR_Data5[[#This Row],[Salary]]&lt;55000,"Low",IF(HR_Data5[[#This Row],[Salary]]&lt;=65000,"Medium","High"))</f>
        <v>Low</v>
      </c>
      <c r="N62" s="10">
        <f>YEAR(HR_Data5[[#This Row],[Joining Date]])</f>
        <v>2018</v>
      </c>
      <c r="O62" s="10" cm="1">
        <f t="array" ref="O62">_xlfn.SWITCH(HR_Data5[[#This Row],[Performance Score]],
"A",5,
"B",4,
"C",3,
"D",2,
"F",1)</f>
        <v>1</v>
      </c>
      <c r="P62" s="10"/>
      <c r="Q62" t="str">
        <f ca="1"/>
        <v>Grace</v>
      </c>
      <c r="R62">
        <f ca="1"/>
        <v>50</v>
      </c>
      <c r="S62">
        <f ca="1"/>
        <v>70000</v>
      </c>
      <c r="T62" t="str">
        <f ca="1"/>
        <v>Male</v>
      </c>
      <c r="U62" t="str">
        <f ca="1"/>
        <v>HR</v>
      </c>
      <c r="V62" t="str">
        <f ca="1"/>
        <v>Manager</v>
      </c>
      <c r="W62">
        <f ca="1"/>
        <v>43800</v>
      </c>
      <c r="X62" t="str">
        <f ca="1"/>
        <v>B</v>
      </c>
      <c r="Y62" t="str">
        <f ca="1"/>
        <v>email@example.com</v>
      </c>
      <c r="Z62" t="str">
        <f ca="1"/>
        <v>555-555-5555</v>
      </c>
      <c r="AA62" t="str">
        <f ca="1"/>
        <v>Senior</v>
      </c>
      <c r="AB62">
        <f ca="1"/>
        <v>6</v>
      </c>
      <c r="AC62" t="str">
        <f ca="1"/>
        <v>High</v>
      </c>
      <c r="AD62">
        <f ca="1"/>
        <v>2019</v>
      </c>
      <c r="AE62">
        <f ca="1"/>
        <v>4</v>
      </c>
    </row>
    <row r="63" spans="1:31" x14ac:dyDescent="0.3">
      <c r="A63" t="s">
        <v>57</v>
      </c>
      <c r="B63">
        <v>25</v>
      </c>
      <c r="C63" s="6">
        <v>60000</v>
      </c>
      <c r="D63" t="s">
        <v>11</v>
      </c>
      <c r="E63" t="s">
        <v>19</v>
      </c>
      <c r="F63" t="s">
        <v>39</v>
      </c>
      <c r="G63" s="7">
        <v>43549</v>
      </c>
      <c r="H63" t="s">
        <v>14</v>
      </c>
      <c r="I63" t="s">
        <v>69</v>
      </c>
      <c r="J63" t="s">
        <v>28</v>
      </c>
      <c r="K63" t="str">
        <f>IF(HR_Data5[[#This Row],[Age]]&lt;30,"Young",IF(HR_Data5[[#This Row],[Age]]&lt;=45,"Mid-Career","Senior"))</f>
        <v>Young</v>
      </c>
      <c r="L63" s="10">
        <f ca="1">DATEDIF(HR_Data5[[#This Row],[Joining Date]],TODAY(),"Y")</f>
        <v>6</v>
      </c>
      <c r="M63" s="10" t="str">
        <f>IF(HR_Data5[[#This Row],[Salary]]&lt;55000,"Low",IF(HR_Data5[[#This Row],[Salary]]&lt;=65000,"Medium","High"))</f>
        <v>Medium</v>
      </c>
      <c r="N63" s="10">
        <f>YEAR(HR_Data5[[#This Row],[Joining Date]])</f>
        <v>2019</v>
      </c>
      <c r="O63" s="10" cm="1">
        <f t="array" ref="O63">_xlfn.SWITCH(HR_Data5[[#This Row],[Performance Score]],
"A",5,
"B",4,
"C",3,
"D",2,
"F",1)</f>
        <v>2</v>
      </c>
      <c r="P63" s="10"/>
      <c r="Q63" t="str">
        <f ca="1"/>
        <v>Hannah</v>
      </c>
      <c r="R63">
        <f ca="1"/>
        <v>30</v>
      </c>
      <c r="S63">
        <f ca="1"/>
        <v>70000</v>
      </c>
      <c r="T63" t="str">
        <f ca="1"/>
        <v>Male</v>
      </c>
      <c r="U63" t="str">
        <f ca="1"/>
        <v>HR</v>
      </c>
      <c r="V63" t="str">
        <f ca="1"/>
        <v>Manager</v>
      </c>
      <c r="W63">
        <f ca="1"/>
        <v>43881</v>
      </c>
      <c r="X63" t="str">
        <f ca="1"/>
        <v>C</v>
      </c>
      <c r="Y63" t="str">
        <f ca="1"/>
        <v>email@example.com</v>
      </c>
      <c r="Z63" t="str">
        <f ca="1"/>
        <v>098-765-4321</v>
      </c>
      <c r="AA63" t="str">
        <f ca="1"/>
        <v>Mid-Career</v>
      </c>
      <c r="AB63">
        <f ca="1"/>
        <v>6</v>
      </c>
      <c r="AC63" t="str">
        <f ca="1"/>
        <v>High</v>
      </c>
      <c r="AD63">
        <f ca="1"/>
        <v>2020</v>
      </c>
      <c r="AE63">
        <f ca="1"/>
        <v>3</v>
      </c>
    </row>
    <row r="64" spans="1:31" x14ac:dyDescent="0.3">
      <c r="A64" t="s">
        <v>58</v>
      </c>
      <c r="B64">
        <v>36</v>
      </c>
      <c r="C64" s="6">
        <v>65000</v>
      </c>
      <c r="D64" t="s">
        <v>36</v>
      </c>
      <c r="E64" t="s">
        <v>12</v>
      </c>
      <c r="F64" t="s">
        <v>20</v>
      </c>
      <c r="G64" s="7">
        <v>43845</v>
      </c>
      <c r="H64" t="s">
        <v>14</v>
      </c>
      <c r="I64" t="s">
        <v>69</v>
      </c>
      <c r="J64" t="s">
        <v>69</v>
      </c>
      <c r="K64" t="str">
        <f>IF(HR_Data5[[#This Row],[Age]]&lt;30,"Young",IF(HR_Data5[[#This Row],[Age]]&lt;=45,"Mid-Career","Senior"))</f>
        <v>Mid-Career</v>
      </c>
      <c r="L64" s="10">
        <f ca="1">DATEDIF(HR_Data5[[#This Row],[Joining Date]],TODAY(),"Y")</f>
        <v>6</v>
      </c>
      <c r="M64" s="10" t="str">
        <f>IF(HR_Data5[[#This Row],[Salary]]&lt;55000,"Low",IF(HR_Data5[[#This Row],[Salary]]&lt;=65000,"Medium","High"))</f>
        <v>Medium</v>
      </c>
      <c r="N64" s="10">
        <f>YEAR(HR_Data5[[#This Row],[Joining Date]])</f>
        <v>2020</v>
      </c>
      <c r="O64" s="10" cm="1">
        <f t="array" ref="O64">_xlfn.SWITCH(HR_Data5[[#This Row],[Performance Score]],
"A",5,
"B",4,
"C",3,
"D",2,
"F",1)</f>
        <v>2</v>
      </c>
      <c r="P64" s="10"/>
      <c r="Q64" t="str">
        <f ca="1"/>
        <v>Eve</v>
      </c>
      <c r="R64">
        <f ca="1"/>
        <v>36</v>
      </c>
      <c r="S64">
        <f ca="1"/>
        <v>70000</v>
      </c>
      <c r="T64" t="str">
        <f ca="1"/>
        <v>Male</v>
      </c>
      <c r="U64" t="str">
        <f ca="1"/>
        <v>HR</v>
      </c>
      <c r="V64" t="str">
        <f ca="1"/>
        <v>Manager</v>
      </c>
      <c r="W64">
        <f ca="1"/>
        <v>43881</v>
      </c>
      <c r="X64" t="str">
        <f ca="1"/>
        <v>B</v>
      </c>
      <c r="Y64" t="str">
        <f ca="1"/>
        <v>user@domain.com</v>
      </c>
      <c r="Z64" t="str">
        <f ca="1"/>
        <v>Missing</v>
      </c>
      <c r="AA64" t="str">
        <f ca="1"/>
        <v>Mid-Career</v>
      </c>
      <c r="AB64">
        <f ca="1"/>
        <v>6</v>
      </c>
      <c r="AC64" t="str">
        <f ca="1"/>
        <v>High</v>
      </c>
      <c r="AD64">
        <f ca="1"/>
        <v>2020</v>
      </c>
      <c r="AE64">
        <f ca="1"/>
        <v>4</v>
      </c>
    </row>
    <row r="65" spans="1:31" x14ac:dyDescent="0.3">
      <c r="A65" t="s">
        <v>55</v>
      </c>
      <c r="B65">
        <v>50</v>
      </c>
      <c r="C65" s="6" t="s">
        <v>68</v>
      </c>
      <c r="D65" t="s">
        <v>36</v>
      </c>
      <c r="E65" t="s">
        <v>26</v>
      </c>
      <c r="F65" t="s">
        <v>20</v>
      </c>
      <c r="G65" s="7">
        <v>43549</v>
      </c>
      <c r="H65" t="s">
        <v>41</v>
      </c>
      <c r="I65" t="s">
        <v>32</v>
      </c>
      <c r="J65" t="s">
        <v>28</v>
      </c>
      <c r="K65" t="str">
        <f>IF(HR_Data5[[#This Row],[Age]]&lt;30,"Young",IF(HR_Data5[[#This Row],[Age]]&lt;=45,"Mid-Career","Senior"))</f>
        <v>Senior</v>
      </c>
      <c r="L65" s="10">
        <f ca="1">DATEDIF(HR_Data5[[#This Row],[Joining Date]],TODAY(),"Y")</f>
        <v>6</v>
      </c>
      <c r="M65" s="10" t="str">
        <f>IF(HR_Data5[[#This Row],[Salary]]&lt;55000,"Low",IF(HR_Data5[[#This Row],[Salary]]&lt;=65000,"Medium","High"))</f>
        <v>High</v>
      </c>
      <c r="N65" s="10">
        <f>YEAR(HR_Data5[[#This Row],[Joining Date]])</f>
        <v>2019</v>
      </c>
      <c r="O65" s="10" cm="1">
        <f t="array" ref="O65">_xlfn.SWITCH(HR_Data5[[#This Row],[Performance Score]],
"A",5,
"B",4,
"C",3,
"D",2,
"F",1)</f>
        <v>4</v>
      </c>
      <c r="P65" s="10"/>
      <c r="Q65" t="str">
        <f ca="1"/>
        <v>David</v>
      </c>
      <c r="R65">
        <f ca="1"/>
        <v>35</v>
      </c>
      <c r="S65">
        <f ca="1"/>
        <v>70000</v>
      </c>
      <c r="T65" t="str">
        <f ca="1"/>
        <v>Male</v>
      </c>
      <c r="U65" t="str">
        <f ca="1"/>
        <v>HR</v>
      </c>
      <c r="V65" t="str">
        <f ca="1"/>
        <v>Clerk</v>
      </c>
      <c r="W65">
        <f ca="1"/>
        <v>43881</v>
      </c>
      <c r="X65" t="str">
        <f ca="1"/>
        <v>A</v>
      </c>
      <c r="Y65" t="str">
        <f ca="1"/>
        <v>Missing</v>
      </c>
      <c r="Z65" t="str">
        <f ca="1"/>
        <v>Missing</v>
      </c>
      <c r="AA65" t="str">
        <f ca="1"/>
        <v>Mid-Career</v>
      </c>
      <c r="AB65">
        <f ca="1"/>
        <v>6</v>
      </c>
      <c r="AC65" t="str">
        <f ca="1"/>
        <v>High</v>
      </c>
      <c r="AD65">
        <f ca="1"/>
        <v>2020</v>
      </c>
      <c r="AE65">
        <f ca="1"/>
        <v>5</v>
      </c>
    </row>
    <row r="66" spans="1:31" x14ac:dyDescent="0.3">
      <c r="A66" t="s">
        <v>58</v>
      </c>
      <c r="B66">
        <v>40</v>
      </c>
      <c r="C66" s="6">
        <v>55000</v>
      </c>
      <c r="D66" t="s">
        <v>18</v>
      </c>
      <c r="E66" t="s">
        <v>19</v>
      </c>
      <c r="F66" t="s">
        <v>13</v>
      </c>
      <c r="G66" s="7">
        <v>43195</v>
      </c>
      <c r="H66" t="s">
        <v>21</v>
      </c>
      <c r="I66" t="s">
        <v>22</v>
      </c>
      <c r="J66" t="s">
        <v>45</v>
      </c>
      <c r="K66" t="str">
        <f>IF(HR_Data5[[#This Row],[Age]]&lt;30,"Young",IF(HR_Data5[[#This Row],[Age]]&lt;=45,"Mid-Career","Senior"))</f>
        <v>Mid-Career</v>
      </c>
      <c r="L66" s="10">
        <f ca="1">DATEDIF(HR_Data5[[#This Row],[Joining Date]],TODAY(),"Y")</f>
        <v>7</v>
      </c>
      <c r="M66" s="10" t="str">
        <f>IF(HR_Data5[[#This Row],[Salary]]&lt;55000,"Low",IF(HR_Data5[[#This Row],[Salary]]&lt;=65000,"Medium","High"))</f>
        <v>Medium</v>
      </c>
      <c r="N66" s="10">
        <f>YEAR(HR_Data5[[#This Row],[Joining Date]])</f>
        <v>2018</v>
      </c>
      <c r="O66" s="10" cm="1">
        <f t="array" ref="O66">_xlfn.SWITCH(HR_Data5[[#This Row],[Performance Score]],
"A",5,
"B",4,
"C",3,
"D",2,
"F",1)</f>
        <v>1</v>
      </c>
      <c r="P66" s="10"/>
      <c r="Q66" t="str">
        <f ca="1"/>
        <v>Charlie</v>
      </c>
      <c r="R66">
        <f ca="1"/>
        <v>35</v>
      </c>
      <c r="S66">
        <f ca="1"/>
        <v>70000</v>
      </c>
      <c r="T66" t="str">
        <f ca="1"/>
        <v>Other</v>
      </c>
      <c r="U66" t="str">
        <f ca="1"/>
        <v>HR</v>
      </c>
      <c r="V66" t="str">
        <f ca="1"/>
        <v>Director</v>
      </c>
      <c r="W66">
        <f ca="1"/>
        <v>43845</v>
      </c>
      <c r="X66" t="str">
        <f ca="1"/>
        <v>C</v>
      </c>
      <c r="Y66" t="str">
        <f ca="1"/>
        <v>name@company.org</v>
      </c>
      <c r="Z66" t="str">
        <f ca="1"/>
        <v>555-555-5555</v>
      </c>
      <c r="AA66" t="str">
        <f ca="1"/>
        <v>Mid-Career</v>
      </c>
      <c r="AB66">
        <f ca="1"/>
        <v>6</v>
      </c>
      <c r="AC66" t="str">
        <f ca="1"/>
        <v>High</v>
      </c>
      <c r="AD66">
        <f ca="1"/>
        <v>2020</v>
      </c>
      <c r="AE66">
        <f ca="1"/>
        <v>3</v>
      </c>
    </row>
    <row r="67" spans="1:31" x14ac:dyDescent="0.3">
      <c r="A67" t="s">
        <v>55</v>
      </c>
      <c r="B67">
        <v>25</v>
      </c>
      <c r="C67" s="6">
        <v>60000</v>
      </c>
      <c r="D67" t="s">
        <v>18</v>
      </c>
      <c r="E67" t="s">
        <v>37</v>
      </c>
      <c r="F67" t="s">
        <v>43</v>
      </c>
      <c r="G67" s="7">
        <v>43549</v>
      </c>
      <c r="H67" t="s">
        <v>14</v>
      </c>
      <c r="I67" t="s">
        <v>69</v>
      </c>
      <c r="J67" t="s">
        <v>45</v>
      </c>
      <c r="K67" t="str">
        <f>IF(HR_Data5[[#This Row],[Age]]&lt;30,"Young",IF(HR_Data5[[#This Row],[Age]]&lt;=45,"Mid-Career","Senior"))</f>
        <v>Young</v>
      </c>
      <c r="L67" s="10">
        <f ca="1">DATEDIF(HR_Data5[[#This Row],[Joining Date]],TODAY(),"Y")</f>
        <v>6</v>
      </c>
      <c r="M67" s="10" t="str">
        <f>IF(HR_Data5[[#This Row],[Salary]]&lt;55000,"Low",IF(HR_Data5[[#This Row],[Salary]]&lt;=65000,"Medium","High"))</f>
        <v>Medium</v>
      </c>
      <c r="N67" s="10">
        <f>YEAR(HR_Data5[[#This Row],[Joining Date]])</f>
        <v>2019</v>
      </c>
      <c r="O67" s="10" cm="1">
        <f t="array" ref="O67">_xlfn.SWITCH(HR_Data5[[#This Row],[Performance Score]],
"A",5,
"B",4,
"C",3,
"D",2,
"F",1)</f>
        <v>2</v>
      </c>
      <c r="P67" s="10"/>
      <c r="Q67" t="str">
        <f ca="1"/>
        <v>Bob</v>
      </c>
      <c r="R67">
        <f ca="1"/>
        <v>36</v>
      </c>
      <c r="S67">
        <f ca="1"/>
        <v>70000</v>
      </c>
      <c r="T67" t="str">
        <f ca="1"/>
        <v>Male</v>
      </c>
      <c r="U67" t="str">
        <f ca="1"/>
        <v>HR</v>
      </c>
      <c r="V67" t="str">
        <f ca="1"/>
        <v>Assistant</v>
      </c>
      <c r="W67">
        <f ca="1"/>
        <v>43845</v>
      </c>
      <c r="X67" t="str">
        <f ca="1"/>
        <v>D</v>
      </c>
      <c r="Y67" t="str">
        <f ca="1"/>
        <v>Missing</v>
      </c>
      <c r="Z67" t="str">
        <f ca="1"/>
        <v>555-555-5555</v>
      </c>
      <c r="AA67" t="str">
        <f ca="1"/>
        <v>Mid-Career</v>
      </c>
      <c r="AB67">
        <f ca="1"/>
        <v>6</v>
      </c>
      <c r="AC67" t="str">
        <f ca="1"/>
        <v>High</v>
      </c>
      <c r="AD67">
        <f ca="1"/>
        <v>2020</v>
      </c>
      <c r="AE67">
        <f ca="1"/>
        <v>2</v>
      </c>
    </row>
    <row r="68" spans="1:31" x14ac:dyDescent="0.3">
      <c r="A68" t="s">
        <v>52</v>
      </c>
      <c r="B68">
        <v>25</v>
      </c>
      <c r="C68" s="6">
        <v>60000</v>
      </c>
      <c r="D68" t="s">
        <v>36</v>
      </c>
      <c r="E68" t="s">
        <v>26</v>
      </c>
      <c r="F68" t="s">
        <v>13</v>
      </c>
      <c r="G68" s="7">
        <v>43195</v>
      </c>
      <c r="H68" t="s">
        <v>14</v>
      </c>
      <c r="I68" t="s">
        <v>15</v>
      </c>
      <c r="J68" t="s">
        <v>45</v>
      </c>
      <c r="K68" t="str">
        <f>IF(HR_Data5[[#This Row],[Age]]&lt;30,"Young",IF(HR_Data5[[#This Row],[Age]]&lt;=45,"Mid-Career","Senior"))</f>
        <v>Young</v>
      </c>
      <c r="L68" s="10">
        <f ca="1">DATEDIF(HR_Data5[[#This Row],[Joining Date]],TODAY(),"Y")</f>
        <v>7</v>
      </c>
      <c r="M68" s="10" t="str">
        <f>IF(HR_Data5[[#This Row],[Salary]]&lt;55000,"Low",IF(HR_Data5[[#This Row],[Salary]]&lt;=65000,"Medium","High"))</f>
        <v>Medium</v>
      </c>
      <c r="N68" s="10">
        <f>YEAR(HR_Data5[[#This Row],[Joining Date]])</f>
        <v>2018</v>
      </c>
      <c r="O68" s="10" cm="1">
        <f t="array" ref="O68">_xlfn.SWITCH(HR_Data5[[#This Row],[Performance Score]],
"A",5,
"B",4,
"C",3,
"D",2,
"F",1)</f>
        <v>2</v>
      </c>
      <c r="P68" s="10"/>
      <c r="Q68" t="str">
        <f ca="1"/>
        <v>Alice</v>
      </c>
      <c r="R68">
        <f ca="1"/>
        <v>36</v>
      </c>
      <c r="S68">
        <f ca="1"/>
        <v>70000</v>
      </c>
      <c r="T68" t="str">
        <f ca="1"/>
        <v>Female</v>
      </c>
      <c r="U68" t="str">
        <f ca="1"/>
        <v>HR</v>
      </c>
      <c r="V68" t="str">
        <f ca="1"/>
        <v>Manager</v>
      </c>
      <c r="W68">
        <f ca="1"/>
        <v>43881</v>
      </c>
      <c r="X68" t="str">
        <f ca="1"/>
        <v>B</v>
      </c>
      <c r="Y68" t="str">
        <f ca="1"/>
        <v>name@company.org</v>
      </c>
      <c r="Z68" t="str">
        <f ca="1"/>
        <v>123-456-7890</v>
      </c>
      <c r="AA68" t="str">
        <f ca="1"/>
        <v>Mid-Career</v>
      </c>
      <c r="AB68">
        <f ca="1"/>
        <v>6</v>
      </c>
      <c r="AC68" t="str">
        <f ca="1"/>
        <v>High</v>
      </c>
      <c r="AD68">
        <f ca="1"/>
        <v>2020</v>
      </c>
      <c r="AE68">
        <f ca="1"/>
        <v>4</v>
      </c>
    </row>
    <row r="69" spans="1:31" x14ac:dyDescent="0.3">
      <c r="A69" t="s">
        <v>53</v>
      </c>
      <c r="B69">
        <v>40</v>
      </c>
      <c r="C69" s="6" t="s">
        <v>68</v>
      </c>
      <c r="D69" t="s">
        <v>11</v>
      </c>
      <c r="E69" t="s">
        <v>26</v>
      </c>
      <c r="F69" t="s">
        <v>20</v>
      </c>
      <c r="G69" s="7">
        <v>43800</v>
      </c>
      <c r="H69" t="s">
        <v>21</v>
      </c>
      <c r="I69" t="s">
        <v>69</v>
      </c>
      <c r="J69" t="s">
        <v>69</v>
      </c>
      <c r="K69" t="str">
        <f>IF(HR_Data5[[#This Row],[Age]]&lt;30,"Young",IF(HR_Data5[[#This Row],[Age]]&lt;=45,"Mid-Career","Senior"))</f>
        <v>Mid-Career</v>
      </c>
      <c r="L69" s="10">
        <f ca="1">DATEDIF(HR_Data5[[#This Row],[Joining Date]],TODAY(),"Y")</f>
        <v>6</v>
      </c>
      <c r="M69" s="10" t="str">
        <f>IF(HR_Data5[[#This Row],[Salary]]&lt;55000,"Low",IF(HR_Data5[[#This Row],[Salary]]&lt;=65000,"Medium","High"))</f>
        <v>High</v>
      </c>
      <c r="N69" s="10">
        <f>YEAR(HR_Data5[[#This Row],[Joining Date]])</f>
        <v>2019</v>
      </c>
      <c r="O69" s="10" cm="1">
        <f t="array" ref="O69">_xlfn.SWITCH(HR_Data5[[#This Row],[Performance Score]],
"A",5,
"B",4,
"C",3,
"D",2,
"F",1)</f>
        <v>1</v>
      </c>
      <c r="P69" s="10"/>
      <c r="Q69" t="str">
        <f ca="1"/>
        <v>Charlie</v>
      </c>
      <c r="R69">
        <f ca="1"/>
        <v>40</v>
      </c>
      <c r="S69">
        <f ca="1"/>
        <v>70000</v>
      </c>
      <c r="T69" t="str">
        <f ca="1"/>
        <v>Female</v>
      </c>
      <c r="U69" t="str">
        <f ca="1"/>
        <v>HR</v>
      </c>
      <c r="V69" t="str">
        <f ca="1"/>
        <v>Director</v>
      </c>
      <c r="W69">
        <f ca="1"/>
        <v>43881</v>
      </c>
      <c r="X69" t="str">
        <f ca="1"/>
        <v>D</v>
      </c>
      <c r="Y69" t="str">
        <f ca="1"/>
        <v>email@example.com</v>
      </c>
      <c r="Z69" t="str">
        <f ca="1"/>
        <v>098-765-4321</v>
      </c>
      <c r="AA69" t="str">
        <f ca="1"/>
        <v>Mid-Career</v>
      </c>
      <c r="AB69">
        <f ca="1"/>
        <v>6</v>
      </c>
      <c r="AC69" t="str">
        <f ca="1"/>
        <v>High</v>
      </c>
      <c r="AD69">
        <f ca="1"/>
        <v>2020</v>
      </c>
      <c r="AE69">
        <f ca="1"/>
        <v>2</v>
      </c>
    </row>
    <row r="70" spans="1:31" x14ac:dyDescent="0.3">
      <c r="A70" t="s">
        <v>51</v>
      </c>
      <c r="B70">
        <v>35</v>
      </c>
      <c r="C70" s="6" t="s">
        <v>68</v>
      </c>
      <c r="D70" t="s">
        <v>36</v>
      </c>
      <c r="E70" t="s">
        <v>30</v>
      </c>
      <c r="F70" t="s">
        <v>44</v>
      </c>
      <c r="G70" s="7">
        <v>43845</v>
      </c>
      <c r="H70" t="s">
        <v>21</v>
      </c>
      <c r="I70" t="s">
        <v>15</v>
      </c>
      <c r="J70" t="s">
        <v>45</v>
      </c>
      <c r="K70" t="str">
        <f>IF(HR_Data5[[#This Row],[Age]]&lt;30,"Young",IF(HR_Data5[[#This Row],[Age]]&lt;=45,"Mid-Career","Senior"))</f>
        <v>Mid-Career</v>
      </c>
      <c r="L70" s="10">
        <f ca="1">DATEDIF(HR_Data5[[#This Row],[Joining Date]],TODAY(),"Y")</f>
        <v>6</v>
      </c>
      <c r="M70" s="10" t="str">
        <f>IF(HR_Data5[[#This Row],[Salary]]&lt;55000,"Low",IF(HR_Data5[[#This Row],[Salary]]&lt;=65000,"Medium","High"))</f>
        <v>High</v>
      </c>
      <c r="N70" s="10">
        <f>YEAR(HR_Data5[[#This Row],[Joining Date]])</f>
        <v>2020</v>
      </c>
      <c r="O70" s="10" cm="1">
        <f t="array" ref="O70">_xlfn.SWITCH(HR_Data5[[#This Row],[Performance Score]],
"A",5,
"B",4,
"C",3,
"D",2,
"F",1)</f>
        <v>1</v>
      </c>
      <c r="P70" s="10"/>
      <c r="Q70" t="str">
        <f ca="1"/>
        <v>David</v>
      </c>
      <c r="R70">
        <f ca="1"/>
        <v>30</v>
      </c>
      <c r="S70">
        <f ca="1"/>
        <v>70000</v>
      </c>
      <c r="T70" t="str">
        <f ca="1"/>
        <v>Female</v>
      </c>
      <c r="U70" t="str">
        <f ca="1"/>
        <v>HR</v>
      </c>
      <c r="V70" t="str">
        <f ca="1"/>
        <v>Analyst</v>
      </c>
      <c r="W70">
        <f ca="1"/>
        <v>43845</v>
      </c>
      <c r="X70" t="str">
        <f ca="1"/>
        <v>A</v>
      </c>
      <c r="Y70" t="str">
        <f ca="1"/>
        <v>Missing</v>
      </c>
      <c r="Z70" t="str">
        <f ca="1"/>
        <v>123-456-7890</v>
      </c>
      <c r="AA70" t="str">
        <f ca="1"/>
        <v>Mid-Career</v>
      </c>
      <c r="AB70">
        <f ca="1"/>
        <v>6</v>
      </c>
      <c r="AC70" t="str">
        <f ca="1"/>
        <v>High</v>
      </c>
      <c r="AD70">
        <f ca="1"/>
        <v>2020</v>
      </c>
      <c r="AE70">
        <f ca="1"/>
        <v>5</v>
      </c>
    </row>
    <row r="71" spans="1:31" x14ac:dyDescent="0.3">
      <c r="A71" t="s">
        <v>60</v>
      </c>
      <c r="B71">
        <v>50</v>
      </c>
      <c r="C71" s="6">
        <v>55000</v>
      </c>
      <c r="D71" t="s">
        <v>18</v>
      </c>
      <c r="E71" t="s">
        <v>37</v>
      </c>
      <c r="F71" t="s">
        <v>44</v>
      </c>
      <c r="G71" s="7">
        <v>43800</v>
      </c>
      <c r="H71" t="s">
        <v>31</v>
      </c>
      <c r="I71" t="s">
        <v>22</v>
      </c>
      <c r="J71" t="s">
        <v>69</v>
      </c>
      <c r="K71" t="str">
        <f>IF(HR_Data5[[#This Row],[Age]]&lt;30,"Young",IF(HR_Data5[[#This Row],[Age]]&lt;=45,"Mid-Career","Senior"))</f>
        <v>Senior</v>
      </c>
      <c r="L71" s="10">
        <f ca="1">DATEDIF(HR_Data5[[#This Row],[Joining Date]],TODAY(),"Y")</f>
        <v>6</v>
      </c>
      <c r="M71" s="10" t="str">
        <f>IF(HR_Data5[[#This Row],[Salary]]&lt;55000,"Low",IF(HR_Data5[[#This Row],[Salary]]&lt;=65000,"Medium","High"))</f>
        <v>Medium</v>
      </c>
      <c r="N71" s="10">
        <f>YEAR(HR_Data5[[#This Row],[Joining Date]])</f>
        <v>2019</v>
      </c>
      <c r="O71" s="10" cm="1">
        <f t="array" ref="O71">_xlfn.SWITCH(HR_Data5[[#This Row],[Performance Score]],
"A",5,
"B",4,
"C",3,
"D",2,
"F",1)</f>
        <v>5</v>
      </c>
      <c r="P71" s="10"/>
      <c r="Q71" t="str">
        <f ca="1"/>
        <v>Alice</v>
      </c>
      <c r="R71">
        <f ca="1"/>
        <v>50</v>
      </c>
      <c r="S71">
        <f ca="1"/>
        <v>70000</v>
      </c>
      <c r="T71" t="str">
        <f ca="1"/>
        <v>Male</v>
      </c>
      <c r="U71" t="str">
        <f ca="1"/>
        <v>HR</v>
      </c>
      <c r="V71" t="str">
        <f ca="1"/>
        <v>Director</v>
      </c>
      <c r="W71">
        <f ca="1"/>
        <v>43549</v>
      </c>
      <c r="X71" t="str">
        <f ca="1"/>
        <v>A</v>
      </c>
      <c r="Y71" t="str">
        <f ca="1"/>
        <v>Missing</v>
      </c>
      <c r="Z71" t="str">
        <f ca="1"/>
        <v>555-555-5555</v>
      </c>
      <c r="AA71" t="str">
        <f ca="1"/>
        <v>Senior</v>
      </c>
      <c r="AB71">
        <f ca="1"/>
        <v>6</v>
      </c>
      <c r="AC71" t="str">
        <f ca="1"/>
        <v>High</v>
      </c>
      <c r="AD71">
        <f ca="1"/>
        <v>2019</v>
      </c>
      <c r="AE71">
        <f ca="1"/>
        <v>5</v>
      </c>
    </row>
    <row r="72" spans="1:31" x14ac:dyDescent="0.3">
      <c r="A72" t="s">
        <v>53</v>
      </c>
      <c r="B72">
        <v>30</v>
      </c>
      <c r="C72" s="6">
        <v>55000</v>
      </c>
      <c r="D72" t="s">
        <v>11</v>
      </c>
      <c r="E72" t="s">
        <v>12</v>
      </c>
      <c r="F72" t="s">
        <v>13</v>
      </c>
      <c r="G72" s="7">
        <v>43881</v>
      </c>
      <c r="H72" t="s">
        <v>41</v>
      </c>
      <c r="I72" t="s">
        <v>22</v>
      </c>
      <c r="J72" t="s">
        <v>69</v>
      </c>
      <c r="K72" t="str">
        <f>IF(HR_Data5[[#This Row],[Age]]&lt;30,"Young",IF(HR_Data5[[#This Row],[Age]]&lt;=45,"Mid-Career","Senior"))</f>
        <v>Mid-Career</v>
      </c>
      <c r="L72" s="10">
        <f ca="1">DATEDIF(HR_Data5[[#This Row],[Joining Date]],TODAY(),"Y")</f>
        <v>6</v>
      </c>
      <c r="M72" s="10" t="str">
        <f>IF(HR_Data5[[#This Row],[Salary]]&lt;55000,"Low",IF(HR_Data5[[#This Row],[Salary]]&lt;=65000,"Medium","High"))</f>
        <v>Medium</v>
      </c>
      <c r="N72" s="10">
        <f>YEAR(HR_Data5[[#This Row],[Joining Date]])</f>
        <v>2020</v>
      </c>
      <c r="O72" s="10" cm="1">
        <f t="array" ref="O72">_xlfn.SWITCH(HR_Data5[[#This Row],[Performance Score]],
"A",5,
"B",4,
"C",3,
"D",2,
"F",1)</f>
        <v>4</v>
      </c>
      <c r="P72" s="10"/>
      <c r="Q72" t="str">
        <f ca="1"/>
        <v>David</v>
      </c>
      <c r="R72">
        <f ca="1"/>
        <v>50</v>
      </c>
      <c r="S72">
        <f ca="1"/>
        <v>70000</v>
      </c>
      <c r="T72" t="str">
        <f ca="1"/>
        <v>Female</v>
      </c>
      <c r="U72" t="str">
        <f ca="1"/>
        <v>HR</v>
      </c>
      <c r="V72" t="str">
        <f ca="1"/>
        <v>Analyst</v>
      </c>
      <c r="W72">
        <f ca="1"/>
        <v>43881</v>
      </c>
      <c r="X72" t="str">
        <f ca="1"/>
        <v>A</v>
      </c>
      <c r="Y72" t="str">
        <f ca="1"/>
        <v>email@example.com</v>
      </c>
      <c r="Z72" t="str">
        <f ca="1"/>
        <v>555-555-5555</v>
      </c>
      <c r="AA72" t="str">
        <f ca="1"/>
        <v>Senior</v>
      </c>
      <c r="AB72">
        <f ca="1"/>
        <v>6</v>
      </c>
      <c r="AC72" t="str">
        <f ca="1"/>
        <v>High</v>
      </c>
      <c r="AD72">
        <f ca="1"/>
        <v>2020</v>
      </c>
      <c r="AE72">
        <f ca="1"/>
        <v>5</v>
      </c>
    </row>
    <row r="73" spans="1:31" x14ac:dyDescent="0.3">
      <c r="A73" t="s">
        <v>54</v>
      </c>
      <c r="B73">
        <v>36</v>
      </c>
      <c r="C73" s="6" t="s">
        <v>68</v>
      </c>
      <c r="D73" t="s">
        <v>11</v>
      </c>
      <c r="E73" t="s">
        <v>19</v>
      </c>
      <c r="F73" t="s">
        <v>20</v>
      </c>
      <c r="G73" s="7">
        <v>43549</v>
      </c>
      <c r="H73" t="s">
        <v>21</v>
      </c>
      <c r="I73" t="s">
        <v>15</v>
      </c>
      <c r="J73" t="s">
        <v>69</v>
      </c>
      <c r="K73" t="str">
        <f>IF(HR_Data5[[#This Row],[Age]]&lt;30,"Young",IF(HR_Data5[[#This Row],[Age]]&lt;=45,"Mid-Career","Senior"))</f>
        <v>Mid-Career</v>
      </c>
      <c r="L73" s="10">
        <f ca="1">DATEDIF(HR_Data5[[#This Row],[Joining Date]],TODAY(),"Y")</f>
        <v>6</v>
      </c>
      <c r="M73" s="10" t="str">
        <f>IF(HR_Data5[[#This Row],[Salary]]&lt;55000,"Low",IF(HR_Data5[[#This Row],[Salary]]&lt;=65000,"Medium","High"))</f>
        <v>High</v>
      </c>
      <c r="N73" s="10">
        <f>YEAR(HR_Data5[[#This Row],[Joining Date]])</f>
        <v>2019</v>
      </c>
      <c r="O73" s="10" cm="1">
        <f t="array" ref="O73">_xlfn.SWITCH(HR_Data5[[#This Row],[Performance Score]],
"A",5,
"B",4,
"C",3,
"D",2,
"F",1)</f>
        <v>1</v>
      </c>
      <c r="P73" s="10"/>
      <c r="Q73" t="str">
        <f ca="1"/>
        <v>Alice</v>
      </c>
      <c r="R73">
        <f ca="1"/>
        <v>25</v>
      </c>
      <c r="S73">
        <f ca="1"/>
        <v>70000</v>
      </c>
      <c r="T73" t="str">
        <f ca="1"/>
        <v>Female</v>
      </c>
      <c r="U73" t="str">
        <f ca="1"/>
        <v>HR</v>
      </c>
      <c r="V73" t="str">
        <f ca="1"/>
        <v>Director</v>
      </c>
      <c r="W73">
        <f ca="1"/>
        <v>43549</v>
      </c>
      <c r="X73" t="str">
        <f ca="1"/>
        <v>F</v>
      </c>
      <c r="Y73" t="str">
        <f ca="1"/>
        <v>email@example.com</v>
      </c>
      <c r="Z73" t="str">
        <f ca="1"/>
        <v>098-765-4321</v>
      </c>
      <c r="AA73" t="str">
        <f ca="1"/>
        <v>Young</v>
      </c>
      <c r="AB73">
        <f ca="1"/>
        <v>6</v>
      </c>
      <c r="AC73" t="str">
        <f ca="1"/>
        <v>High</v>
      </c>
      <c r="AD73">
        <f ca="1"/>
        <v>2019</v>
      </c>
      <c r="AE73">
        <f ca="1"/>
        <v>1</v>
      </c>
    </row>
    <row r="74" spans="1:31" x14ac:dyDescent="0.3">
      <c r="A74" t="s">
        <v>58</v>
      </c>
      <c r="B74">
        <v>30</v>
      </c>
      <c r="C74" s="6">
        <v>50000</v>
      </c>
      <c r="D74" t="s">
        <v>36</v>
      </c>
      <c r="E74" t="s">
        <v>30</v>
      </c>
      <c r="F74" t="s">
        <v>44</v>
      </c>
      <c r="G74" s="7">
        <v>43881</v>
      </c>
      <c r="H74" t="s">
        <v>21</v>
      </c>
      <c r="I74" t="s">
        <v>22</v>
      </c>
      <c r="J74" t="s">
        <v>28</v>
      </c>
      <c r="K74" t="str">
        <f>IF(HR_Data5[[#This Row],[Age]]&lt;30,"Young",IF(HR_Data5[[#This Row],[Age]]&lt;=45,"Mid-Career","Senior"))</f>
        <v>Mid-Career</v>
      </c>
      <c r="L74" s="10">
        <f ca="1">DATEDIF(HR_Data5[[#This Row],[Joining Date]],TODAY(),"Y")</f>
        <v>6</v>
      </c>
      <c r="M74" s="10" t="str">
        <f>IF(HR_Data5[[#This Row],[Salary]]&lt;55000,"Low",IF(HR_Data5[[#This Row],[Salary]]&lt;=65000,"Medium","High"))</f>
        <v>Low</v>
      </c>
      <c r="N74" s="10">
        <f>YEAR(HR_Data5[[#This Row],[Joining Date]])</f>
        <v>2020</v>
      </c>
      <c r="O74" s="10" cm="1">
        <f t="array" ref="O74">_xlfn.SWITCH(HR_Data5[[#This Row],[Performance Score]],
"A",5,
"B",4,
"C",3,
"D",2,
"F",1)</f>
        <v>1</v>
      </c>
      <c r="P74" s="10"/>
      <c r="Q74" t="str">
        <f ca="1"/>
        <v>Hannah</v>
      </c>
      <c r="R74">
        <f ca="1"/>
        <v>30</v>
      </c>
      <c r="S74">
        <f ca="1"/>
        <v>70000</v>
      </c>
      <c r="T74" t="str">
        <f ca="1"/>
        <v>Female</v>
      </c>
      <c r="U74" t="str">
        <f ca="1"/>
        <v>HR</v>
      </c>
      <c r="V74" t="str">
        <f ca="1"/>
        <v>Director</v>
      </c>
      <c r="W74">
        <f ca="1"/>
        <v>43195</v>
      </c>
      <c r="X74" t="str">
        <f ca="1"/>
        <v>C</v>
      </c>
      <c r="Y74" t="str">
        <f ca="1"/>
        <v>Missing</v>
      </c>
      <c r="Z74" t="str">
        <f ca="1"/>
        <v>555-555-5555</v>
      </c>
      <c r="AA74" t="str">
        <f ca="1"/>
        <v>Mid-Career</v>
      </c>
      <c r="AB74">
        <f ca="1"/>
        <v>7</v>
      </c>
      <c r="AC74" t="str">
        <f ca="1"/>
        <v>High</v>
      </c>
      <c r="AD74">
        <f ca="1"/>
        <v>2018</v>
      </c>
      <c r="AE74">
        <f ca="1"/>
        <v>3</v>
      </c>
    </row>
    <row r="75" spans="1:31" x14ac:dyDescent="0.3">
      <c r="A75" t="s">
        <v>54</v>
      </c>
      <c r="B75">
        <v>40</v>
      </c>
      <c r="C75" s="6">
        <v>60000</v>
      </c>
      <c r="D75" t="s">
        <v>18</v>
      </c>
      <c r="E75" t="s">
        <v>19</v>
      </c>
      <c r="F75" t="s">
        <v>20</v>
      </c>
      <c r="G75" s="7">
        <v>43549</v>
      </c>
      <c r="H75" t="s">
        <v>27</v>
      </c>
      <c r="I75" t="s">
        <v>69</v>
      </c>
      <c r="J75" t="s">
        <v>23</v>
      </c>
      <c r="K75" t="str">
        <f>IF(HR_Data5[[#This Row],[Age]]&lt;30,"Young",IF(HR_Data5[[#This Row],[Age]]&lt;=45,"Mid-Career","Senior"))</f>
        <v>Mid-Career</v>
      </c>
      <c r="L75" s="10">
        <f ca="1">DATEDIF(HR_Data5[[#This Row],[Joining Date]],TODAY(),"Y")</f>
        <v>6</v>
      </c>
      <c r="M75" s="10" t="str">
        <f>IF(HR_Data5[[#This Row],[Salary]]&lt;55000,"Low",IF(HR_Data5[[#This Row],[Salary]]&lt;=65000,"Medium","High"))</f>
        <v>Medium</v>
      </c>
      <c r="N75" s="10">
        <f>YEAR(HR_Data5[[#This Row],[Joining Date]])</f>
        <v>2019</v>
      </c>
      <c r="O75" s="10" cm="1">
        <f t="array" ref="O75">_xlfn.SWITCH(HR_Data5[[#This Row],[Performance Score]],
"A",5,
"B",4,
"C",3,
"D",2,
"F",1)</f>
        <v>3</v>
      </c>
      <c r="P75" s="10"/>
      <c r="Q75" t="str">
        <f ca="1"/>
        <v>David</v>
      </c>
      <c r="R75">
        <f ca="1"/>
        <v>30</v>
      </c>
      <c r="S75">
        <f ca="1"/>
        <v>70000</v>
      </c>
      <c r="T75" t="str">
        <f ca="1"/>
        <v>Other</v>
      </c>
      <c r="U75" t="str">
        <f ca="1"/>
        <v>HR</v>
      </c>
      <c r="V75" t="str">
        <f ca="1"/>
        <v>Analyst</v>
      </c>
      <c r="W75">
        <f ca="1"/>
        <v>43881</v>
      </c>
      <c r="X75" t="str">
        <f ca="1"/>
        <v>B</v>
      </c>
      <c r="Y75" t="str">
        <f ca="1"/>
        <v>Missing</v>
      </c>
      <c r="Z75" t="str">
        <f ca="1"/>
        <v>555-555-5555</v>
      </c>
      <c r="AA75" t="str">
        <f ca="1"/>
        <v>Mid-Career</v>
      </c>
      <c r="AB75">
        <f ca="1"/>
        <v>6</v>
      </c>
      <c r="AC75" t="str">
        <f ca="1"/>
        <v>High</v>
      </c>
      <c r="AD75">
        <f ca="1"/>
        <v>2020</v>
      </c>
      <c r="AE75">
        <f ca="1"/>
        <v>4</v>
      </c>
    </row>
    <row r="76" spans="1:31" x14ac:dyDescent="0.3">
      <c r="A76" t="s">
        <v>53</v>
      </c>
      <c r="B76">
        <v>25</v>
      </c>
      <c r="C76" s="6">
        <v>70000</v>
      </c>
      <c r="D76" t="s">
        <v>36</v>
      </c>
      <c r="E76" t="s">
        <v>12</v>
      </c>
      <c r="F76" t="s">
        <v>44</v>
      </c>
      <c r="G76" s="7">
        <v>43800</v>
      </c>
      <c r="H76" t="s">
        <v>21</v>
      </c>
      <c r="I76" t="s">
        <v>22</v>
      </c>
      <c r="J76" t="s">
        <v>28</v>
      </c>
      <c r="K76" t="str">
        <f>IF(HR_Data5[[#This Row],[Age]]&lt;30,"Young",IF(HR_Data5[[#This Row],[Age]]&lt;=45,"Mid-Career","Senior"))</f>
        <v>Young</v>
      </c>
      <c r="L76" s="10">
        <f ca="1">DATEDIF(HR_Data5[[#This Row],[Joining Date]],TODAY(),"Y")</f>
        <v>6</v>
      </c>
      <c r="M76" s="10" t="str">
        <f>IF(HR_Data5[[#This Row],[Salary]]&lt;55000,"Low",IF(HR_Data5[[#This Row],[Salary]]&lt;=65000,"Medium","High"))</f>
        <v>High</v>
      </c>
      <c r="N76" s="10">
        <f>YEAR(HR_Data5[[#This Row],[Joining Date]])</f>
        <v>2019</v>
      </c>
      <c r="O76" s="10" cm="1">
        <f t="array" ref="O76">_xlfn.SWITCH(HR_Data5[[#This Row],[Performance Score]],
"A",5,
"B",4,
"C",3,
"D",2,
"F",1)</f>
        <v>1</v>
      </c>
      <c r="P76" s="10"/>
      <c r="Q76" t="str">
        <f ca="1"/>
        <v>Grace</v>
      </c>
      <c r="R76">
        <f ca="1"/>
        <v>35</v>
      </c>
      <c r="S76">
        <f ca="1"/>
        <v>70000</v>
      </c>
      <c r="T76" t="str">
        <f ca="1"/>
        <v>Male</v>
      </c>
      <c r="U76" t="str">
        <f ca="1"/>
        <v>HR</v>
      </c>
      <c r="V76" t="str">
        <f ca="1"/>
        <v>Clerk</v>
      </c>
      <c r="W76">
        <f ca="1"/>
        <v>43800</v>
      </c>
      <c r="X76" t="str">
        <f ca="1"/>
        <v>A</v>
      </c>
      <c r="Y76" t="str">
        <f ca="1"/>
        <v>Missing</v>
      </c>
      <c r="Z76" t="str">
        <f ca="1"/>
        <v>123-456-7890</v>
      </c>
      <c r="AA76" t="str">
        <f ca="1"/>
        <v>Mid-Career</v>
      </c>
      <c r="AB76">
        <f ca="1"/>
        <v>6</v>
      </c>
      <c r="AC76" t="str">
        <f ca="1"/>
        <v>High</v>
      </c>
      <c r="AD76">
        <f ca="1"/>
        <v>2019</v>
      </c>
      <c r="AE76">
        <f ca="1"/>
        <v>5</v>
      </c>
    </row>
    <row r="77" spans="1:31" x14ac:dyDescent="0.3">
      <c r="A77" t="s">
        <v>55</v>
      </c>
      <c r="B77">
        <v>25</v>
      </c>
      <c r="C77" s="6">
        <v>55000</v>
      </c>
      <c r="D77" t="s">
        <v>36</v>
      </c>
      <c r="E77" t="s">
        <v>12</v>
      </c>
      <c r="F77" t="s">
        <v>20</v>
      </c>
      <c r="G77" s="7">
        <v>43195</v>
      </c>
      <c r="H77" t="s">
        <v>41</v>
      </c>
      <c r="I77" t="s">
        <v>69</v>
      </c>
      <c r="J77" t="s">
        <v>28</v>
      </c>
      <c r="K77" t="str">
        <f>IF(HR_Data5[[#This Row],[Age]]&lt;30,"Young",IF(HR_Data5[[#This Row],[Age]]&lt;=45,"Mid-Career","Senior"))</f>
        <v>Young</v>
      </c>
      <c r="L77" s="10">
        <f ca="1">DATEDIF(HR_Data5[[#This Row],[Joining Date]],TODAY(),"Y")</f>
        <v>7</v>
      </c>
      <c r="M77" s="10" t="str">
        <f>IF(HR_Data5[[#This Row],[Salary]]&lt;55000,"Low",IF(HR_Data5[[#This Row],[Salary]]&lt;=65000,"Medium","High"))</f>
        <v>Medium</v>
      </c>
      <c r="N77" s="10">
        <f>YEAR(HR_Data5[[#This Row],[Joining Date]])</f>
        <v>2018</v>
      </c>
      <c r="O77" s="10" cm="1">
        <f t="array" ref="O77">_xlfn.SWITCH(HR_Data5[[#This Row],[Performance Score]],
"A",5,
"B",4,
"C",3,
"D",2,
"F",1)</f>
        <v>4</v>
      </c>
      <c r="P77" s="10"/>
      <c r="Q77" t="str">
        <f ca="1"/>
        <v>Eve</v>
      </c>
      <c r="R77">
        <f ca="1"/>
        <v>36</v>
      </c>
      <c r="S77">
        <f ca="1"/>
        <v>70000</v>
      </c>
      <c r="T77" t="str">
        <f ca="1"/>
        <v>Other</v>
      </c>
      <c r="U77" t="str">
        <f ca="1"/>
        <v>HR</v>
      </c>
      <c r="V77" t="str">
        <f ca="1"/>
        <v>Assistant</v>
      </c>
      <c r="W77">
        <f ca="1"/>
        <v>43549</v>
      </c>
      <c r="X77" t="str">
        <f ca="1"/>
        <v>F</v>
      </c>
      <c r="Y77" t="str">
        <f ca="1"/>
        <v>Missing</v>
      </c>
      <c r="Z77" t="str">
        <f ca="1"/>
        <v>098-765-4321</v>
      </c>
      <c r="AA77" t="str">
        <f ca="1"/>
        <v>Mid-Career</v>
      </c>
      <c r="AB77">
        <f ca="1"/>
        <v>6</v>
      </c>
      <c r="AC77" t="str">
        <f ca="1"/>
        <v>High</v>
      </c>
      <c r="AD77">
        <f ca="1"/>
        <v>2019</v>
      </c>
      <c r="AE77">
        <f ca="1"/>
        <v>1</v>
      </c>
    </row>
    <row r="78" spans="1:31" x14ac:dyDescent="0.3">
      <c r="A78" t="s">
        <v>60</v>
      </c>
      <c r="B78">
        <v>36</v>
      </c>
      <c r="C78" s="6">
        <v>55000</v>
      </c>
      <c r="D78" t="s">
        <v>36</v>
      </c>
      <c r="E78" t="s">
        <v>26</v>
      </c>
      <c r="F78" t="s">
        <v>39</v>
      </c>
      <c r="G78" s="7">
        <v>43195</v>
      </c>
      <c r="H78" t="s">
        <v>14</v>
      </c>
      <c r="I78" t="s">
        <v>69</v>
      </c>
      <c r="J78" t="s">
        <v>28</v>
      </c>
      <c r="K78" t="str">
        <f>IF(HR_Data5[[#This Row],[Age]]&lt;30,"Young",IF(HR_Data5[[#This Row],[Age]]&lt;=45,"Mid-Career","Senior"))</f>
        <v>Mid-Career</v>
      </c>
      <c r="L78" s="10">
        <f ca="1">DATEDIF(HR_Data5[[#This Row],[Joining Date]],TODAY(),"Y")</f>
        <v>7</v>
      </c>
      <c r="M78" s="10" t="str">
        <f>IF(HR_Data5[[#This Row],[Salary]]&lt;55000,"Low",IF(HR_Data5[[#This Row],[Salary]]&lt;=65000,"Medium","High"))</f>
        <v>Medium</v>
      </c>
      <c r="N78" s="10">
        <f>YEAR(HR_Data5[[#This Row],[Joining Date]])</f>
        <v>2018</v>
      </c>
      <c r="O78" s="10" cm="1">
        <f t="array" ref="O78">_xlfn.SWITCH(HR_Data5[[#This Row],[Performance Score]],
"A",5,
"B",4,
"C",3,
"D",2,
"F",1)</f>
        <v>2</v>
      </c>
      <c r="P78" s="10"/>
      <c r="Q78" t="str">
        <f ca="1"/>
        <v>Alice</v>
      </c>
      <c r="R78">
        <f ca="1"/>
        <v>35</v>
      </c>
      <c r="S78">
        <f ca="1"/>
        <v>70000</v>
      </c>
      <c r="T78" t="str">
        <f ca="1"/>
        <v>Other</v>
      </c>
      <c r="U78" t="str">
        <f ca="1"/>
        <v>HR</v>
      </c>
      <c r="V78" t="str">
        <f ca="1"/>
        <v>Clerk</v>
      </c>
      <c r="W78">
        <f ca="1"/>
        <v>43881</v>
      </c>
      <c r="X78" t="str">
        <f ca="1"/>
        <v>D</v>
      </c>
      <c r="Y78" t="str">
        <f ca="1"/>
        <v>Missing</v>
      </c>
      <c r="Z78" t="str">
        <f ca="1"/>
        <v>Missing</v>
      </c>
      <c r="AA78" t="str">
        <f ca="1"/>
        <v>Mid-Career</v>
      </c>
      <c r="AB78">
        <f ca="1"/>
        <v>6</v>
      </c>
      <c r="AC78" t="str">
        <f ca="1"/>
        <v>High</v>
      </c>
      <c r="AD78">
        <f ca="1"/>
        <v>2020</v>
      </c>
      <c r="AE78">
        <f ca="1"/>
        <v>2</v>
      </c>
    </row>
    <row r="79" spans="1:31" x14ac:dyDescent="0.3">
      <c r="A79" t="s">
        <v>60</v>
      </c>
      <c r="B79">
        <v>25</v>
      </c>
      <c r="C79" s="6" t="s">
        <v>68</v>
      </c>
      <c r="D79" t="s">
        <v>11</v>
      </c>
      <c r="E79" t="s">
        <v>12</v>
      </c>
      <c r="F79" t="s">
        <v>20</v>
      </c>
      <c r="G79" s="7">
        <v>43549</v>
      </c>
      <c r="H79" t="s">
        <v>14</v>
      </c>
      <c r="I79" t="s">
        <v>32</v>
      </c>
      <c r="J79" t="s">
        <v>28</v>
      </c>
      <c r="K79" t="str">
        <f>IF(HR_Data5[[#This Row],[Age]]&lt;30,"Young",IF(HR_Data5[[#This Row],[Age]]&lt;=45,"Mid-Career","Senior"))</f>
        <v>Young</v>
      </c>
      <c r="L79" s="10">
        <f ca="1">DATEDIF(HR_Data5[[#This Row],[Joining Date]],TODAY(),"Y")</f>
        <v>6</v>
      </c>
      <c r="M79" s="10" t="str">
        <f>IF(HR_Data5[[#This Row],[Salary]]&lt;55000,"Low",IF(HR_Data5[[#This Row],[Salary]]&lt;=65000,"Medium","High"))</f>
        <v>High</v>
      </c>
      <c r="N79" s="10">
        <f>YEAR(HR_Data5[[#This Row],[Joining Date]])</f>
        <v>2019</v>
      </c>
      <c r="O79" s="10" cm="1">
        <f t="array" ref="O79">_xlfn.SWITCH(HR_Data5[[#This Row],[Performance Score]],
"A",5,
"B",4,
"C",3,
"D",2,
"F",1)</f>
        <v>2</v>
      </c>
      <c r="P79" s="10"/>
      <c r="Q79" t="str">
        <f ca="1"/>
        <v>Ivy</v>
      </c>
      <c r="R79">
        <f ca="1"/>
        <v>30</v>
      </c>
      <c r="S79">
        <f ca="1"/>
        <v>70000</v>
      </c>
      <c r="T79" t="str">
        <f ca="1"/>
        <v>Female</v>
      </c>
      <c r="U79" t="str">
        <f ca="1"/>
        <v>HR</v>
      </c>
      <c r="V79" t="str">
        <f ca="1"/>
        <v>Director</v>
      </c>
      <c r="W79">
        <f ca="1"/>
        <v>43549</v>
      </c>
      <c r="X79" t="str">
        <f ca="1"/>
        <v>C</v>
      </c>
      <c r="Y79" t="str">
        <f ca="1"/>
        <v>user@domain.com</v>
      </c>
      <c r="Z79" t="str">
        <f ca="1"/>
        <v>Missing</v>
      </c>
      <c r="AA79" t="str">
        <f ca="1"/>
        <v>Mid-Career</v>
      </c>
      <c r="AB79">
        <f ca="1"/>
        <v>6</v>
      </c>
      <c r="AC79" t="str">
        <f ca="1"/>
        <v>High</v>
      </c>
      <c r="AD79">
        <f ca="1"/>
        <v>2019</v>
      </c>
      <c r="AE79">
        <f ca="1"/>
        <v>3</v>
      </c>
    </row>
    <row r="80" spans="1:31" x14ac:dyDescent="0.3">
      <c r="A80" t="s">
        <v>59</v>
      </c>
      <c r="B80">
        <v>25</v>
      </c>
      <c r="C80" s="6">
        <v>65000</v>
      </c>
      <c r="D80" t="s">
        <v>11</v>
      </c>
      <c r="E80" t="s">
        <v>19</v>
      </c>
      <c r="F80" t="s">
        <v>20</v>
      </c>
      <c r="G80" s="7">
        <v>43195</v>
      </c>
      <c r="H80" t="s">
        <v>14</v>
      </c>
      <c r="I80" t="s">
        <v>22</v>
      </c>
      <c r="J80" t="s">
        <v>23</v>
      </c>
      <c r="K80" t="str">
        <f>IF(HR_Data5[[#This Row],[Age]]&lt;30,"Young",IF(HR_Data5[[#This Row],[Age]]&lt;=45,"Mid-Career","Senior"))</f>
        <v>Young</v>
      </c>
      <c r="L80" s="10">
        <f ca="1">DATEDIF(HR_Data5[[#This Row],[Joining Date]],TODAY(),"Y")</f>
        <v>7</v>
      </c>
      <c r="M80" s="10" t="str">
        <f>IF(HR_Data5[[#This Row],[Salary]]&lt;55000,"Low",IF(HR_Data5[[#This Row],[Salary]]&lt;=65000,"Medium","High"))</f>
        <v>Medium</v>
      </c>
      <c r="N80" s="10">
        <f>YEAR(HR_Data5[[#This Row],[Joining Date]])</f>
        <v>2018</v>
      </c>
      <c r="O80" s="10" cm="1">
        <f t="array" ref="O80">_xlfn.SWITCH(HR_Data5[[#This Row],[Performance Score]],
"A",5,
"B",4,
"C",3,
"D",2,
"F",1)</f>
        <v>2</v>
      </c>
      <c r="P80" s="10"/>
      <c r="Q80" t="str">
        <f ca="1"/>
        <v>Grace</v>
      </c>
      <c r="R80">
        <f ca="1"/>
        <v>35</v>
      </c>
      <c r="S80">
        <f ca="1"/>
        <v>70000</v>
      </c>
      <c r="T80" t="str">
        <f ca="1"/>
        <v>Female</v>
      </c>
      <c r="U80" t="str">
        <f ca="1"/>
        <v>HR</v>
      </c>
      <c r="V80" t="str">
        <f ca="1"/>
        <v>Assistant</v>
      </c>
      <c r="W80">
        <f ca="1"/>
        <v>43800</v>
      </c>
      <c r="X80" t="str">
        <f ca="1"/>
        <v>D</v>
      </c>
      <c r="Y80" t="str">
        <f ca="1"/>
        <v>user@domain.com</v>
      </c>
      <c r="Z80" t="str">
        <f ca="1"/>
        <v>555-555-5555</v>
      </c>
      <c r="AA80" t="str">
        <f ca="1"/>
        <v>Mid-Career</v>
      </c>
      <c r="AB80">
        <f ca="1"/>
        <v>6</v>
      </c>
      <c r="AC80" t="str">
        <f ca="1"/>
        <v>High</v>
      </c>
      <c r="AD80">
        <f ca="1"/>
        <v>2019</v>
      </c>
      <c r="AE80">
        <f ca="1"/>
        <v>2</v>
      </c>
    </row>
    <row r="81" spans="1:31" x14ac:dyDescent="0.3">
      <c r="A81" t="s">
        <v>60</v>
      </c>
      <c r="B81">
        <v>36</v>
      </c>
      <c r="C81" s="6">
        <v>70000</v>
      </c>
      <c r="D81" t="s">
        <v>18</v>
      </c>
      <c r="E81" t="s">
        <v>37</v>
      </c>
      <c r="F81" t="s">
        <v>13</v>
      </c>
      <c r="G81" s="7">
        <v>43800</v>
      </c>
      <c r="H81" t="s">
        <v>14</v>
      </c>
      <c r="I81" t="s">
        <v>22</v>
      </c>
      <c r="J81" t="s">
        <v>45</v>
      </c>
      <c r="K81" t="str">
        <f>IF(HR_Data5[[#This Row],[Age]]&lt;30,"Young",IF(HR_Data5[[#This Row],[Age]]&lt;=45,"Mid-Career","Senior"))</f>
        <v>Mid-Career</v>
      </c>
      <c r="L81" s="10">
        <f ca="1">DATEDIF(HR_Data5[[#This Row],[Joining Date]],TODAY(),"Y")</f>
        <v>6</v>
      </c>
      <c r="M81" s="10" t="str">
        <f>IF(HR_Data5[[#This Row],[Salary]]&lt;55000,"Low",IF(HR_Data5[[#This Row],[Salary]]&lt;=65000,"Medium","High"))</f>
        <v>High</v>
      </c>
      <c r="N81" s="10">
        <f>YEAR(HR_Data5[[#This Row],[Joining Date]])</f>
        <v>2019</v>
      </c>
      <c r="O81" s="10" cm="1">
        <f t="array" ref="O81">_xlfn.SWITCH(HR_Data5[[#This Row],[Performance Score]],
"A",5,
"B",4,
"C",3,
"D",2,
"F",1)</f>
        <v>2</v>
      </c>
      <c r="P81" s="10"/>
      <c r="Q81" t="str">
        <f ca="1"/>
        <v>Eve</v>
      </c>
      <c r="R81">
        <f ca="1"/>
        <v>50</v>
      </c>
      <c r="S81">
        <f ca="1"/>
        <v>70000</v>
      </c>
      <c r="T81" t="str">
        <f ca="1"/>
        <v>Male</v>
      </c>
      <c r="U81" t="str">
        <f ca="1"/>
        <v>HR</v>
      </c>
      <c r="V81" t="str">
        <f ca="1"/>
        <v>Assistant</v>
      </c>
      <c r="W81">
        <f ca="1"/>
        <v>43549</v>
      </c>
      <c r="X81" t="str">
        <f ca="1"/>
        <v>B</v>
      </c>
      <c r="Y81" t="str">
        <f ca="1"/>
        <v>Missing</v>
      </c>
      <c r="Z81" t="str">
        <f ca="1"/>
        <v>123-456-7890</v>
      </c>
      <c r="AA81" t="str">
        <f ca="1"/>
        <v>Senior</v>
      </c>
      <c r="AB81">
        <f ca="1"/>
        <v>6</v>
      </c>
      <c r="AC81" t="str">
        <f ca="1"/>
        <v>High</v>
      </c>
      <c r="AD81">
        <f ca="1"/>
        <v>2019</v>
      </c>
      <c r="AE81">
        <f ca="1"/>
        <v>4</v>
      </c>
    </row>
    <row r="82" spans="1:31" x14ac:dyDescent="0.3">
      <c r="A82" t="s">
        <v>51</v>
      </c>
      <c r="B82">
        <v>50</v>
      </c>
      <c r="C82" s="6">
        <v>70000</v>
      </c>
      <c r="D82" t="s">
        <v>18</v>
      </c>
      <c r="E82" t="s">
        <v>37</v>
      </c>
      <c r="F82" t="s">
        <v>39</v>
      </c>
      <c r="G82" s="7">
        <v>43195</v>
      </c>
      <c r="H82" t="s">
        <v>27</v>
      </c>
      <c r="I82" t="s">
        <v>69</v>
      </c>
      <c r="J82" t="s">
        <v>28</v>
      </c>
      <c r="K82" t="str">
        <f>IF(HR_Data5[[#This Row],[Age]]&lt;30,"Young",IF(HR_Data5[[#This Row],[Age]]&lt;=45,"Mid-Career","Senior"))</f>
        <v>Senior</v>
      </c>
      <c r="L82" s="10">
        <f ca="1">DATEDIF(HR_Data5[[#This Row],[Joining Date]],TODAY(),"Y")</f>
        <v>7</v>
      </c>
      <c r="M82" s="10" t="str">
        <f>IF(HR_Data5[[#This Row],[Salary]]&lt;55000,"Low",IF(HR_Data5[[#This Row],[Salary]]&lt;=65000,"Medium","High"))</f>
        <v>High</v>
      </c>
      <c r="N82" s="10">
        <f>YEAR(HR_Data5[[#This Row],[Joining Date]])</f>
        <v>2018</v>
      </c>
      <c r="O82" s="10" cm="1">
        <f t="array" ref="O82">_xlfn.SWITCH(HR_Data5[[#This Row],[Performance Score]],
"A",5,
"B",4,
"C",3,
"D",2,
"F",1)</f>
        <v>3</v>
      </c>
      <c r="P82" s="10"/>
      <c r="Q82" t="str">
        <f ca="1"/>
        <v>Hannah</v>
      </c>
      <c r="R82">
        <f ca="1"/>
        <v>25</v>
      </c>
      <c r="S82">
        <f ca="1"/>
        <v>70000</v>
      </c>
      <c r="T82" t="str">
        <f ca="1"/>
        <v>Female</v>
      </c>
      <c r="U82" t="str">
        <f ca="1"/>
        <v>HR</v>
      </c>
      <c r="V82" t="str">
        <f ca="1"/>
        <v>Analyst</v>
      </c>
      <c r="W82">
        <f ca="1"/>
        <v>43549</v>
      </c>
      <c r="X82" t="str">
        <f ca="1"/>
        <v>A</v>
      </c>
      <c r="Y82" t="str">
        <f ca="1"/>
        <v>Missing</v>
      </c>
      <c r="Z82" t="str">
        <f ca="1"/>
        <v>098-765-4321</v>
      </c>
      <c r="AA82" t="str">
        <f ca="1"/>
        <v>Young</v>
      </c>
      <c r="AB82">
        <f ca="1"/>
        <v>6</v>
      </c>
      <c r="AC82" t="str">
        <f ca="1"/>
        <v>High</v>
      </c>
      <c r="AD82">
        <f ca="1"/>
        <v>2019</v>
      </c>
      <c r="AE82">
        <f ca="1"/>
        <v>5</v>
      </c>
    </row>
    <row r="83" spans="1:31" x14ac:dyDescent="0.3">
      <c r="A83" t="s">
        <v>60</v>
      </c>
      <c r="B83">
        <v>50</v>
      </c>
      <c r="C83" s="6">
        <v>55000</v>
      </c>
      <c r="D83" t="s">
        <v>36</v>
      </c>
      <c r="E83" t="s">
        <v>26</v>
      </c>
      <c r="F83" t="s">
        <v>43</v>
      </c>
      <c r="G83" s="7">
        <v>43800</v>
      </c>
      <c r="H83" t="s">
        <v>21</v>
      </c>
      <c r="I83" t="s">
        <v>69</v>
      </c>
      <c r="J83" t="s">
        <v>69</v>
      </c>
      <c r="K83" t="str">
        <f>IF(HR_Data5[[#This Row],[Age]]&lt;30,"Young",IF(HR_Data5[[#This Row],[Age]]&lt;=45,"Mid-Career","Senior"))</f>
        <v>Senior</v>
      </c>
      <c r="L83" s="10">
        <f ca="1">DATEDIF(HR_Data5[[#This Row],[Joining Date]],TODAY(),"Y")</f>
        <v>6</v>
      </c>
      <c r="M83" s="10" t="str">
        <f>IF(HR_Data5[[#This Row],[Salary]]&lt;55000,"Low",IF(HR_Data5[[#This Row],[Salary]]&lt;=65000,"Medium","High"))</f>
        <v>Medium</v>
      </c>
      <c r="N83" s="10">
        <f>YEAR(HR_Data5[[#This Row],[Joining Date]])</f>
        <v>2019</v>
      </c>
      <c r="O83" s="10" cm="1">
        <f t="array" ref="O83">_xlfn.SWITCH(HR_Data5[[#This Row],[Performance Score]],
"A",5,
"B",4,
"C",3,
"D",2,
"F",1)</f>
        <v>1</v>
      </c>
      <c r="P83" s="10"/>
      <c r="Q83" t="str">
        <f ca="1"/>
        <v>Grace</v>
      </c>
      <c r="R83">
        <f ca="1"/>
        <v>25</v>
      </c>
      <c r="S83">
        <f ca="1"/>
        <v>70000</v>
      </c>
      <c r="T83" t="str">
        <f ca="1"/>
        <v>Other</v>
      </c>
      <c r="U83" t="str">
        <f ca="1"/>
        <v>HR</v>
      </c>
      <c r="V83" t="str">
        <f ca="1"/>
        <v>Director</v>
      </c>
      <c r="W83">
        <f ca="1"/>
        <v>43881</v>
      </c>
      <c r="X83" t="str">
        <f ca="1"/>
        <v>B</v>
      </c>
      <c r="Y83" t="str">
        <f ca="1"/>
        <v>Missing</v>
      </c>
      <c r="Z83" t="str">
        <f ca="1"/>
        <v>098-765-4321</v>
      </c>
      <c r="AA83" t="str">
        <f ca="1"/>
        <v>Young</v>
      </c>
      <c r="AB83">
        <f ca="1"/>
        <v>6</v>
      </c>
      <c r="AC83" t="str">
        <f ca="1"/>
        <v>High</v>
      </c>
      <c r="AD83">
        <f ca="1"/>
        <v>2020</v>
      </c>
      <c r="AE83">
        <f ca="1"/>
        <v>4</v>
      </c>
    </row>
    <row r="84" spans="1:31" x14ac:dyDescent="0.3">
      <c r="A84" t="s">
        <v>53</v>
      </c>
      <c r="B84">
        <v>36</v>
      </c>
      <c r="C84" s="6">
        <v>50000</v>
      </c>
      <c r="D84" t="s">
        <v>36</v>
      </c>
      <c r="E84" t="s">
        <v>19</v>
      </c>
      <c r="F84" t="s">
        <v>13</v>
      </c>
      <c r="G84" s="7">
        <v>43881</v>
      </c>
      <c r="H84" t="s">
        <v>14</v>
      </c>
      <c r="I84" t="s">
        <v>15</v>
      </c>
      <c r="J84" t="s">
        <v>69</v>
      </c>
      <c r="K84" t="str">
        <f>IF(HR_Data5[[#This Row],[Age]]&lt;30,"Young",IF(HR_Data5[[#This Row],[Age]]&lt;=45,"Mid-Career","Senior"))</f>
        <v>Mid-Career</v>
      </c>
      <c r="L84" s="10">
        <f ca="1">DATEDIF(HR_Data5[[#This Row],[Joining Date]],TODAY(),"Y")</f>
        <v>6</v>
      </c>
      <c r="M84" s="10" t="str">
        <f>IF(HR_Data5[[#This Row],[Salary]]&lt;55000,"Low",IF(HR_Data5[[#This Row],[Salary]]&lt;=65000,"Medium","High"))</f>
        <v>Low</v>
      </c>
      <c r="N84" s="10">
        <f>YEAR(HR_Data5[[#This Row],[Joining Date]])</f>
        <v>2020</v>
      </c>
      <c r="O84" s="10" cm="1">
        <f t="array" ref="O84">_xlfn.SWITCH(HR_Data5[[#This Row],[Performance Score]],
"A",5,
"B",4,
"C",3,
"D",2,
"F",1)</f>
        <v>2</v>
      </c>
      <c r="P84" s="10"/>
      <c r="Q84" t="str">
        <f ca="1"/>
        <v>David</v>
      </c>
      <c r="R84">
        <f ca="1"/>
        <v>36</v>
      </c>
      <c r="S84">
        <f ca="1"/>
        <v>70000</v>
      </c>
      <c r="T84" t="str">
        <f ca="1"/>
        <v>Female</v>
      </c>
      <c r="U84" t="str">
        <f ca="1"/>
        <v>HR</v>
      </c>
      <c r="V84" t="str">
        <f ca="1"/>
        <v>Analyst</v>
      </c>
      <c r="W84">
        <f ca="1"/>
        <v>43881</v>
      </c>
      <c r="X84" t="str">
        <f ca="1"/>
        <v>C</v>
      </c>
      <c r="Y84" t="str">
        <f ca="1"/>
        <v>Missing</v>
      </c>
      <c r="Z84" t="str">
        <f ca="1"/>
        <v>123-456-7890</v>
      </c>
      <c r="AA84" t="str">
        <f ca="1"/>
        <v>Mid-Career</v>
      </c>
      <c r="AB84">
        <f ca="1"/>
        <v>6</v>
      </c>
      <c r="AC84" t="str">
        <f ca="1"/>
        <v>High</v>
      </c>
      <c r="AD84">
        <f ca="1"/>
        <v>2020</v>
      </c>
      <c r="AE84">
        <f ca="1"/>
        <v>3</v>
      </c>
    </row>
    <row r="85" spans="1:31" x14ac:dyDescent="0.3">
      <c r="A85" t="s">
        <v>59</v>
      </c>
      <c r="B85">
        <v>40</v>
      </c>
      <c r="C85" s="6">
        <v>65000</v>
      </c>
      <c r="D85" t="s">
        <v>36</v>
      </c>
      <c r="E85" t="s">
        <v>19</v>
      </c>
      <c r="F85" t="s">
        <v>43</v>
      </c>
      <c r="G85" s="7">
        <v>43800</v>
      </c>
      <c r="H85" t="s">
        <v>31</v>
      </c>
      <c r="I85" t="s">
        <v>15</v>
      </c>
      <c r="J85" t="s">
        <v>69</v>
      </c>
      <c r="K85" t="str">
        <f>IF(HR_Data5[[#This Row],[Age]]&lt;30,"Young",IF(HR_Data5[[#This Row],[Age]]&lt;=45,"Mid-Career","Senior"))</f>
        <v>Mid-Career</v>
      </c>
      <c r="L85" s="10">
        <f ca="1">DATEDIF(HR_Data5[[#This Row],[Joining Date]],TODAY(),"Y")</f>
        <v>6</v>
      </c>
      <c r="M85" s="10" t="str">
        <f>IF(HR_Data5[[#This Row],[Salary]]&lt;55000,"Low",IF(HR_Data5[[#This Row],[Salary]]&lt;=65000,"Medium","High"))</f>
        <v>Medium</v>
      </c>
      <c r="N85" s="10">
        <f>YEAR(HR_Data5[[#This Row],[Joining Date]])</f>
        <v>2019</v>
      </c>
      <c r="O85" s="10" cm="1">
        <f t="array" ref="O85">_xlfn.SWITCH(HR_Data5[[#This Row],[Performance Score]],
"A",5,
"B",4,
"C",3,
"D",2,
"F",1)</f>
        <v>5</v>
      </c>
      <c r="P85" s="10"/>
      <c r="Q85" t="str">
        <f ca="1"/>
        <v>Grace</v>
      </c>
      <c r="R85">
        <f ca="1"/>
        <v>35</v>
      </c>
      <c r="S85">
        <f ca="1"/>
        <v>70000</v>
      </c>
      <c r="T85" t="str">
        <f ca="1"/>
        <v>Male</v>
      </c>
      <c r="U85" t="str">
        <f ca="1"/>
        <v>HR</v>
      </c>
      <c r="V85" t="str">
        <f ca="1"/>
        <v>Assistant</v>
      </c>
      <c r="W85">
        <f ca="1"/>
        <v>43845</v>
      </c>
      <c r="X85" t="str">
        <f ca="1"/>
        <v>D</v>
      </c>
      <c r="Y85" t="str">
        <f ca="1"/>
        <v>Missing</v>
      </c>
      <c r="Z85" t="str">
        <f ca="1"/>
        <v>Missing</v>
      </c>
      <c r="AA85" t="str">
        <f ca="1"/>
        <v>Mid-Career</v>
      </c>
      <c r="AB85">
        <f ca="1"/>
        <v>6</v>
      </c>
      <c r="AC85" t="str">
        <f ca="1"/>
        <v>High</v>
      </c>
      <c r="AD85">
        <f ca="1"/>
        <v>2020</v>
      </c>
      <c r="AE85">
        <f ca="1"/>
        <v>2</v>
      </c>
    </row>
    <row r="86" spans="1:31" x14ac:dyDescent="0.3">
      <c r="A86" t="s">
        <v>53</v>
      </c>
      <c r="B86">
        <v>25</v>
      </c>
      <c r="C86" s="6">
        <v>70000</v>
      </c>
      <c r="D86" t="s">
        <v>18</v>
      </c>
      <c r="E86" t="s">
        <v>12</v>
      </c>
      <c r="F86" t="s">
        <v>44</v>
      </c>
      <c r="G86" s="7">
        <v>43845</v>
      </c>
      <c r="H86" t="s">
        <v>14</v>
      </c>
      <c r="I86" t="s">
        <v>15</v>
      </c>
      <c r="J86" t="s">
        <v>69</v>
      </c>
      <c r="K86" t="str">
        <f>IF(HR_Data5[[#This Row],[Age]]&lt;30,"Young",IF(HR_Data5[[#This Row],[Age]]&lt;=45,"Mid-Career","Senior"))</f>
        <v>Young</v>
      </c>
      <c r="L86" s="10">
        <f ca="1">DATEDIF(HR_Data5[[#This Row],[Joining Date]],TODAY(),"Y")</f>
        <v>6</v>
      </c>
      <c r="M86" s="10" t="str">
        <f>IF(HR_Data5[[#This Row],[Salary]]&lt;55000,"Low",IF(HR_Data5[[#This Row],[Salary]]&lt;=65000,"Medium","High"))</f>
        <v>High</v>
      </c>
      <c r="N86" s="10">
        <f>YEAR(HR_Data5[[#This Row],[Joining Date]])</f>
        <v>2020</v>
      </c>
      <c r="O86" s="10" cm="1">
        <f t="array" ref="O86">_xlfn.SWITCH(HR_Data5[[#This Row],[Performance Score]],
"A",5,
"B",4,
"C",3,
"D",2,
"F",1)</f>
        <v>2</v>
      </c>
      <c r="P86" s="10"/>
      <c r="Q86" t="str">
        <f ca="1"/>
        <v>Frank</v>
      </c>
      <c r="R86">
        <f ca="1"/>
        <v>50</v>
      </c>
      <c r="S86">
        <f ca="1"/>
        <v>70000</v>
      </c>
      <c r="T86" t="str">
        <f ca="1"/>
        <v>Male</v>
      </c>
      <c r="U86" t="str">
        <f ca="1"/>
        <v>HR</v>
      </c>
      <c r="V86" t="str">
        <f ca="1"/>
        <v>Director</v>
      </c>
      <c r="W86">
        <f ca="1"/>
        <v>43195</v>
      </c>
      <c r="X86" t="str">
        <f ca="1"/>
        <v>F</v>
      </c>
      <c r="Y86" t="str">
        <f ca="1"/>
        <v>user@domain.com</v>
      </c>
      <c r="Z86" t="str">
        <f ca="1"/>
        <v>123-456-7890</v>
      </c>
      <c r="AA86" t="str">
        <f ca="1"/>
        <v>Senior</v>
      </c>
      <c r="AB86">
        <f ca="1"/>
        <v>7</v>
      </c>
      <c r="AC86" t="str">
        <f ca="1"/>
        <v>High</v>
      </c>
      <c r="AD86">
        <f ca="1"/>
        <v>2018</v>
      </c>
      <c r="AE86">
        <f ca="1"/>
        <v>1</v>
      </c>
    </row>
    <row r="87" spans="1:31" x14ac:dyDescent="0.3">
      <c r="A87" t="s">
        <v>53</v>
      </c>
      <c r="B87">
        <v>25</v>
      </c>
      <c r="C87" s="6">
        <v>55000</v>
      </c>
      <c r="D87" t="s">
        <v>11</v>
      </c>
      <c r="E87" t="s">
        <v>19</v>
      </c>
      <c r="F87" t="s">
        <v>43</v>
      </c>
      <c r="G87" s="7">
        <v>43845</v>
      </c>
      <c r="H87" t="s">
        <v>21</v>
      </c>
      <c r="I87" t="s">
        <v>69</v>
      </c>
      <c r="J87" t="s">
        <v>28</v>
      </c>
      <c r="K87" t="str">
        <f>IF(HR_Data5[[#This Row],[Age]]&lt;30,"Young",IF(HR_Data5[[#This Row],[Age]]&lt;=45,"Mid-Career","Senior"))</f>
        <v>Young</v>
      </c>
      <c r="L87" s="10">
        <f ca="1">DATEDIF(HR_Data5[[#This Row],[Joining Date]],TODAY(),"Y")</f>
        <v>6</v>
      </c>
      <c r="M87" s="10" t="str">
        <f>IF(HR_Data5[[#This Row],[Salary]]&lt;55000,"Low",IF(HR_Data5[[#This Row],[Salary]]&lt;=65000,"Medium","High"))</f>
        <v>Medium</v>
      </c>
      <c r="N87" s="10">
        <f>YEAR(HR_Data5[[#This Row],[Joining Date]])</f>
        <v>2020</v>
      </c>
      <c r="O87" s="10" cm="1">
        <f t="array" ref="O87">_xlfn.SWITCH(HR_Data5[[#This Row],[Performance Score]],
"A",5,
"B",4,
"C",3,
"D",2,
"F",1)</f>
        <v>1</v>
      </c>
      <c r="P87" s="10"/>
      <c r="Q87" t="str">
        <f ca="1"/>
        <v>Frank</v>
      </c>
      <c r="R87">
        <f ca="1"/>
        <v>35</v>
      </c>
      <c r="S87">
        <f ca="1"/>
        <v>70000</v>
      </c>
      <c r="T87" t="str">
        <f ca="1"/>
        <v>Female</v>
      </c>
      <c r="U87" t="str">
        <f ca="1"/>
        <v>HR</v>
      </c>
      <c r="V87" t="str">
        <f ca="1"/>
        <v>Assistant</v>
      </c>
      <c r="W87">
        <f ca="1"/>
        <v>43800</v>
      </c>
      <c r="X87" t="str">
        <f ca="1"/>
        <v>C</v>
      </c>
      <c r="Y87" t="str">
        <f ca="1"/>
        <v>user@domain.com</v>
      </c>
      <c r="Z87" t="str">
        <f ca="1"/>
        <v>Missing</v>
      </c>
      <c r="AA87" t="str">
        <f ca="1"/>
        <v>Mid-Career</v>
      </c>
      <c r="AB87">
        <f ca="1"/>
        <v>6</v>
      </c>
      <c r="AC87" t="str">
        <f ca="1"/>
        <v>High</v>
      </c>
      <c r="AD87">
        <f ca="1"/>
        <v>2019</v>
      </c>
      <c r="AE87">
        <f ca="1"/>
        <v>3</v>
      </c>
    </row>
    <row r="88" spans="1:31" x14ac:dyDescent="0.3">
      <c r="A88" t="s">
        <v>56</v>
      </c>
      <c r="B88">
        <v>40</v>
      </c>
      <c r="C88" s="6">
        <v>70000</v>
      </c>
      <c r="D88" t="s">
        <v>11</v>
      </c>
      <c r="E88" t="s">
        <v>30</v>
      </c>
      <c r="F88" t="s">
        <v>20</v>
      </c>
      <c r="G88" s="7">
        <v>43845</v>
      </c>
      <c r="H88" t="s">
        <v>14</v>
      </c>
      <c r="I88" t="s">
        <v>15</v>
      </c>
      <c r="J88" t="s">
        <v>23</v>
      </c>
      <c r="K88" t="str">
        <f>IF(HR_Data5[[#This Row],[Age]]&lt;30,"Young",IF(HR_Data5[[#This Row],[Age]]&lt;=45,"Mid-Career","Senior"))</f>
        <v>Mid-Career</v>
      </c>
      <c r="L88" s="10">
        <f ca="1">DATEDIF(HR_Data5[[#This Row],[Joining Date]],TODAY(),"Y")</f>
        <v>6</v>
      </c>
      <c r="M88" s="10" t="str">
        <f>IF(HR_Data5[[#This Row],[Salary]]&lt;55000,"Low",IF(HR_Data5[[#This Row],[Salary]]&lt;=65000,"Medium","High"))</f>
        <v>High</v>
      </c>
      <c r="N88" s="10">
        <f>YEAR(HR_Data5[[#This Row],[Joining Date]])</f>
        <v>2020</v>
      </c>
      <c r="O88" s="10" cm="1">
        <f t="array" ref="O88">_xlfn.SWITCH(HR_Data5[[#This Row],[Performance Score]],
"A",5,
"B",4,
"C",3,
"D",2,
"F",1)</f>
        <v>2</v>
      </c>
      <c r="P88" s="10"/>
      <c r="Q88" t="str">
        <f ca="1"/>
        <v>Alice</v>
      </c>
      <c r="R88">
        <f ca="1"/>
        <v>50</v>
      </c>
      <c r="S88">
        <f ca="1"/>
        <v>70000</v>
      </c>
      <c r="T88" t="str">
        <f ca="1"/>
        <v>Female</v>
      </c>
      <c r="U88" t="str">
        <f ca="1"/>
        <v>HR</v>
      </c>
      <c r="V88" t="str">
        <f ca="1"/>
        <v>Clerk</v>
      </c>
      <c r="W88">
        <f ca="1"/>
        <v>43549</v>
      </c>
      <c r="X88" t="str">
        <f ca="1"/>
        <v>A</v>
      </c>
      <c r="Y88" t="str">
        <f ca="1"/>
        <v>Missing</v>
      </c>
      <c r="Z88" t="str">
        <f ca="1"/>
        <v>Missing</v>
      </c>
      <c r="AA88" t="str">
        <f ca="1"/>
        <v>Senior</v>
      </c>
      <c r="AB88">
        <f ca="1"/>
        <v>6</v>
      </c>
      <c r="AC88" t="str">
        <f ca="1"/>
        <v>High</v>
      </c>
      <c r="AD88">
        <f ca="1"/>
        <v>2019</v>
      </c>
      <c r="AE88">
        <f ca="1"/>
        <v>5</v>
      </c>
    </row>
    <row r="89" spans="1:31" x14ac:dyDescent="0.3">
      <c r="A89" t="s">
        <v>59</v>
      </c>
      <c r="B89">
        <v>50</v>
      </c>
      <c r="C89" s="6">
        <v>65000</v>
      </c>
      <c r="D89" t="s">
        <v>36</v>
      </c>
      <c r="E89" t="s">
        <v>12</v>
      </c>
      <c r="F89" t="s">
        <v>43</v>
      </c>
      <c r="G89" s="7">
        <v>43549</v>
      </c>
      <c r="H89" t="s">
        <v>27</v>
      </c>
      <c r="I89" t="s">
        <v>15</v>
      </c>
      <c r="J89" t="s">
        <v>45</v>
      </c>
      <c r="K89" t="str">
        <f>IF(HR_Data5[[#This Row],[Age]]&lt;30,"Young",IF(HR_Data5[[#This Row],[Age]]&lt;=45,"Mid-Career","Senior"))</f>
        <v>Senior</v>
      </c>
      <c r="L89" s="10">
        <f ca="1">DATEDIF(HR_Data5[[#This Row],[Joining Date]],TODAY(),"Y")</f>
        <v>6</v>
      </c>
      <c r="M89" s="10" t="str">
        <f>IF(HR_Data5[[#This Row],[Salary]]&lt;55000,"Low",IF(HR_Data5[[#This Row],[Salary]]&lt;=65000,"Medium","High"))</f>
        <v>Medium</v>
      </c>
      <c r="N89" s="10">
        <f>YEAR(HR_Data5[[#This Row],[Joining Date]])</f>
        <v>2019</v>
      </c>
      <c r="O89" s="10" cm="1">
        <f t="array" ref="O89">_xlfn.SWITCH(HR_Data5[[#This Row],[Performance Score]],
"A",5,
"B",4,
"C",3,
"D",2,
"F",1)</f>
        <v>3</v>
      </c>
      <c r="P89" s="10"/>
      <c r="Q89" t="str">
        <f ca="1"/>
        <v>David</v>
      </c>
      <c r="R89">
        <f ca="1"/>
        <v>50</v>
      </c>
      <c r="S89">
        <f ca="1"/>
        <v>70000</v>
      </c>
      <c r="T89" t="str">
        <f ca="1"/>
        <v>Other</v>
      </c>
      <c r="U89" t="str">
        <f ca="1"/>
        <v>HR</v>
      </c>
      <c r="V89" t="str">
        <f ca="1"/>
        <v>Assistant</v>
      </c>
      <c r="W89">
        <f ca="1"/>
        <v>43845</v>
      </c>
      <c r="X89" t="str">
        <f ca="1"/>
        <v>F</v>
      </c>
      <c r="Y89" t="str">
        <f ca="1"/>
        <v>user@domain.com</v>
      </c>
      <c r="Z89" t="str">
        <f ca="1"/>
        <v>Missing</v>
      </c>
      <c r="AA89" t="str">
        <f ca="1"/>
        <v>Senior</v>
      </c>
      <c r="AB89">
        <f ca="1"/>
        <v>6</v>
      </c>
      <c r="AC89" t="str">
        <f ca="1"/>
        <v>High</v>
      </c>
      <c r="AD89">
        <f ca="1"/>
        <v>2020</v>
      </c>
      <c r="AE89">
        <f ca="1"/>
        <v>1</v>
      </c>
    </row>
    <row r="90" spans="1:31" x14ac:dyDescent="0.3">
      <c r="A90" t="s">
        <v>53</v>
      </c>
      <c r="B90">
        <v>35</v>
      </c>
      <c r="C90" s="6">
        <v>65000</v>
      </c>
      <c r="D90" t="s">
        <v>36</v>
      </c>
      <c r="E90" t="s">
        <v>30</v>
      </c>
      <c r="F90" t="s">
        <v>13</v>
      </c>
      <c r="G90" s="7">
        <v>43549</v>
      </c>
      <c r="H90" t="s">
        <v>41</v>
      </c>
      <c r="I90" t="s">
        <v>32</v>
      </c>
      <c r="J90" t="s">
        <v>69</v>
      </c>
      <c r="K90" t="str">
        <f>IF(HR_Data5[[#This Row],[Age]]&lt;30,"Young",IF(HR_Data5[[#This Row],[Age]]&lt;=45,"Mid-Career","Senior"))</f>
        <v>Mid-Career</v>
      </c>
      <c r="L90" s="10">
        <f ca="1">DATEDIF(HR_Data5[[#This Row],[Joining Date]],TODAY(),"Y")</f>
        <v>6</v>
      </c>
      <c r="M90" s="10" t="str">
        <f>IF(HR_Data5[[#This Row],[Salary]]&lt;55000,"Low",IF(HR_Data5[[#This Row],[Salary]]&lt;=65000,"Medium","High"))</f>
        <v>Medium</v>
      </c>
      <c r="N90" s="10">
        <f>YEAR(HR_Data5[[#This Row],[Joining Date]])</f>
        <v>2019</v>
      </c>
      <c r="O90" s="10" cm="1">
        <f t="array" ref="O90">_xlfn.SWITCH(HR_Data5[[#This Row],[Performance Score]],
"A",5,
"B",4,
"C",3,
"D",2,
"F",1)</f>
        <v>4</v>
      </c>
      <c r="P90" s="10"/>
      <c r="Q90" t="str">
        <f ca="1"/>
        <v>Bob</v>
      </c>
      <c r="R90">
        <f ca="1"/>
        <v>30</v>
      </c>
      <c r="S90">
        <f ca="1"/>
        <v>70000</v>
      </c>
      <c r="T90" t="str">
        <f ca="1"/>
        <v>Male</v>
      </c>
      <c r="U90" t="str">
        <f ca="1"/>
        <v>HR</v>
      </c>
      <c r="V90" t="str">
        <f ca="1"/>
        <v>Assistant</v>
      </c>
      <c r="W90">
        <f ca="1"/>
        <v>43195</v>
      </c>
      <c r="X90" t="str">
        <f ca="1"/>
        <v>A</v>
      </c>
      <c r="Y90" t="str">
        <f ca="1"/>
        <v>Missing</v>
      </c>
      <c r="Z90" t="str">
        <f ca="1"/>
        <v>Missing</v>
      </c>
      <c r="AA90" t="str">
        <f ca="1"/>
        <v>Mid-Career</v>
      </c>
      <c r="AB90">
        <f ca="1"/>
        <v>7</v>
      </c>
      <c r="AC90" t="str">
        <f ca="1"/>
        <v>High</v>
      </c>
      <c r="AD90">
        <f ca="1"/>
        <v>2018</v>
      </c>
      <c r="AE90">
        <f ca="1"/>
        <v>5</v>
      </c>
    </row>
    <row r="91" spans="1:31" x14ac:dyDescent="0.3">
      <c r="A91" t="s">
        <v>56</v>
      </c>
      <c r="B91">
        <v>35</v>
      </c>
      <c r="C91" s="6">
        <v>60000</v>
      </c>
      <c r="D91" t="s">
        <v>36</v>
      </c>
      <c r="E91" t="s">
        <v>26</v>
      </c>
      <c r="F91" t="s">
        <v>13</v>
      </c>
      <c r="G91" s="7">
        <v>43549</v>
      </c>
      <c r="H91" t="s">
        <v>41</v>
      </c>
      <c r="I91" t="s">
        <v>15</v>
      </c>
      <c r="J91" t="s">
        <v>45</v>
      </c>
      <c r="K91" t="str">
        <f>IF(HR_Data5[[#This Row],[Age]]&lt;30,"Young",IF(HR_Data5[[#This Row],[Age]]&lt;=45,"Mid-Career","Senior"))</f>
        <v>Mid-Career</v>
      </c>
      <c r="L91" s="10">
        <f ca="1">DATEDIF(HR_Data5[[#This Row],[Joining Date]],TODAY(),"Y")</f>
        <v>6</v>
      </c>
      <c r="M91" s="10" t="str">
        <f>IF(HR_Data5[[#This Row],[Salary]]&lt;55000,"Low",IF(HR_Data5[[#This Row],[Salary]]&lt;=65000,"Medium","High"))</f>
        <v>Medium</v>
      </c>
      <c r="N91" s="10">
        <f>YEAR(HR_Data5[[#This Row],[Joining Date]])</f>
        <v>2019</v>
      </c>
      <c r="O91" s="10" cm="1">
        <f t="array" ref="O91">_xlfn.SWITCH(HR_Data5[[#This Row],[Performance Score]],
"A",5,
"B",4,
"C",3,
"D",2,
"F",1)</f>
        <v>4</v>
      </c>
      <c r="P91" s="10"/>
      <c r="Q91" t="str">
        <f ca="1"/>
        <v>David</v>
      </c>
      <c r="R91">
        <f ca="1"/>
        <v>25</v>
      </c>
      <c r="S91">
        <f ca="1"/>
        <v>65000</v>
      </c>
      <c r="T91" t="str">
        <f ca="1"/>
        <v>Male</v>
      </c>
      <c r="U91" t="str">
        <f ca="1"/>
        <v>HR</v>
      </c>
      <c r="V91" t="str">
        <f ca="1"/>
        <v>Assistant</v>
      </c>
      <c r="W91">
        <f ca="1"/>
        <v>43800</v>
      </c>
      <c r="X91" t="str">
        <f ca="1"/>
        <v>C</v>
      </c>
      <c r="Y91" t="str">
        <f ca="1"/>
        <v>Missing</v>
      </c>
      <c r="Z91" t="str">
        <f ca="1"/>
        <v>555-555-5555</v>
      </c>
      <c r="AA91" t="str">
        <f ca="1"/>
        <v>Young</v>
      </c>
      <c r="AB91">
        <f ca="1"/>
        <v>6</v>
      </c>
      <c r="AC91" t="str">
        <f ca="1"/>
        <v>Medium</v>
      </c>
      <c r="AD91">
        <f ca="1"/>
        <v>2019</v>
      </c>
      <c r="AE91">
        <f ca="1"/>
        <v>3</v>
      </c>
    </row>
    <row r="92" spans="1:31" x14ac:dyDescent="0.3">
      <c r="A92" t="s">
        <v>56</v>
      </c>
      <c r="B92">
        <v>35</v>
      </c>
      <c r="C92" s="6" t="s">
        <v>68</v>
      </c>
      <c r="D92" t="s">
        <v>36</v>
      </c>
      <c r="E92" t="s">
        <v>37</v>
      </c>
      <c r="F92" t="s">
        <v>43</v>
      </c>
      <c r="G92" s="7">
        <v>43800</v>
      </c>
      <c r="H92" t="s">
        <v>21</v>
      </c>
      <c r="I92" t="s">
        <v>22</v>
      </c>
      <c r="J92" t="s">
        <v>23</v>
      </c>
      <c r="K92" t="str">
        <f>IF(HR_Data5[[#This Row],[Age]]&lt;30,"Young",IF(HR_Data5[[#This Row],[Age]]&lt;=45,"Mid-Career","Senior"))</f>
        <v>Mid-Career</v>
      </c>
      <c r="L92" s="10">
        <f ca="1">DATEDIF(HR_Data5[[#This Row],[Joining Date]],TODAY(),"Y")</f>
        <v>6</v>
      </c>
      <c r="M92" s="10" t="str">
        <f>IF(HR_Data5[[#This Row],[Salary]]&lt;55000,"Low",IF(HR_Data5[[#This Row],[Salary]]&lt;=65000,"Medium","High"))</f>
        <v>High</v>
      </c>
      <c r="N92" s="10">
        <f>YEAR(HR_Data5[[#This Row],[Joining Date]])</f>
        <v>2019</v>
      </c>
      <c r="O92" s="10" cm="1">
        <f t="array" ref="O92">_xlfn.SWITCH(HR_Data5[[#This Row],[Performance Score]],
"A",5,
"B",4,
"C",3,
"D",2,
"F",1)</f>
        <v>1</v>
      </c>
      <c r="P92" s="10"/>
      <c r="Q92" t="str">
        <f ca="1"/>
        <v>Bob</v>
      </c>
      <c r="R92">
        <f ca="1"/>
        <v>36</v>
      </c>
      <c r="S92">
        <f ca="1"/>
        <v>65000</v>
      </c>
      <c r="T92" t="str">
        <f ca="1"/>
        <v>Other</v>
      </c>
      <c r="U92" t="str">
        <f ca="1"/>
        <v>HR</v>
      </c>
      <c r="V92" t="str">
        <f ca="1"/>
        <v>Director</v>
      </c>
      <c r="W92">
        <f ca="1"/>
        <v>43845</v>
      </c>
      <c r="X92" t="str">
        <f ca="1"/>
        <v>D</v>
      </c>
      <c r="Y92" t="str">
        <f ca="1"/>
        <v>Missing</v>
      </c>
      <c r="Z92" t="str">
        <f ca="1"/>
        <v>Missing</v>
      </c>
      <c r="AA92" t="str">
        <f ca="1"/>
        <v>Mid-Career</v>
      </c>
      <c r="AB92">
        <f ca="1"/>
        <v>6</v>
      </c>
      <c r="AC92" t="str">
        <f ca="1"/>
        <v>Medium</v>
      </c>
      <c r="AD92">
        <f ca="1"/>
        <v>2020</v>
      </c>
      <c r="AE92">
        <f ca="1"/>
        <v>2</v>
      </c>
    </row>
    <row r="93" spans="1:31" x14ac:dyDescent="0.3">
      <c r="A93" t="s">
        <v>59</v>
      </c>
      <c r="B93">
        <v>50</v>
      </c>
      <c r="C93" s="6" t="s">
        <v>68</v>
      </c>
      <c r="D93" t="s">
        <v>18</v>
      </c>
      <c r="E93" t="s">
        <v>26</v>
      </c>
      <c r="F93" t="s">
        <v>13</v>
      </c>
      <c r="G93" s="7">
        <v>43549</v>
      </c>
      <c r="H93" t="s">
        <v>41</v>
      </c>
      <c r="I93" t="s">
        <v>69</v>
      </c>
      <c r="J93" t="s">
        <v>69</v>
      </c>
      <c r="K93" t="str">
        <f>IF(HR_Data5[[#This Row],[Age]]&lt;30,"Young",IF(HR_Data5[[#This Row],[Age]]&lt;=45,"Mid-Career","Senior"))</f>
        <v>Senior</v>
      </c>
      <c r="L93" s="10">
        <f ca="1">DATEDIF(HR_Data5[[#This Row],[Joining Date]],TODAY(),"Y")</f>
        <v>6</v>
      </c>
      <c r="M93" s="10" t="str">
        <f>IF(HR_Data5[[#This Row],[Salary]]&lt;55000,"Low",IF(HR_Data5[[#This Row],[Salary]]&lt;=65000,"Medium","High"))</f>
        <v>High</v>
      </c>
      <c r="N93" s="10">
        <f>YEAR(HR_Data5[[#This Row],[Joining Date]])</f>
        <v>2019</v>
      </c>
      <c r="O93" s="10" cm="1">
        <f t="array" ref="O93">_xlfn.SWITCH(HR_Data5[[#This Row],[Performance Score]],
"A",5,
"B",4,
"C",3,
"D",2,
"F",1)</f>
        <v>4</v>
      </c>
      <c r="P93" s="10"/>
      <c r="Q93" t="str">
        <f ca="1"/>
        <v>Alice</v>
      </c>
      <c r="R93">
        <f ca="1"/>
        <v>50</v>
      </c>
      <c r="S93">
        <f ca="1"/>
        <v>65000</v>
      </c>
      <c r="T93" t="str">
        <f ca="1"/>
        <v>Other</v>
      </c>
      <c r="U93" t="str">
        <f ca="1"/>
        <v>HR</v>
      </c>
      <c r="V93" t="str">
        <f ca="1"/>
        <v>Assistant</v>
      </c>
      <c r="W93">
        <f ca="1"/>
        <v>43549</v>
      </c>
      <c r="X93" t="str">
        <f ca="1"/>
        <v>C</v>
      </c>
      <c r="Y93" t="str">
        <f ca="1"/>
        <v>email@example.com</v>
      </c>
      <c r="Z93" t="str">
        <f ca="1"/>
        <v>555-555-5555</v>
      </c>
      <c r="AA93" t="str">
        <f ca="1"/>
        <v>Senior</v>
      </c>
      <c r="AB93">
        <f ca="1"/>
        <v>6</v>
      </c>
      <c r="AC93" t="str">
        <f ca="1"/>
        <v>Medium</v>
      </c>
      <c r="AD93">
        <f ca="1"/>
        <v>2019</v>
      </c>
      <c r="AE93">
        <f ca="1"/>
        <v>3</v>
      </c>
    </row>
    <row r="94" spans="1:31" x14ac:dyDescent="0.3">
      <c r="A94" t="s">
        <v>54</v>
      </c>
      <c r="B94">
        <v>50</v>
      </c>
      <c r="C94" s="6">
        <v>55000</v>
      </c>
      <c r="D94" t="s">
        <v>11</v>
      </c>
      <c r="E94" t="s">
        <v>37</v>
      </c>
      <c r="F94" t="s">
        <v>13</v>
      </c>
      <c r="G94" s="7">
        <v>43881</v>
      </c>
      <c r="H94" t="s">
        <v>41</v>
      </c>
      <c r="I94" t="s">
        <v>69</v>
      </c>
      <c r="J94" t="s">
        <v>45</v>
      </c>
      <c r="K94" t="str">
        <f>IF(HR_Data5[[#This Row],[Age]]&lt;30,"Young",IF(HR_Data5[[#This Row],[Age]]&lt;=45,"Mid-Career","Senior"))</f>
        <v>Senior</v>
      </c>
      <c r="L94" s="10">
        <f ca="1">DATEDIF(HR_Data5[[#This Row],[Joining Date]],TODAY(),"Y")</f>
        <v>6</v>
      </c>
      <c r="M94" s="10" t="str">
        <f>IF(HR_Data5[[#This Row],[Salary]]&lt;55000,"Low",IF(HR_Data5[[#This Row],[Salary]]&lt;=65000,"Medium","High"))</f>
        <v>Medium</v>
      </c>
      <c r="N94" s="10">
        <f>YEAR(HR_Data5[[#This Row],[Joining Date]])</f>
        <v>2020</v>
      </c>
      <c r="O94" s="10" cm="1">
        <f t="array" ref="O94">_xlfn.SWITCH(HR_Data5[[#This Row],[Performance Score]],
"A",5,
"B",4,
"C",3,
"D",2,
"F",1)</f>
        <v>4</v>
      </c>
      <c r="P94" s="10"/>
      <c r="Q94" t="str">
        <f ca="1"/>
        <v>Charlie</v>
      </c>
      <c r="R94">
        <f ca="1"/>
        <v>25</v>
      </c>
      <c r="S94">
        <f ca="1"/>
        <v>65000</v>
      </c>
      <c r="T94" t="str">
        <f ca="1"/>
        <v>Female</v>
      </c>
      <c r="U94" t="str">
        <f ca="1"/>
        <v>HR</v>
      </c>
      <c r="V94" t="str">
        <f ca="1"/>
        <v>Analyst</v>
      </c>
      <c r="W94">
        <f ca="1"/>
        <v>43800</v>
      </c>
      <c r="X94" t="str">
        <f ca="1"/>
        <v>A</v>
      </c>
      <c r="Y94" t="str">
        <f ca="1"/>
        <v>Missing</v>
      </c>
      <c r="Z94" t="str">
        <f ca="1"/>
        <v>098-765-4321</v>
      </c>
      <c r="AA94" t="str">
        <f ca="1"/>
        <v>Young</v>
      </c>
      <c r="AB94">
        <f ca="1"/>
        <v>6</v>
      </c>
      <c r="AC94" t="str">
        <f ca="1"/>
        <v>Medium</v>
      </c>
      <c r="AD94">
        <f ca="1"/>
        <v>2019</v>
      </c>
      <c r="AE94">
        <f ca="1"/>
        <v>5</v>
      </c>
    </row>
    <row r="95" spans="1:31" x14ac:dyDescent="0.3">
      <c r="A95" t="s">
        <v>55</v>
      </c>
      <c r="B95">
        <v>40</v>
      </c>
      <c r="C95" s="6">
        <v>65000</v>
      </c>
      <c r="D95" t="s">
        <v>36</v>
      </c>
      <c r="E95" t="s">
        <v>26</v>
      </c>
      <c r="F95" t="s">
        <v>43</v>
      </c>
      <c r="G95" s="7">
        <v>43845</v>
      </c>
      <c r="H95" t="s">
        <v>31</v>
      </c>
      <c r="I95" t="s">
        <v>32</v>
      </c>
      <c r="J95" t="s">
        <v>23</v>
      </c>
      <c r="K95" t="str">
        <f>IF(HR_Data5[[#This Row],[Age]]&lt;30,"Young",IF(HR_Data5[[#This Row],[Age]]&lt;=45,"Mid-Career","Senior"))</f>
        <v>Mid-Career</v>
      </c>
      <c r="L95" s="10">
        <f ca="1">DATEDIF(HR_Data5[[#This Row],[Joining Date]],TODAY(),"Y")</f>
        <v>6</v>
      </c>
      <c r="M95" s="10" t="str">
        <f>IF(HR_Data5[[#This Row],[Salary]]&lt;55000,"Low",IF(HR_Data5[[#This Row],[Salary]]&lt;=65000,"Medium","High"))</f>
        <v>Medium</v>
      </c>
      <c r="N95" s="10">
        <f>YEAR(HR_Data5[[#This Row],[Joining Date]])</f>
        <v>2020</v>
      </c>
      <c r="O95" s="10" cm="1">
        <f t="array" ref="O95">_xlfn.SWITCH(HR_Data5[[#This Row],[Performance Score]],
"A",5,
"B",4,
"C",3,
"D",2,
"F",1)</f>
        <v>5</v>
      </c>
      <c r="P95" s="10"/>
      <c r="Q95" t="str">
        <f ca="1"/>
        <v>Jack</v>
      </c>
      <c r="R95">
        <f ca="1"/>
        <v>50</v>
      </c>
      <c r="S95">
        <f ca="1"/>
        <v>65000</v>
      </c>
      <c r="T95" t="str">
        <f ca="1"/>
        <v>Female</v>
      </c>
      <c r="U95" t="str">
        <f ca="1"/>
        <v>HR</v>
      </c>
      <c r="V95" t="str">
        <f ca="1"/>
        <v>Assistant</v>
      </c>
      <c r="W95">
        <f ca="1"/>
        <v>43845</v>
      </c>
      <c r="X95" t="str">
        <f ca="1"/>
        <v>F</v>
      </c>
      <c r="Y95" t="str">
        <f ca="1"/>
        <v>Missing</v>
      </c>
      <c r="Z95" t="str">
        <f ca="1"/>
        <v>098-765-4321</v>
      </c>
      <c r="AA95" t="str">
        <f ca="1"/>
        <v>Senior</v>
      </c>
      <c r="AB95">
        <f ca="1"/>
        <v>6</v>
      </c>
      <c r="AC95" t="str">
        <f ca="1"/>
        <v>Medium</v>
      </c>
      <c r="AD95">
        <f ca="1"/>
        <v>2020</v>
      </c>
      <c r="AE95">
        <f ca="1"/>
        <v>1</v>
      </c>
    </row>
    <row r="96" spans="1:31" x14ac:dyDescent="0.3">
      <c r="A96" t="s">
        <v>51</v>
      </c>
      <c r="B96">
        <v>25</v>
      </c>
      <c r="C96" s="6">
        <v>60000</v>
      </c>
      <c r="D96" t="s">
        <v>18</v>
      </c>
      <c r="E96" t="s">
        <v>19</v>
      </c>
      <c r="F96" t="s">
        <v>39</v>
      </c>
      <c r="G96" s="7">
        <v>43800</v>
      </c>
      <c r="H96" t="s">
        <v>21</v>
      </c>
      <c r="I96" t="s">
        <v>69</v>
      </c>
      <c r="J96" t="s">
        <v>45</v>
      </c>
      <c r="K96" t="str">
        <f>IF(HR_Data5[[#This Row],[Age]]&lt;30,"Young",IF(HR_Data5[[#This Row],[Age]]&lt;=45,"Mid-Career","Senior"))</f>
        <v>Young</v>
      </c>
      <c r="L96" s="10">
        <f ca="1">DATEDIF(HR_Data5[[#This Row],[Joining Date]],TODAY(),"Y")</f>
        <v>6</v>
      </c>
      <c r="M96" s="10" t="str">
        <f>IF(HR_Data5[[#This Row],[Salary]]&lt;55000,"Low",IF(HR_Data5[[#This Row],[Salary]]&lt;=65000,"Medium","High"))</f>
        <v>Medium</v>
      </c>
      <c r="N96" s="10">
        <f>YEAR(HR_Data5[[#This Row],[Joining Date]])</f>
        <v>2019</v>
      </c>
      <c r="O96" s="10" cm="1">
        <f t="array" ref="O96">_xlfn.SWITCH(HR_Data5[[#This Row],[Performance Score]],
"A",5,
"B",4,
"C",3,
"D",2,
"F",1)</f>
        <v>1</v>
      </c>
      <c r="P96" s="10"/>
      <c r="Q96" t="str">
        <f ca="1"/>
        <v>Grace</v>
      </c>
      <c r="R96">
        <f ca="1"/>
        <v>36</v>
      </c>
      <c r="S96">
        <f ca="1"/>
        <v>65000</v>
      </c>
      <c r="T96" t="str">
        <f ca="1"/>
        <v>Other</v>
      </c>
      <c r="U96" t="str">
        <f ca="1"/>
        <v>HR</v>
      </c>
      <c r="V96" t="str">
        <f ca="1"/>
        <v>Manager</v>
      </c>
      <c r="W96">
        <f ca="1"/>
        <v>43881</v>
      </c>
      <c r="X96" t="str">
        <f ca="1"/>
        <v>A</v>
      </c>
      <c r="Y96" t="str">
        <f ca="1"/>
        <v>name@company.org</v>
      </c>
      <c r="Z96" t="str">
        <f ca="1"/>
        <v>555-555-5555</v>
      </c>
      <c r="AA96" t="str">
        <f ca="1"/>
        <v>Mid-Career</v>
      </c>
      <c r="AB96">
        <f ca="1"/>
        <v>6</v>
      </c>
      <c r="AC96" t="str">
        <f ca="1"/>
        <v>Medium</v>
      </c>
      <c r="AD96">
        <f ca="1"/>
        <v>2020</v>
      </c>
      <c r="AE96">
        <f ca="1"/>
        <v>5</v>
      </c>
    </row>
    <row r="97" spans="1:31" x14ac:dyDescent="0.3">
      <c r="A97" t="s">
        <v>55</v>
      </c>
      <c r="B97">
        <v>40</v>
      </c>
      <c r="C97" s="6">
        <v>60000</v>
      </c>
      <c r="D97" t="s">
        <v>36</v>
      </c>
      <c r="E97" t="s">
        <v>30</v>
      </c>
      <c r="F97" t="s">
        <v>39</v>
      </c>
      <c r="G97" s="7">
        <v>43845</v>
      </c>
      <c r="H97" t="s">
        <v>21</v>
      </c>
      <c r="I97" t="s">
        <v>69</v>
      </c>
      <c r="J97" t="s">
        <v>28</v>
      </c>
      <c r="K97" t="str">
        <f>IF(HR_Data5[[#This Row],[Age]]&lt;30,"Young",IF(HR_Data5[[#This Row],[Age]]&lt;=45,"Mid-Career","Senior"))</f>
        <v>Mid-Career</v>
      </c>
      <c r="L97" s="10">
        <f ca="1">DATEDIF(HR_Data5[[#This Row],[Joining Date]],TODAY(),"Y")</f>
        <v>6</v>
      </c>
      <c r="M97" s="10" t="str">
        <f>IF(HR_Data5[[#This Row],[Salary]]&lt;55000,"Low",IF(HR_Data5[[#This Row],[Salary]]&lt;=65000,"Medium","High"))</f>
        <v>Medium</v>
      </c>
      <c r="N97" s="10">
        <f>YEAR(HR_Data5[[#This Row],[Joining Date]])</f>
        <v>2020</v>
      </c>
      <c r="O97" s="10" cm="1">
        <f t="array" ref="O97">_xlfn.SWITCH(HR_Data5[[#This Row],[Performance Score]],
"A",5,
"B",4,
"C",3,
"D",2,
"F",1)</f>
        <v>1</v>
      </c>
      <c r="P97" s="10"/>
      <c r="Q97" t="str">
        <f ca="1"/>
        <v>David</v>
      </c>
      <c r="R97">
        <f ca="1"/>
        <v>30</v>
      </c>
      <c r="S97">
        <f ca="1"/>
        <v>65000</v>
      </c>
      <c r="T97" t="str">
        <f ca="1"/>
        <v>Other</v>
      </c>
      <c r="U97" t="str">
        <f ca="1"/>
        <v>HR</v>
      </c>
      <c r="V97" t="str">
        <f ca="1"/>
        <v>Analyst</v>
      </c>
      <c r="W97">
        <f ca="1"/>
        <v>43800</v>
      </c>
      <c r="X97" t="str">
        <f ca="1"/>
        <v>D</v>
      </c>
      <c r="Y97" t="str">
        <f ca="1"/>
        <v>name@company.org</v>
      </c>
      <c r="Z97" t="str">
        <f ca="1"/>
        <v>Missing</v>
      </c>
      <c r="AA97" t="str">
        <f ca="1"/>
        <v>Mid-Career</v>
      </c>
      <c r="AB97">
        <f ca="1"/>
        <v>6</v>
      </c>
      <c r="AC97" t="str">
        <f ca="1"/>
        <v>Medium</v>
      </c>
      <c r="AD97">
        <f ca="1"/>
        <v>2019</v>
      </c>
      <c r="AE97">
        <f ca="1"/>
        <v>2</v>
      </c>
    </row>
    <row r="98" spans="1:31" x14ac:dyDescent="0.3">
      <c r="A98" t="s">
        <v>60</v>
      </c>
      <c r="B98">
        <v>40</v>
      </c>
      <c r="C98" s="6">
        <v>70000</v>
      </c>
      <c r="D98" t="s">
        <v>36</v>
      </c>
      <c r="E98" t="s">
        <v>37</v>
      </c>
      <c r="F98" t="s">
        <v>44</v>
      </c>
      <c r="G98" s="7">
        <v>43549</v>
      </c>
      <c r="H98" t="s">
        <v>41</v>
      </c>
      <c r="I98" t="s">
        <v>22</v>
      </c>
      <c r="J98" t="s">
        <v>23</v>
      </c>
      <c r="K98" t="str">
        <f>IF(HR_Data5[[#This Row],[Age]]&lt;30,"Young",IF(HR_Data5[[#This Row],[Age]]&lt;=45,"Mid-Career","Senior"))</f>
        <v>Mid-Career</v>
      </c>
      <c r="L98" s="10">
        <f ca="1">DATEDIF(HR_Data5[[#This Row],[Joining Date]],TODAY(),"Y")</f>
        <v>6</v>
      </c>
      <c r="M98" s="10" t="str">
        <f>IF(HR_Data5[[#This Row],[Salary]]&lt;55000,"Low",IF(HR_Data5[[#This Row],[Salary]]&lt;=65000,"Medium","High"))</f>
        <v>High</v>
      </c>
      <c r="N98" s="10">
        <f>YEAR(HR_Data5[[#This Row],[Joining Date]])</f>
        <v>2019</v>
      </c>
      <c r="O98" s="10" cm="1">
        <f t="array" ref="O98">_xlfn.SWITCH(HR_Data5[[#This Row],[Performance Score]],
"A",5,
"B",4,
"C",3,
"D",2,
"F",1)</f>
        <v>4</v>
      </c>
      <c r="P98" s="10"/>
      <c r="Q98" t="str">
        <f ca="1"/>
        <v>Ivy</v>
      </c>
      <c r="R98">
        <f ca="1"/>
        <v>30</v>
      </c>
      <c r="S98">
        <f ca="1"/>
        <v>65000</v>
      </c>
      <c r="T98" t="str">
        <f ca="1"/>
        <v>Female</v>
      </c>
      <c r="U98" t="str">
        <f ca="1"/>
        <v>HR</v>
      </c>
      <c r="V98" t="str">
        <f ca="1"/>
        <v>Clerk</v>
      </c>
      <c r="W98">
        <f ca="1"/>
        <v>43195</v>
      </c>
      <c r="X98" t="str">
        <f ca="1"/>
        <v>D</v>
      </c>
      <c r="Y98" t="str">
        <f ca="1"/>
        <v>Missing</v>
      </c>
      <c r="Z98" t="str">
        <f ca="1"/>
        <v>123-456-7890</v>
      </c>
      <c r="AA98" t="str">
        <f ca="1"/>
        <v>Mid-Career</v>
      </c>
      <c r="AB98">
        <f ca="1"/>
        <v>7</v>
      </c>
      <c r="AC98" t="str">
        <f ca="1"/>
        <v>Medium</v>
      </c>
      <c r="AD98">
        <f ca="1"/>
        <v>2018</v>
      </c>
      <c r="AE98">
        <f ca="1"/>
        <v>2</v>
      </c>
    </row>
    <row r="99" spans="1:31" x14ac:dyDescent="0.3">
      <c r="A99" t="s">
        <v>51</v>
      </c>
      <c r="B99">
        <v>50</v>
      </c>
      <c r="C99" s="6">
        <v>70000</v>
      </c>
      <c r="D99" t="s">
        <v>11</v>
      </c>
      <c r="E99" t="s">
        <v>12</v>
      </c>
      <c r="F99" t="s">
        <v>13</v>
      </c>
      <c r="G99" s="7">
        <v>43800</v>
      </c>
      <c r="H99" t="s">
        <v>41</v>
      </c>
      <c r="I99" t="s">
        <v>15</v>
      </c>
      <c r="J99" t="s">
        <v>45</v>
      </c>
      <c r="K99" t="str">
        <f>IF(HR_Data5[[#This Row],[Age]]&lt;30,"Young",IF(HR_Data5[[#This Row],[Age]]&lt;=45,"Mid-Career","Senior"))</f>
        <v>Senior</v>
      </c>
      <c r="L99" s="10">
        <f ca="1">DATEDIF(HR_Data5[[#This Row],[Joining Date]],TODAY(),"Y")</f>
        <v>6</v>
      </c>
      <c r="M99" s="10" t="str">
        <f>IF(HR_Data5[[#This Row],[Salary]]&lt;55000,"Low",IF(HR_Data5[[#This Row],[Salary]]&lt;=65000,"Medium","High"))</f>
        <v>High</v>
      </c>
      <c r="N99" s="10">
        <f>YEAR(HR_Data5[[#This Row],[Joining Date]])</f>
        <v>2019</v>
      </c>
      <c r="O99" s="10" cm="1">
        <f t="array" ref="O99">_xlfn.SWITCH(HR_Data5[[#This Row],[Performance Score]],
"A",5,
"B",4,
"C",3,
"D",2,
"F",1)</f>
        <v>4</v>
      </c>
      <c r="P99" s="10"/>
      <c r="Q99" t="str">
        <f ca="1"/>
        <v>Eve</v>
      </c>
      <c r="R99">
        <f ca="1"/>
        <v>25</v>
      </c>
      <c r="S99">
        <f ca="1"/>
        <v>65000</v>
      </c>
      <c r="T99" t="str">
        <f ca="1"/>
        <v>Other</v>
      </c>
      <c r="U99" t="str">
        <f ca="1"/>
        <v>HR</v>
      </c>
      <c r="V99" t="str">
        <f ca="1"/>
        <v>Manager</v>
      </c>
      <c r="W99">
        <f ca="1"/>
        <v>43195</v>
      </c>
      <c r="X99" t="str">
        <f ca="1"/>
        <v>D</v>
      </c>
      <c r="Y99" t="str">
        <f ca="1"/>
        <v>Missing</v>
      </c>
      <c r="Z99" t="str">
        <f ca="1"/>
        <v>555-555-5555</v>
      </c>
      <c r="AA99" t="str">
        <f ca="1"/>
        <v>Young</v>
      </c>
      <c r="AB99">
        <f ca="1"/>
        <v>7</v>
      </c>
      <c r="AC99" t="str">
        <f ca="1"/>
        <v>Medium</v>
      </c>
      <c r="AD99">
        <f ca="1"/>
        <v>2018</v>
      </c>
      <c r="AE99">
        <f ca="1"/>
        <v>2</v>
      </c>
    </row>
    <row r="100" spans="1:31" x14ac:dyDescent="0.3">
      <c r="A100" t="s">
        <v>60</v>
      </c>
      <c r="B100">
        <v>35</v>
      </c>
      <c r="C100" s="6">
        <v>60000</v>
      </c>
      <c r="D100" t="s">
        <v>36</v>
      </c>
      <c r="E100" t="s">
        <v>30</v>
      </c>
      <c r="F100" t="s">
        <v>43</v>
      </c>
      <c r="G100" s="7">
        <v>43195</v>
      </c>
      <c r="H100" t="s">
        <v>41</v>
      </c>
      <c r="I100" t="s">
        <v>22</v>
      </c>
      <c r="J100" t="s">
        <v>28</v>
      </c>
      <c r="K100" t="str">
        <f>IF(HR_Data5[[#This Row],[Age]]&lt;30,"Young",IF(HR_Data5[[#This Row],[Age]]&lt;=45,"Mid-Career","Senior"))</f>
        <v>Mid-Career</v>
      </c>
      <c r="L100" s="10">
        <f ca="1">DATEDIF(HR_Data5[[#This Row],[Joining Date]],TODAY(),"Y")</f>
        <v>7</v>
      </c>
      <c r="M100" s="10" t="str">
        <f>IF(HR_Data5[[#This Row],[Salary]]&lt;55000,"Low",IF(HR_Data5[[#This Row],[Salary]]&lt;=65000,"Medium","High"))</f>
        <v>Medium</v>
      </c>
      <c r="N100" s="10">
        <f>YEAR(HR_Data5[[#This Row],[Joining Date]])</f>
        <v>2018</v>
      </c>
      <c r="O100" s="10" cm="1">
        <f t="array" ref="O100">_xlfn.SWITCH(HR_Data5[[#This Row],[Performance Score]],
"A",5,
"B",4,
"C",3,
"D",2,
"F",1)</f>
        <v>4</v>
      </c>
      <c r="P100" s="10"/>
      <c r="Q100" t="str">
        <f ca="1"/>
        <v>Alice</v>
      </c>
      <c r="R100">
        <f ca="1"/>
        <v>30</v>
      </c>
      <c r="S100">
        <f ca="1"/>
        <v>65000</v>
      </c>
      <c r="T100" t="str">
        <f ca="1"/>
        <v>Female</v>
      </c>
      <c r="U100" t="str">
        <f ca="1"/>
        <v>HR</v>
      </c>
      <c r="V100" t="str">
        <f ca="1"/>
        <v>Director</v>
      </c>
      <c r="W100">
        <f ca="1"/>
        <v>43549</v>
      </c>
      <c r="X100" t="str">
        <f ca="1"/>
        <v>C</v>
      </c>
      <c r="Y100" t="str">
        <f ca="1"/>
        <v>Missing</v>
      </c>
      <c r="Z100" t="str">
        <f ca="1"/>
        <v>098-765-4321</v>
      </c>
      <c r="AA100" t="str">
        <f ca="1"/>
        <v>Mid-Career</v>
      </c>
      <c r="AB100">
        <f ca="1"/>
        <v>6</v>
      </c>
      <c r="AC100" t="str">
        <f ca="1"/>
        <v>Medium</v>
      </c>
      <c r="AD100">
        <f ca="1"/>
        <v>2019</v>
      </c>
      <c r="AE100">
        <f ca="1"/>
        <v>3</v>
      </c>
    </row>
    <row r="101" spans="1:31" x14ac:dyDescent="0.3">
      <c r="A101" t="s">
        <v>53</v>
      </c>
      <c r="B101">
        <v>30</v>
      </c>
      <c r="C101" s="6">
        <v>70000</v>
      </c>
      <c r="D101" t="s">
        <v>11</v>
      </c>
      <c r="E101" t="s">
        <v>12</v>
      </c>
      <c r="F101" t="s">
        <v>13</v>
      </c>
      <c r="G101" s="7">
        <v>43881</v>
      </c>
      <c r="H101" t="s">
        <v>27</v>
      </c>
      <c r="I101" t="s">
        <v>15</v>
      </c>
      <c r="J101" t="s">
        <v>28</v>
      </c>
      <c r="K101" t="str">
        <f>IF(HR_Data5[[#This Row],[Age]]&lt;30,"Young",IF(HR_Data5[[#This Row],[Age]]&lt;=45,"Mid-Career","Senior"))</f>
        <v>Mid-Career</v>
      </c>
      <c r="L101" s="10">
        <f ca="1">DATEDIF(HR_Data5[[#This Row],[Joining Date]],TODAY(),"Y")</f>
        <v>6</v>
      </c>
      <c r="M101" s="10" t="str">
        <f>IF(HR_Data5[[#This Row],[Salary]]&lt;55000,"Low",IF(HR_Data5[[#This Row],[Salary]]&lt;=65000,"Medium","High"))</f>
        <v>High</v>
      </c>
      <c r="N101" s="10">
        <f>YEAR(HR_Data5[[#This Row],[Joining Date]])</f>
        <v>2020</v>
      </c>
      <c r="O101" s="10" cm="1">
        <f t="array" ref="O101">_xlfn.SWITCH(HR_Data5[[#This Row],[Performance Score]],
"A",5,
"B",4,
"C",3,
"D",2,
"F",1)</f>
        <v>3</v>
      </c>
      <c r="P101" s="10"/>
      <c r="Q101" t="str">
        <f ca="1"/>
        <v>Frank</v>
      </c>
      <c r="R101">
        <f ca="1"/>
        <v>40</v>
      </c>
      <c r="S101">
        <f ca="1"/>
        <v>65000</v>
      </c>
      <c r="T101" t="str">
        <f ca="1"/>
        <v>Male</v>
      </c>
      <c r="U101" t="str">
        <f ca="1"/>
        <v>HR</v>
      </c>
      <c r="V101" t="str">
        <f ca="1"/>
        <v>Clerk</v>
      </c>
      <c r="W101">
        <f ca="1"/>
        <v>43881</v>
      </c>
      <c r="X101" t="str">
        <f ca="1"/>
        <v>B</v>
      </c>
      <c r="Y101" t="str">
        <f ca="1"/>
        <v>name@company.org</v>
      </c>
      <c r="Z101" t="str">
        <f ca="1"/>
        <v>098-765-4321</v>
      </c>
      <c r="AA101" t="str">
        <f ca="1"/>
        <v>Mid-Career</v>
      </c>
      <c r="AB101">
        <f ca="1"/>
        <v>6</v>
      </c>
      <c r="AC101" t="str">
        <f ca="1"/>
        <v>Medium</v>
      </c>
      <c r="AD101">
        <f ca="1"/>
        <v>2020</v>
      </c>
      <c r="AE101">
        <f ca="1"/>
        <v>4</v>
      </c>
    </row>
    <row r="102" spans="1:31" x14ac:dyDescent="0.3">
      <c r="A102" t="s">
        <v>58</v>
      </c>
      <c r="B102">
        <v>25</v>
      </c>
      <c r="C102" s="6">
        <v>65000</v>
      </c>
      <c r="D102" t="s">
        <v>11</v>
      </c>
      <c r="E102" t="s">
        <v>30</v>
      </c>
      <c r="F102" t="s">
        <v>20</v>
      </c>
      <c r="G102" s="7">
        <v>43549</v>
      </c>
      <c r="H102" t="s">
        <v>14</v>
      </c>
      <c r="I102" t="s">
        <v>15</v>
      </c>
      <c r="J102" t="s">
        <v>23</v>
      </c>
      <c r="K102" t="str">
        <f>IF(HR_Data5[[#This Row],[Age]]&lt;30,"Young",IF(HR_Data5[[#This Row],[Age]]&lt;=45,"Mid-Career","Senior"))</f>
        <v>Young</v>
      </c>
      <c r="L102" s="10">
        <f ca="1">DATEDIF(HR_Data5[[#This Row],[Joining Date]],TODAY(),"Y")</f>
        <v>6</v>
      </c>
      <c r="M102" s="10" t="str">
        <f>IF(HR_Data5[[#This Row],[Salary]]&lt;55000,"Low",IF(HR_Data5[[#This Row],[Salary]]&lt;=65000,"Medium","High"))</f>
        <v>Medium</v>
      </c>
      <c r="N102" s="10">
        <f>YEAR(HR_Data5[[#This Row],[Joining Date]])</f>
        <v>2019</v>
      </c>
      <c r="O102" s="10" cm="1">
        <f t="array" ref="O102">_xlfn.SWITCH(HR_Data5[[#This Row],[Performance Score]],
"A",5,
"B",4,
"C",3,
"D",2,
"F",1)</f>
        <v>2</v>
      </c>
      <c r="P102" s="10"/>
      <c r="Q102" t="str">
        <f ca="1"/>
        <v>Eve</v>
      </c>
      <c r="R102">
        <f ca="1"/>
        <v>35</v>
      </c>
      <c r="S102">
        <f ca="1"/>
        <v>65000</v>
      </c>
      <c r="T102" t="str">
        <f ca="1"/>
        <v>Other</v>
      </c>
      <c r="U102" t="str">
        <f ca="1"/>
        <v>HR</v>
      </c>
      <c r="V102" t="str">
        <f ca="1"/>
        <v>Clerk</v>
      </c>
      <c r="W102">
        <f ca="1"/>
        <v>43549</v>
      </c>
      <c r="X102" t="str">
        <f ca="1"/>
        <v>B</v>
      </c>
      <c r="Y102" t="str">
        <f ca="1"/>
        <v>Missing</v>
      </c>
      <c r="Z102" t="str">
        <f ca="1"/>
        <v>555-555-5555</v>
      </c>
      <c r="AA102" t="str">
        <f ca="1"/>
        <v>Mid-Career</v>
      </c>
      <c r="AB102">
        <f ca="1"/>
        <v>6</v>
      </c>
      <c r="AC102" t="str">
        <f ca="1"/>
        <v>Medium</v>
      </c>
      <c r="AD102">
        <f ca="1"/>
        <v>2019</v>
      </c>
      <c r="AE102">
        <f ca="1"/>
        <v>4</v>
      </c>
    </row>
    <row r="103" spans="1:31" x14ac:dyDescent="0.3">
      <c r="A103" t="s">
        <v>59</v>
      </c>
      <c r="B103">
        <v>50</v>
      </c>
      <c r="C103" s="6">
        <v>50000</v>
      </c>
      <c r="D103" t="s">
        <v>11</v>
      </c>
      <c r="E103" t="s">
        <v>30</v>
      </c>
      <c r="F103" t="s">
        <v>13</v>
      </c>
      <c r="G103" s="7">
        <v>43549</v>
      </c>
      <c r="H103" t="s">
        <v>27</v>
      </c>
      <c r="I103" t="s">
        <v>69</v>
      </c>
      <c r="J103" t="s">
        <v>69</v>
      </c>
      <c r="K103" t="str">
        <f>IF(HR_Data5[[#This Row],[Age]]&lt;30,"Young",IF(HR_Data5[[#This Row],[Age]]&lt;=45,"Mid-Career","Senior"))</f>
        <v>Senior</v>
      </c>
      <c r="L103" s="10">
        <f ca="1">DATEDIF(HR_Data5[[#This Row],[Joining Date]],TODAY(),"Y")</f>
        <v>6</v>
      </c>
      <c r="M103" s="10" t="str">
        <f>IF(HR_Data5[[#This Row],[Salary]]&lt;55000,"Low",IF(HR_Data5[[#This Row],[Salary]]&lt;=65000,"Medium","High"))</f>
        <v>Low</v>
      </c>
      <c r="N103" s="10">
        <f>YEAR(HR_Data5[[#This Row],[Joining Date]])</f>
        <v>2019</v>
      </c>
      <c r="O103" s="10" cm="1">
        <f t="array" ref="O103">_xlfn.SWITCH(HR_Data5[[#This Row],[Performance Score]],
"A",5,
"B",4,
"C",3,
"D",2,
"F",1)</f>
        <v>3</v>
      </c>
      <c r="P103" s="10"/>
      <c r="Q103" t="str">
        <f ca="1"/>
        <v>Alice</v>
      </c>
      <c r="R103">
        <f ca="1"/>
        <v>25</v>
      </c>
      <c r="S103">
        <f ca="1"/>
        <v>65000</v>
      </c>
      <c r="T103" t="str">
        <f ca="1"/>
        <v>Male</v>
      </c>
      <c r="U103" t="str">
        <f ca="1"/>
        <v>HR</v>
      </c>
      <c r="V103" t="str">
        <f ca="1"/>
        <v>Director</v>
      </c>
      <c r="W103">
        <f ca="1"/>
        <v>43549</v>
      </c>
      <c r="X103" t="str">
        <f ca="1"/>
        <v>D</v>
      </c>
      <c r="Y103" t="str">
        <f ca="1"/>
        <v>user@domain.com</v>
      </c>
      <c r="Z103" t="str">
        <f ca="1"/>
        <v>Missing</v>
      </c>
      <c r="AA103" t="str">
        <f ca="1"/>
        <v>Young</v>
      </c>
      <c r="AB103">
        <f ca="1"/>
        <v>6</v>
      </c>
      <c r="AC103" t="str">
        <f ca="1"/>
        <v>Medium</v>
      </c>
      <c r="AD103">
        <f ca="1"/>
        <v>2019</v>
      </c>
      <c r="AE103">
        <f ca="1"/>
        <v>2</v>
      </c>
    </row>
    <row r="104" spans="1:31" x14ac:dyDescent="0.3">
      <c r="A104" t="s">
        <v>51</v>
      </c>
      <c r="B104">
        <v>35</v>
      </c>
      <c r="C104" s="6">
        <v>65000</v>
      </c>
      <c r="D104" t="s">
        <v>18</v>
      </c>
      <c r="E104" t="s">
        <v>26</v>
      </c>
      <c r="F104" t="s">
        <v>13</v>
      </c>
      <c r="G104" s="7">
        <v>43881</v>
      </c>
      <c r="H104" t="s">
        <v>21</v>
      </c>
      <c r="I104" t="s">
        <v>15</v>
      </c>
      <c r="J104" t="s">
        <v>69</v>
      </c>
      <c r="K104" t="str">
        <f>IF(HR_Data5[[#This Row],[Age]]&lt;30,"Young",IF(HR_Data5[[#This Row],[Age]]&lt;=45,"Mid-Career","Senior"))</f>
        <v>Mid-Career</v>
      </c>
      <c r="L104" s="10">
        <f ca="1">DATEDIF(HR_Data5[[#This Row],[Joining Date]],TODAY(),"Y")</f>
        <v>6</v>
      </c>
      <c r="M104" s="10" t="str">
        <f>IF(HR_Data5[[#This Row],[Salary]]&lt;55000,"Low",IF(HR_Data5[[#This Row],[Salary]]&lt;=65000,"Medium","High"))</f>
        <v>Medium</v>
      </c>
      <c r="N104" s="10">
        <f>YEAR(HR_Data5[[#This Row],[Joining Date]])</f>
        <v>2020</v>
      </c>
      <c r="O104" s="10" cm="1">
        <f t="array" ref="O104">_xlfn.SWITCH(HR_Data5[[#This Row],[Performance Score]],
"A",5,
"B",4,
"C",3,
"D",2,
"F",1)</f>
        <v>1</v>
      </c>
      <c r="P104" s="10"/>
      <c r="Q104" t="str">
        <f ca="1"/>
        <v>David</v>
      </c>
      <c r="R104">
        <f ca="1"/>
        <v>25</v>
      </c>
      <c r="S104">
        <f ca="1"/>
        <v>65000</v>
      </c>
      <c r="T104" t="str">
        <f ca="1"/>
        <v>Male</v>
      </c>
      <c r="U104" t="str">
        <f ca="1"/>
        <v>HR</v>
      </c>
      <c r="V104" t="str">
        <f ca="1"/>
        <v>Analyst</v>
      </c>
      <c r="W104">
        <f ca="1"/>
        <v>43845</v>
      </c>
      <c r="X104" t="str">
        <f ca="1"/>
        <v>D</v>
      </c>
      <c r="Y104" t="str">
        <f ca="1"/>
        <v>user@domain.com</v>
      </c>
      <c r="Z104" t="str">
        <f ca="1"/>
        <v>123-456-7890</v>
      </c>
      <c r="AA104" t="str">
        <f ca="1"/>
        <v>Young</v>
      </c>
      <c r="AB104">
        <f ca="1"/>
        <v>6</v>
      </c>
      <c r="AC104" t="str">
        <f ca="1"/>
        <v>Medium</v>
      </c>
      <c r="AD104">
        <f ca="1"/>
        <v>2020</v>
      </c>
      <c r="AE104">
        <f ca="1"/>
        <v>2</v>
      </c>
    </row>
    <row r="105" spans="1:31" x14ac:dyDescent="0.3">
      <c r="A105" t="s">
        <v>51</v>
      </c>
      <c r="B105">
        <v>30</v>
      </c>
      <c r="C105" s="6">
        <v>60000</v>
      </c>
      <c r="D105" t="s">
        <v>18</v>
      </c>
      <c r="E105" t="s">
        <v>37</v>
      </c>
      <c r="F105" t="s">
        <v>39</v>
      </c>
      <c r="G105" s="7">
        <v>43881</v>
      </c>
      <c r="H105" t="s">
        <v>31</v>
      </c>
      <c r="I105" t="s">
        <v>32</v>
      </c>
      <c r="J105" t="s">
        <v>23</v>
      </c>
      <c r="K105" t="str">
        <f>IF(HR_Data5[[#This Row],[Age]]&lt;30,"Young",IF(HR_Data5[[#This Row],[Age]]&lt;=45,"Mid-Career","Senior"))</f>
        <v>Mid-Career</v>
      </c>
      <c r="L105" s="10">
        <f ca="1">DATEDIF(HR_Data5[[#This Row],[Joining Date]],TODAY(),"Y")</f>
        <v>6</v>
      </c>
      <c r="M105" s="10" t="str">
        <f>IF(HR_Data5[[#This Row],[Salary]]&lt;55000,"Low",IF(HR_Data5[[#This Row],[Salary]]&lt;=65000,"Medium","High"))</f>
        <v>Medium</v>
      </c>
      <c r="N105" s="10">
        <f>YEAR(HR_Data5[[#This Row],[Joining Date]])</f>
        <v>2020</v>
      </c>
      <c r="O105" s="10" cm="1">
        <f t="array" ref="O105">_xlfn.SWITCH(HR_Data5[[#This Row],[Performance Score]],
"A",5,
"B",4,
"C",3,
"D",2,
"F",1)</f>
        <v>5</v>
      </c>
      <c r="P105" s="10"/>
      <c r="Q105" t="str">
        <f ca="1"/>
        <v>Jack</v>
      </c>
      <c r="R105">
        <f ca="1"/>
        <v>30</v>
      </c>
      <c r="S105">
        <f ca="1"/>
        <v>65000</v>
      </c>
      <c r="T105" t="str">
        <f ca="1"/>
        <v>Female</v>
      </c>
      <c r="U105" t="str">
        <f ca="1"/>
        <v>HR</v>
      </c>
      <c r="V105" t="str">
        <f ca="1"/>
        <v>Assistant</v>
      </c>
      <c r="W105">
        <f ca="1"/>
        <v>43845</v>
      </c>
      <c r="X105" t="str">
        <f ca="1"/>
        <v>B</v>
      </c>
      <c r="Y105" t="str">
        <f ca="1"/>
        <v>email@example.com</v>
      </c>
      <c r="Z105" t="str">
        <f ca="1"/>
        <v>098-765-4321</v>
      </c>
      <c r="AA105" t="str">
        <f ca="1"/>
        <v>Mid-Career</v>
      </c>
      <c r="AB105">
        <f ca="1"/>
        <v>6</v>
      </c>
      <c r="AC105" t="str">
        <f ca="1"/>
        <v>Medium</v>
      </c>
      <c r="AD105">
        <f ca="1"/>
        <v>2020</v>
      </c>
      <c r="AE105">
        <f ca="1"/>
        <v>4</v>
      </c>
    </row>
    <row r="106" spans="1:31" x14ac:dyDescent="0.3">
      <c r="A106" t="s">
        <v>53</v>
      </c>
      <c r="B106">
        <v>30</v>
      </c>
      <c r="C106" s="6">
        <v>60000</v>
      </c>
      <c r="D106" t="s">
        <v>11</v>
      </c>
      <c r="E106" t="s">
        <v>37</v>
      </c>
      <c r="F106" t="s">
        <v>43</v>
      </c>
      <c r="G106" s="7">
        <v>43195</v>
      </c>
      <c r="H106" t="s">
        <v>14</v>
      </c>
      <c r="I106" t="s">
        <v>32</v>
      </c>
      <c r="J106" t="s">
        <v>28</v>
      </c>
      <c r="K106" t="str">
        <f>IF(HR_Data5[[#This Row],[Age]]&lt;30,"Young",IF(HR_Data5[[#This Row],[Age]]&lt;=45,"Mid-Career","Senior"))</f>
        <v>Mid-Career</v>
      </c>
      <c r="L106" s="10">
        <f ca="1">DATEDIF(HR_Data5[[#This Row],[Joining Date]],TODAY(),"Y")</f>
        <v>7</v>
      </c>
      <c r="M106" s="10" t="str">
        <f>IF(HR_Data5[[#This Row],[Salary]]&lt;55000,"Low",IF(HR_Data5[[#This Row],[Salary]]&lt;=65000,"Medium","High"))</f>
        <v>Medium</v>
      </c>
      <c r="N106" s="10">
        <f>YEAR(HR_Data5[[#This Row],[Joining Date]])</f>
        <v>2018</v>
      </c>
      <c r="O106" s="10" cm="1">
        <f t="array" ref="O106">_xlfn.SWITCH(HR_Data5[[#This Row],[Performance Score]],
"A",5,
"B",4,
"C",3,
"D",2,
"F",1)</f>
        <v>2</v>
      </c>
      <c r="P106" s="10"/>
      <c r="Q106" t="str">
        <f ca="1"/>
        <v>Hannah</v>
      </c>
      <c r="R106">
        <f ca="1"/>
        <v>25</v>
      </c>
      <c r="S106">
        <f ca="1"/>
        <v>65000</v>
      </c>
      <c r="T106" t="str">
        <f ca="1"/>
        <v>Female</v>
      </c>
      <c r="U106" t="str">
        <f ca="1"/>
        <v>HR</v>
      </c>
      <c r="V106" t="str">
        <f ca="1"/>
        <v>Analyst</v>
      </c>
      <c r="W106">
        <f ca="1"/>
        <v>43549</v>
      </c>
      <c r="X106" t="str">
        <f ca="1"/>
        <v>D</v>
      </c>
      <c r="Y106" t="str">
        <f ca="1"/>
        <v>Missing</v>
      </c>
      <c r="Z106" t="str">
        <f ca="1"/>
        <v>098-765-4321</v>
      </c>
      <c r="AA106" t="str">
        <f ca="1"/>
        <v>Young</v>
      </c>
      <c r="AB106">
        <f ca="1"/>
        <v>6</v>
      </c>
      <c r="AC106" t="str">
        <f ca="1"/>
        <v>Medium</v>
      </c>
      <c r="AD106">
        <f ca="1"/>
        <v>2019</v>
      </c>
      <c r="AE106">
        <f ca="1"/>
        <v>2</v>
      </c>
    </row>
    <row r="107" spans="1:31" x14ac:dyDescent="0.3">
      <c r="A107" t="s">
        <v>54</v>
      </c>
      <c r="B107">
        <v>50</v>
      </c>
      <c r="C107" s="6">
        <v>65000</v>
      </c>
      <c r="D107" t="s">
        <v>36</v>
      </c>
      <c r="E107" t="s">
        <v>30</v>
      </c>
      <c r="F107" t="s">
        <v>13</v>
      </c>
      <c r="G107" s="7">
        <v>43549</v>
      </c>
      <c r="H107" t="s">
        <v>31</v>
      </c>
      <c r="I107" t="s">
        <v>32</v>
      </c>
      <c r="J107" t="s">
        <v>28</v>
      </c>
      <c r="K107" t="str">
        <f>IF(HR_Data5[[#This Row],[Age]]&lt;30,"Young",IF(HR_Data5[[#This Row],[Age]]&lt;=45,"Mid-Career","Senior"))</f>
        <v>Senior</v>
      </c>
      <c r="L107" s="10">
        <f ca="1">DATEDIF(HR_Data5[[#This Row],[Joining Date]],TODAY(),"Y")</f>
        <v>6</v>
      </c>
      <c r="M107" s="10" t="str">
        <f>IF(HR_Data5[[#This Row],[Salary]]&lt;55000,"Low",IF(HR_Data5[[#This Row],[Salary]]&lt;=65000,"Medium","High"))</f>
        <v>Medium</v>
      </c>
      <c r="N107" s="10">
        <f>YEAR(HR_Data5[[#This Row],[Joining Date]])</f>
        <v>2019</v>
      </c>
      <c r="O107" s="10" cm="1">
        <f t="array" ref="O107">_xlfn.SWITCH(HR_Data5[[#This Row],[Performance Score]],
"A",5,
"B",4,
"C",3,
"D",2,
"F",1)</f>
        <v>5</v>
      </c>
      <c r="P107" s="10"/>
      <c r="Q107" t="str">
        <f ca="1"/>
        <v>Eve</v>
      </c>
      <c r="R107">
        <f ca="1"/>
        <v>50</v>
      </c>
      <c r="S107">
        <f ca="1"/>
        <v>65000</v>
      </c>
      <c r="T107" t="str">
        <f ca="1"/>
        <v>Male</v>
      </c>
      <c r="U107" t="str">
        <f ca="1"/>
        <v>HR</v>
      </c>
      <c r="V107" t="str">
        <f ca="1"/>
        <v>Manager</v>
      </c>
      <c r="W107">
        <f ca="1"/>
        <v>43800</v>
      </c>
      <c r="X107" t="str">
        <f ca="1"/>
        <v>F</v>
      </c>
      <c r="Y107" t="str">
        <f ca="1"/>
        <v>email@example.com</v>
      </c>
      <c r="Z107" t="str">
        <f ca="1"/>
        <v>123-456-7890</v>
      </c>
      <c r="AA107" t="str">
        <f ca="1"/>
        <v>Senior</v>
      </c>
      <c r="AB107">
        <f ca="1"/>
        <v>6</v>
      </c>
      <c r="AC107" t="str">
        <f ca="1"/>
        <v>Medium</v>
      </c>
      <c r="AD107">
        <f ca="1"/>
        <v>2019</v>
      </c>
      <c r="AE107">
        <f ca="1"/>
        <v>1</v>
      </c>
    </row>
    <row r="108" spans="1:31" x14ac:dyDescent="0.3">
      <c r="A108" t="s">
        <v>56</v>
      </c>
      <c r="B108">
        <v>36</v>
      </c>
      <c r="C108" s="6">
        <v>70000</v>
      </c>
      <c r="D108" t="s">
        <v>11</v>
      </c>
      <c r="E108" t="s">
        <v>19</v>
      </c>
      <c r="F108" t="s">
        <v>39</v>
      </c>
      <c r="G108" s="7">
        <v>43549</v>
      </c>
      <c r="H108" t="s">
        <v>21</v>
      </c>
      <c r="I108" t="s">
        <v>69</v>
      </c>
      <c r="J108" t="s">
        <v>23</v>
      </c>
      <c r="K108" t="str">
        <f>IF(HR_Data5[[#This Row],[Age]]&lt;30,"Young",IF(HR_Data5[[#This Row],[Age]]&lt;=45,"Mid-Career","Senior"))</f>
        <v>Mid-Career</v>
      </c>
      <c r="L108" s="10">
        <f ca="1">DATEDIF(HR_Data5[[#This Row],[Joining Date]],TODAY(),"Y")</f>
        <v>6</v>
      </c>
      <c r="M108" s="10" t="str">
        <f>IF(HR_Data5[[#This Row],[Salary]]&lt;55000,"Low",IF(HR_Data5[[#This Row],[Salary]]&lt;=65000,"Medium","High"))</f>
        <v>High</v>
      </c>
      <c r="N108" s="10">
        <f>YEAR(HR_Data5[[#This Row],[Joining Date]])</f>
        <v>2019</v>
      </c>
      <c r="O108" s="10" cm="1">
        <f t="array" ref="O108">_xlfn.SWITCH(HR_Data5[[#This Row],[Performance Score]],
"A",5,
"B",4,
"C",3,
"D",2,
"F",1)</f>
        <v>1</v>
      </c>
      <c r="P108" s="10"/>
      <c r="Q108" t="str">
        <f ca="1"/>
        <v>Jack</v>
      </c>
      <c r="R108">
        <f ca="1"/>
        <v>40</v>
      </c>
      <c r="S108">
        <f ca="1"/>
        <v>65000</v>
      </c>
      <c r="T108" t="str">
        <f ca="1"/>
        <v>Male</v>
      </c>
      <c r="U108" t="str">
        <f ca="1"/>
        <v>HR</v>
      </c>
      <c r="V108" t="str">
        <f ca="1"/>
        <v>Clerk</v>
      </c>
      <c r="W108">
        <f ca="1"/>
        <v>43549</v>
      </c>
      <c r="X108" t="str">
        <f ca="1"/>
        <v>B</v>
      </c>
      <c r="Y108" t="str">
        <f ca="1"/>
        <v>email@example.com</v>
      </c>
      <c r="Z108" t="str">
        <f ca="1"/>
        <v>123-456-7890</v>
      </c>
      <c r="AA108" t="str">
        <f ca="1"/>
        <v>Mid-Career</v>
      </c>
      <c r="AB108">
        <f ca="1"/>
        <v>6</v>
      </c>
      <c r="AC108" t="str">
        <f ca="1"/>
        <v>Medium</v>
      </c>
      <c r="AD108">
        <f ca="1"/>
        <v>2019</v>
      </c>
      <c r="AE108">
        <f ca="1"/>
        <v>4</v>
      </c>
    </row>
    <row r="109" spans="1:31" x14ac:dyDescent="0.3">
      <c r="A109" t="s">
        <v>53</v>
      </c>
      <c r="B109">
        <v>25</v>
      </c>
      <c r="C109" s="6">
        <v>70000</v>
      </c>
      <c r="D109" t="s">
        <v>36</v>
      </c>
      <c r="E109" t="s">
        <v>19</v>
      </c>
      <c r="F109" t="s">
        <v>44</v>
      </c>
      <c r="G109" s="7">
        <v>43845</v>
      </c>
      <c r="H109" t="s">
        <v>21</v>
      </c>
      <c r="I109" t="s">
        <v>22</v>
      </c>
      <c r="J109" t="s">
        <v>69</v>
      </c>
      <c r="K109" t="str">
        <f>IF(HR_Data5[[#This Row],[Age]]&lt;30,"Young",IF(HR_Data5[[#This Row],[Age]]&lt;=45,"Mid-Career","Senior"))</f>
        <v>Young</v>
      </c>
      <c r="L109" s="10">
        <f ca="1">DATEDIF(HR_Data5[[#This Row],[Joining Date]],TODAY(),"Y")</f>
        <v>6</v>
      </c>
      <c r="M109" s="10" t="str">
        <f>IF(HR_Data5[[#This Row],[Salary]]&lt;55000,"Low",IF(HR_Data5[[#This Row],[Salary]]&lt;=65000,"Medium","High"))</f>
        <v>High</v>
      </c>
      <c r="N109" s="10">
        <f>YEAR(HR_Data5[[#This Row],[Joining Date]])</f>
        <v>2020</v>
      </c>
      <c r="O109" s="10" cm="1">
        <f t="array" ref="O109">_xlfn.SWITCH(HR_Data5[[#This Row],[Performance Score]],
"A",5,
"B",4,
"C",3,
"D",2,
"F",1)</f>
        <v>1</v>
      </c>
      <c r="P109" s="10"/>
      <c r="Q109" t="str">
        <f ca="1"/>
        <v>Eve</v>
      </c>
      <c r="R109">
        <f ca="1"/>
        <v>25</v>
      </c>
      <c r="S109">
        <f ca="1"/>
        <v>65000</v>
      </c>
      <c r="T109" t="str">
        <f ca="1"/>
        <v>Male</v>
      </c>
      <c r="U109" t="str">
        <f ca="1"/>
        <v>HR</v>
      </c>
      <c r="V109" t="str">
        <f ca="1"/>
        <v>Assistant</v>
      </c>
      <c r="W109">
        <f ca="1"/>
        <v>43549</v>
      </c>
      <c r="X109" t="str">
        <f ca="1"/>
        <v>B</v>
      </c>
      <c r="Y109" t="str">
        <f ca="1"/>
        <v>email@example.com</v>
      </c>
      <c r="Z109" t="str">
        <f ca="1"/>
        <v>555-555-5555</v>
      </c>
      <c r="AA109" t="str">
        <f ca="1"/>
        <v>Young</v>
      </c>
      <c r="AB109">
        <f ca="1"/>
        <v>6</v>
      </c>
      <c r="AC109" t="str">
        <f ca="1"/>
        <v>Medium</v>
      </c>
      <c r="AD109">
        <f ca="1"/>
        <v>2019</v>
      </c>
      <c r="AE109">
        <f ca="1"/>
        <v>4</v>
      </c>
    </row>
    <row r="110" spans="1:31" x14ac:dyDescent="0.3">
      <c r="A110" t="s">
        <v>57</v>
      </c>
      <c r="B110">
        <v>30</v>
      </c>
      <c r="C110" s="6" t="s">
        <v>68</v>
      </c>
      <c r="D110" t="s">
        <v>11</v>
      </c>
      <c r="E110" t="s">
        <v>12</v>
      </c>
      <c r="F110" t="s">
        <v>39</v>
      </c>
      <c r="G110" s="7">
        <v>43800</v>
      </c>
      <c r="H110" t="s">
        <v>31</v>
      </c>
      <c r="I110" t="s">
        <v>69</v>
      </c>
      <c r="J110" t="s">
        <v>69</v>
      </c>
      <c r="K110" t="str">
        <f>IF(HR_Data5[[#This Row],[Age]]&lt;30,"Young",IF(HR_Data5[[#This Row],[Age]]&lt;=45,"Mid-Career","Senior"))</f>
        <v>Mid-Career</v>
      </c>
      <c r="L110" s="10">
        <f ca="1">DATEDIF(HR_Data5[[#This Row],[Joining Date]],TODAY(),"Y")</f>
        <v>6</v>
      </c>
      <c r="M110" s="10" t="str">
        <f>IF(HR_Data5[[#This Row],[Salary]]&lt;55000,"Low",IF(HR_Data5[[#This Row],[Salary]]&lt;=65000,"Medium","High"))</f>
        <v>High</v>
      </c>
      <c r="N110" s="10">
        <f>YEAR(HR_Data5[[#This Row],[Joining Date]])</f>
        <v>2019</v>
      </c>
      <c r="O110" s="10" cm="1">
        <f t="array" ref="O110">_xlfn.SWITCH(HR_Data5[[#This Row],[Performance Score]],
"A",5,
"B",4,
"C",3,
"D",2,
"F",1)</f>
        <v>5</v>
      </c>
      <c r="P110" s="10"/>
      <c r="Q110" t="str">
        <f ca="1"/>
        <v>Charlie</v>
      </c>
      <c r="R110">
        <f ca="1"/>
        <v>35</v>
      </c>
      <c r="S110">
        <f ca="1"/>
        <v>65000</v>
      </c>
      <c r="T110" t="str">
        <f ca="1"/>
        <v>Other</v>
      </c>
      <c r="U110" t="str">
        <f ca="1"/>
        <v>HR</v>
      </c>
      <c r="V110" t="str">
        <f ca="1"/>
        <v>Director</v>
      </c>
      <c r="W110">
        <f ca="1"/>
        <v>43800</v>
      </c>
      <c r="X110" t="str">
        <f ca="1"/>
        <v>D</v>
      </c>
      <c r="Y110" t="str">
        <f ca="1"/>
        <v>name@company.org</v>
      </c>
      <c r="Z110" t="str">
        <f ca="1"/>
        <v>098-765-4321</v>
      </c>
      <c r="AA110" t="str">
        <f ca="1"/>
        <v>Mid-Career</v>
      </c>
      <c r="AB110">
        <f ca="1"/>
        <v>6</v>
      </c>
      <c r="AC110" t="str">
        <f ca="1"/>
        <v>Medium</v>
      </c>
      <c r="AD110">
        <f ca="1"/>
        <v>2019</v>
      </c>
      <c r="AE110">
        <f ca="1"/>
        <v>2</v>
      </c>
    </row>
    <row r="111" spans="1:31" x14ac:dyDescent="0.3">
      <c r="A111" t="s">
        <v>56</v>
      </c>
      <c r="B111">
        <v>50</v>
      </c>
      <c r="C111" s="6">
        <v>60000</v>
      </c>
      <c r="D111" t="s">
        <v>36</v>
      </c>
      <c r="E111" t="s">
        <v>12</v>
      </c>
      <c r="F111" t="s">
        <v>39</v>
      </c>
      <c r="G111" s="7">
        <v>43800</v>
      </c>
      <c r="H111" t="s">
        <v>31</v>
      </c>
      <c r="I111" t="s">
        <v>15</v>
      </c>
      <c r="J111" t="s">
        <v>45</v>
      </c>
      <c r="K111" t="str">
        <f>IF(HR_Data5[[#This Row],[Age]]&lt;30,"Young",IF(HR_Data5[[#This Row],[Age]]&lt;=45,"Mid-Career","Senior"))</f>
        <v>Senior</v>
      </c>
      <c r="L111" s="10">
        <f ca="1">DATEDIF(HR_Data5[[#This Row],[Joining Date]],TODAY(),"Y")</f>
        <v>6</v>
      </c>
      <c r="M111" s="10" t="str">
        <f>IF(HR_Data5[[#This Row],[Salary]]&lt;55000,"Low",IF(HR_Data5[[#This Row],[Salary]]&lt;=65000,"Medium","High"))</f>
        <v>Medium</v>
      </c>
      <c r="N111" s="10">
        <f>YEAR(HR_Data5[[#This Row],[Joining Date]])</f>
        <v>2019</v>
      </c>
      <c r="O111" s="10" cm="1">
        <f t="array" ref="O111">_xlfn.SWITCH(HR_Data5[[#This Row],[Performance Score]],
"A",5,
"B",4,
"C",3,
"D",2,
"F",1)</f>
        <v>5</v>
      </c>
      <c r="P111" s="10"/>
      <c r="Q111" t="str">
        <f ca="1"/>
        <v>David</v>
      </c>
      <c r="R111">
        <f ca="1"/>
        <v>50</v>
      </c>
      <c r="S111">
        <f ca="1"/>
        <v>65000</v>
      </c>
      <c r="T111" t="str">
        <f ca="1"/>
        <v>Male</v>
      </c>
      <c r="U111" t="str">
        <f ca="1"/>
        <v>HR</v>
      </c>
      <c r="V111" t="str">
        <f ca="1"/>
        <v>Analyst</v>
      </c>
      <c r="W111">
        <f ca="1"/>
        <v>43845</v>
      </c>
      <c r="X111" t="str">
        <f ca="1"/>
        <v>C</v>
      </c>
      <c r="Y111" t="str">
        <f ca="1"/>
        <v>user@domain.com</v>
      </c>
      <c r="Z111" t="str">
        <f ca="1"/>
        <v>555-555-5555</v>
      </c>
      <c r="AA111" t="str">
        <f ca="1"/>
        <v>Senior</v>
      </c>
      <c r="AB111">
        <f ca="1"/>
        <v>6</v>
      </c>
      <c r="AC111" t="str">
        <f ca="1"/>
        <v>Medium</v>
      </c>
      <c r="AD111">
        <f ca="1"/>
        <v>2020</v>
      </c>
      <c r="AE111">
        <f ca="1"/>
        <v>3</v>
      </c>
    </row>
    <row r="112" spans="1:31" x14ac:dyDescent="0.3">
      <c r="A112" t="s">
        <v>59</v>
      </c>
      <c r="B112">
        <v>50</v>
      </c>
      <c r="C112" s="6">
        <v>55000</v>
      </c>
      <c r="D112" t="s">
        <v>18</v>
      </c>
      <c r="E112" t="s">
        <v>26</v>
      </c>
      <c r="F112" t="s">
        <v>39</v>
      </c>
      <c r="G112" s="7">
        <v>43845</v>
      </c>
      <c r="H112" t="s">
        <v>31</v>
      </c>
      <c r="I112" t="s">
        <v>69</v>
      </c>
      <c r="J112" t="s">
        <v>23</v>
      </c>
      <c r="K112" t="str">
        <f>IF(HR_Data5[[#This Row],[Age]]&lt;30,"Young",IF(HR_Data5[[#This Row],[Age]]&lt;=45,"Mid-Career","Senior"))</f>
        <v>Senior</v>
      </c>
      <c r="L112" s="10">
        <f ca="1">DATEDIF(HR_Data5[[#This Row],[Joining Date]],TODAY(),"Y")</f>
        <v>6</v>
      </c>
      <c r="M112" s="10" t="str">
        <f>IF(HR_Data5[[#This Row],[Salary]]&lt;55000,"Low",IF(HR_Data5[[#This Row],[Salary]]&lt;=65000,"Medium","High"))</f>
        <v>Medium</v>
      </c>
      <c r="N112" s="10">
        <f>YEAR(HR_Data5[[#This Row],[Joining Date]])</f>
        <v>2020</v>
      </c>
      <c r="O112" s="10" cm="1">
        <f t="array" ref="O112">_xlfn.SWITCH(HR_Data5[[#This Row],[Performance Score]],
"A",5,
"B",4,
"C",3,
"D",2,
"F",1)</f>
        <v>5</v>
      </c>
      <c r="P112" s="10"/>
      <c r="Q112" t="str">
        <f ca="1"/>
        <v>Alice</v>
      </c>
      <c r="R112">
        <f ca="1"/>
        <v>25</v>
      </c>
      <c r="S112">
        <f ca="1"/>
        <v>65000</v>
      </c>
      <c r="T112" t="str">
        <f ca="1"/>
        <v>Other</v>
      </c>
      <c r="U112" t="str">
        <f ca="1"/>
        <v>HR</v>
      </c>
      <c r="V112" t="str">
        <f ca="1"/>
        <v>Assistant</v>
      </c>
      <c r="W112">
        <f ca="1"/>
        <v>43845</v>
      </c>
      <c r="X112" t="str">
        <f ca="1"/>
        <v>C</v>
      </c>
      <c r="Y112" t="str">
        <f ca="1"/>
        <v>email@example.com</v>
      </c>
      <c r="Z112" t="str">
        <f ca="1"/>
        <v>098-765-4321</v>
      </c>
      <c r="AA112" t="str">
        <f ca="1"/>
        <v>Young</v>
      </c>
      <c r="AB112">
        <f ca="1"/>
        <v>6</v>
      </c>
      <c r="AC112" t="str">
        <f ca="1"/>
        <v>Medium</v>
      </c>
      <c r="AD112">
        <f ca="1"/>
        <v>2020</v>
      </c>
      <c r="AE112">
        <f ca="1"/>
        <v>3</v>
      </c>
    </row>
    <row r="113" spans="1:31" x14ac:dyDescent="0.3">
      <c r="A113" t="s">
        <v>56</v>
      </c>
      <c r="B113">
        <v>35</v>
      </c>
      <c r="C113" s="6" t="s">
        <v>68</v>
      </c>
      <c r="D113" t="s">
        <v>36</v>
      </c>
      <c r="E113" t="s">
        <v>30</v>
      </c>
      <c r="F113" t="s">
        <v>13</v>
      </c>
      <c r="G113" s="7">
        <v>43800</v>
      </c>
      <c r="H113" t="s">
        <v>21</v>
      </c>
      <c r="I113" t="s">
        <v>22</v>
      </c>
      <c r="J113" t="s">
        <v>69</v>
      </c>
      <c r="K113" t="str">
        <f>IF(HR_Data5[[#This Row],[Age]]&lt;30,"Young",IF(HR_Data5[[#This Row],[Age]]&lt;=45,"Mid-Career","Senior"))</f>
        <v>Mid-Career</v>
      </c>
      <c r="L113" s="10">
        <f ca="1">DATEDIF(HR_Data5[[#This Row],[Joining Date]],TODAY(),"Y")</f>
        <v>6</v>
      </c>
      <c r="M113" s="10" t="str">
        <f>IF(HR_Data5[[#This Row],[Salary]]&lt;55000,"Low",IF(HR_Data5[[#This Row],[Salary]]&lt;=65000,"Medium","High"))</f>
        <v>High</v>
      </c>
      <c r="N113" s="10">
        <f>YEAR(HR_Data5[[#This Row],[Joining Date]])</f>
        <v>2019</v>
      </c>
      <c r="O113" s="10" cm="1">
        <f t="array" ref="O113">_xlfn.SWITCH(HR_Data5[[#This Row],[Performance Score]],
"A",5,
"B",4,
"C",3,
"D",2,
"F",1)</f>
        <v>1</v>
      </c>
      <c r="P113" s="10"/>
      <c r="Q113" t="str">
        <f ca="1"/>
        <v>David</v>
      </c>
      <c r="R113">
        <f ca="1"/>
        <v>30</v>
      </c>
      <c r="S113">
        <f ca="1"/>
        <v>65000</v>
      </c>
      <c r="T113" t="str">
        <f ca="1"/>
        <v>Female</v>
      </c>
      <c r="U113" t="str">
        <f ca="1"/>
        <v>HR</v>
      </c>
      <c r="V113" t="str">
        <f ca="1"/>
        <v>Analyst</v>
      </c>
      <c r="W113">
        <f ca="1"/>
        <v>43800</v>
      </c>
      <c r="X113" t="str">
        <f ca="1"/>
        <v>A</v>
      </c>
      <c r="Y113" t="str">
        <f ca="1"/>
        <v>user@domain.com</v>
      </c>
      <c r="Z113" t="str">
        <f ca="1"/>
        <v>Missing</v>
      </c>
      <c r="AA113" t="str">
        <f ca="1"/>
        <v>Mid-Career</v>
      </c>
      <c r="AB113">
        <f ca="1"/>
        <v>6</v>
      </c>
      <c r="AC113" t="str">
        <f ca="1"/>
        <v>Medium</v>
      </c>
      <c r="AD113">
        <f ca="1"/>
        <v>2019</v>
      </c>
      <c r="AE113">
        <f ca="1"/>
        <v>5</v>
      </c>
    </row>
    <row r="114" spans="1:31" x14ac:dyDescent="0.3">
      <c r="A114" t="s">
        <v>54</v>
      </c>
      <c r="B114">
        <v>36</v>
      </c>
      <c r="C114" s="6">
        <v>70000</v>
      </c>
      <c r="D114" t="s">
        <v>11</v>
      </c>
      <c r="E114" t="s">
        <v>12</v>
      </c>
      <c r="F114" t="s">
        <v>13</v>
      </c>
      <c r="G114" s="7">
        <v>43881</v>
      </c>
      <c r="H114" t="s">
        <v>41</v>
      </c>
      <c r="I114" t="s">
        <v>22</v>
      </c>
      <c r="J114" t="s">
        <v>69</v>
      </c>
      <c r="K114" t="str">
        <f>IF(HR_Data5[[#This Row],[Age]]&lt;30,"Young",IF(HR_Data5[[#This Row],[Age]]&lt;=45,"Mid-Career","Senior"))</f>
        <v>Mid-Career</v>
      </c>
      <c r="L114" s="10">
        <f ca="1">DATEDIF(HR_Data5[[#This Row],[Joining Date]],TODAY(),"Y")</f>
        <v>6</v>
      </c>
      <c r="M114" s="10" t="str">
        <f>IF(HR_Data5[[#This Row],[Salary]]&lt;55000,"Low",IF(HR_Data5[[#This Row],[Salary]]&lt;=65000,"Medium","High"))</f>
        <v>High</v>
      </c>
      <c r="N114" s="10">
        <f>YEAR(HR_Data5[[#This Row],[Joining Date]])</f>
        <v>2020</v>
      </c>
      <c r="O114" s="10" cm="1">
        <f t="array" ref="O114">_xlfn.SWITCH(HR_Data5[[#This Row],[Performance Score]],
"A",5,
"B",4,
"C",3,
"D",2,
"F",1)</f>
        <v>4</v>
      </c>
      <c r="P114" s="10"/>
      <c r="Q114" t="str">
        <f ca="1"/>
        <v>Eve</v>
      </c>
      <c r="R114">
        <f ca="1"/>
        <v>40</v>
      </c>
      <c r="S114">
        <f ca="1"/>
        <v>65000</v>
      </c>
      <c r="T114" t="str">
        <f ca="1"/>
        <v>Other</v>
      </c>
      <c r="U114" t="str">
        <f ca="1"/>
        <v>HR</v>
      </c>
      <c r="V114" t="str">
        <f ca="1"/>
        <v>Director</v>
      </c>
      <c r="W114">
        <f ca="1"/>
        <v>43195</v>
      </c>
      <c r="X114" t="str">
        <f ca="1"/>
        <v>A</v>
      </c>
      <c r="Y114" t="str">
        <f ca="1"/>
        <v>user@domain.com</v>
      </c>
      <c r="Z114" t="str">
        <f ca="1"/>
        <v>555-555-5555</v>
      </c>
      <c r="AA114" t="str">
        <f ca="1"/>
        <v>Mid-Career</v>
      </c>
      <c r="AB114">
        <f ca="1"/>
        <v>7</v>
      </c>
      <c r="AC114" t="str">
        <f ca="1"/>
        <v>Medium</v>
      </c>
      <c r="AD114">
        <f ca="1"/>
        <v>2018</v>
      </c>
      <c r="AE114">
        <f ca="1"/>
        <v>5</v>
      </c>
    </row>
    <row r="115" spans="1:31" x14ac:dyDescent="0.3">
      <c r="A115" t="s">
        <v>56</v>
      </c>
      <c r="B115">
        <v>25</v>
      </c>
      <c r="C115" s="6">
        <v>65000</v>
      </c>
      <c r="D115" t="s">
        <v>18</v>
      </c>
      <c r="E115" t="s">
        <v>12</v>
      </c>
      <c r="F115" t="s">
        <v>44</v>
      </c>
      <c r="G115" s="7">
        <v>43800</v>
      </c>
      <c r="H115" t="s">
        <v>31</v>
      </c>
      <c r="I115" t="s">
        <v>69</v>
      </c>
      <c r="J115" t="s">
        <v>28</v>
      </c>
      <c r="K115" t="str">
        <f>IF(HR_Data5[[#This Row],[Age]]&lt;30,"Young",IF(HR_Data5[[#This Row],[Age]]&lt;=45,"Mid-Career","Senior"))</f>
        <v>Young</v>
      </c>
      <c r="L115" s="10">
        <f ca="1">DATEDIF(HR_Data5[[#This Row],[Joining Date]],TODAY(),"Y")</f>
        <v>6</v>
      </c>
      <c r="M115" s="10" t="str">
        <f>IF(HR_Data5[[#This Row],[Salary]]&lt;55000,"Low",IF(HR_Data5[[#This Row],[Salary]]&lt;=65000,"Medium","High"))</f>
        <v>Medium</v>
      </c>
      <c r="N115" s="10">
        <f>YEAR(HR_Data5[[#This Row],[Joining Date]])</f>
        <v>2019</v>
      </c>
      <c r="O115" s="10" cm="1">
        <f t="array" ref="O115">_xlfn.SWITCH(HR_Data5[[#This Row],[Performance Score]],
"A",5,
"B",4,
"C",3,
"D",2,
"F",1)</f>
        <v>5</v>
      </c>
      <c r="P115" s="10"/>
      <c r="Q115" t="str">
        <f ca="1"/>
        <v>Eve</v>
      </c>
      <c r="R115">
        <f ca="1"/>
        <v>36</v>
      </c>
      <c r="S115">
        <f ca="1"/>
        <v>65000</v>
      </c>
      <c r="T115" t="str">
        <f ca="1"/>
        <v>Other</v>
      </c>
      <c r="U115" t="str">
        <f ca="1"/>
        <v>HR</v>
      </c>
      <c r="V115" t="str">
        <f ca="1"/>
        <v>Director</v>
      </c>
      <c r="W115">
        <f ca="1"/>
        <v>43881</v>
      </c>
      <c r="X115" t="str">
        <f ca="1"/>
        <v>C</v>
      </c>
      <c r="Y115" t="str">
        <f ca="1"/>
        <v>Missing</v>
      </c>
      <c r="Z115" t="str">
        <f ca="1"/>
        <v>098-765-4321</v>
      </c>
      <c r="AA115" t="str">
        <f ca="1"/>
        <v>Mid-Career</v>
      </c>
      <c r="AB115">
        <f ca="1"/>
        <v>6</v>
      </c>
      <c r="AC115" t="str">
        <f ca="1"/>
        <v>Medium</v>
      </c>
      <c r="AD115">
        <f ca="1"/>
        <v>2020</v>
      </c>
      <c r="AE115">
        <f ca="1"/>
        <v>3</v>
      </c>
    </row>
    <row r="116" spans="1:31" x14ac:dyDescent="0.3">
      <c r="A116" t="s">
        <v>59</v>
      </c>
      <c r="B116">
        <v>40</v>
      </c>
      <c r="C116" s="6">
        <v>70000</v>
      </c>
      <c r="D116" t="s">
        <v>36</v>
      </c>
      <c r="E116" t="s">
        <v>30</v>
      </c>
      <c r="F116" t="s">
        <v>20</v>
      </c>
      <c r="G116" s="7">
        <v>43800</v>
      </c>
      <c r="H116" t="s">
        <v>14</v>
      </c>
      <c r="I116" t="s">
        <v>32</v>
      </c>
      <c r="J116" t="s">
        <v>45</v>
      </c>
      <c r="K116" t="str">
        <f>IF(HR_Data5[[#This Row],[Age]]&lt;30,"Young",IF(HR_Data5[[#This Row],[Age]]&lt;=45,"Mid-Career","Senior"))</f>
        <v>Mid-Career</v>
      </c>
      <c r="L116" s="10">
        <f ca="1">DATEDIF(HR_Data5[[#This Row],[Joining Date]],TODAY(),"Y")</f>
        <v>6</v>
      </c>
      <c r="M116" s="10" t="str">
        <f>IF(HR_Data5[[#This Row],[Salary]]&lt;55000,"Low",IF(HR_Data5[[#This Row],[Salary]]&lt;=65000,"Medium","High"))</f>
        <v>High</v>
      </c>
      <c r="N116" s="10">
        <f>YEAR(HR_Data5[[#This Row],[Joining Date]])</f>
        <v>2019</v>
      </c>
      <c r="O116" s="10" cm="1">
        <f t="array" ref="O116">_xlfn.SWITCH(HR_Data5[[#This Row],[Performance Score]],
"A",5,
"B",4,
"C",3,
"D",2,
"F",1)</f>
        <v>2</v>
      </c>
      <c r="P116" s="10"/>
      <c r="Q116" t="str">
        <f ca="1"/>
        <v>Eve</v>
      </c>
      <c r="R116">
        <f ca="1"/>
        <v>50</v>
      </c>
      <c r="S116">
        <f ca="1"/>
        <v>65000</v>
      </c>
      <c r="T116" t="str">
        <f ca="1"/>
        <v>Male</v>
      </c>
      <c r="U116" t="str">
        <f ca="1"/>
        <v>HR</v>
      </c>
      <c r="V116" t="str">
        <f ca="1"/>
        <v>Analyst</v>
      </c>
      <c r="W116">
        <f ca="1"/>
        <v>43549</v>
      </c>
      <c r="X116" t="str">
        <f ca="1"/>
        <v>C</v>
      </c>
      <c r="Y116" t="str">
        <f ca="1"/>
        <v>email@example.com</v>
      </c>
      <c r="Z116" t="str">
        <f ca="1"/>
        <v>Missing</v>
      </c>
      <c r="AA116" t="str">
        <f ca="1"/>
        <v>Senior</v>
      </c>
      <c r="AB116">
        <f ca="1"/>
        <v>6</v>
      </c>
      <c r="AC116" t="str">
        <f ca="1"/>
        <v>Medium</v>
      </c>
      <c r="AD116">
        <f ca="1"/>
        <v>2019</v>
      </c>
      <c r="AE116">
        <f ca="1"/>
        <v>3</v>
      </c>
    </row>
    <row r="117" spans="1:31" x14ac:dyDescent="0.3">
      <c r="A117" t="s">
        <v>54</v>
      </c>
      <c r="B117">
        <v>35</v>
      </c>
      <c r="C117" s="6">
        <v>65000</v>
      </c>
      <c r="D117" t="s">
        <v>36</v>
      </c>
      <c r="E117" t="s">
        <v>26</v>
      </c>
      <c r="F117" t="s">
        <v>20</v>
      </c>
      <c r="G117" s="7">
        <v>43845</v>
      </c>
      <c r="H117" t="s">
        <v>21</v>
      </c>
      <c r="I117" t="s">
        <v>32</v>
      </c>
      <c r="J117" t="s">
        <v>23</v>
      </c>
      <c r="K117" t="str">
        <f>IF(HR_Data5[[#This Row],[Age]]&lt;30,"Young",IF(HR_Data5[[#This Row],[Age]]&lt;=45,"Mid-Career","Senior"))</f>
        <v>Mid-Career</v>
      </c>
      <c r="L117" s="10">
        <f ca="1">DATEDIF(HR_Data5[[#This Row],[Joining Date]],TODAY(),"Y")</f>
        <v>6</v>
      </c>
      <c r="M117" s="10" t="str">
        <f>IF(HR_Data5[[#This Row],[Salary]]&lt;55000,"Low",IF(HR_Data5[[#This Row],[Salary]]&lt;=65000,"Medium","High"))</f>
        <v>Medium</v>
      </c>
      <c r="N117" s="10">
        <f>YEAR(HR_Data5[[#This Row],[Joining Date]])</f>
        <v>2020</v>
      </c>
      <c r="O117" s="10" cm="1">
        <f t="array" ref="O117">_xlfn.SWITCH(HR_Data5[[#This Row],[Performance Score]],
"A",5,
"B",4,
"C",3,
"D",2,
"F",1)</f>
        <v>1</v>
      </c>
      <c r="P117" s="10"/>
      <c r="Q117" t="str">
        <f ca="1"/>
        <v>Bob</v>
      </c>
      <c r="R117">
        <f ca="1"/>
        <v>50</v>
      </c>
      <c r="S117">
        <f ca="1"/>
        <v>65000</v>
      </c>
      <c r="T117" t="str">
        <f ca="1"/>
        <v>Male</v>
      </c>
      <c r="U117" t="str">
        <f ca="1"/>
        <v>HR</v>
      </c>
      <c r="V117" t="str">
        <f ca="1"/>
        <v>Director</v>
      </c>
      <c r="W117">
        <f ca="1"/>
        <v>43195</v>
      </c>
      <c r="X117" t="str">
        <f ca="1"/>
        <v>F</v>
      </c>
      <c r="Y117" t="str">
        <f ca="1"/>
        <v>name@company.org</v>
      </c>
      <c r="Z117" t="str">
        <f ca="1"/>
        <v>555-555-5555</v>
      </c>
      <c r="AA117" t="str">
        <f ca="1"/>
        <v>Senior</v>
      </c>
      <c r="AB117">
        <f ca="1"/>
        <v>7</v>
      </c>
      <c r="AC117" t="str">
        <f ca="1"/>
        <v>Medium</v>
      </c>
      <c r="AD117">
        <f ca="1"/>
        <v>2018</v>
      </c>
      <c r="AE117">
        <f ca="1"/>
        <v>1</v>
      </c>
    </row>
    <row r="118" spans="1:31" x14ac:dyDescent="0.3">
      <c r="A118" t="s">
        <v>55</v>
      </c>
      <c r="B118">
        <v>30</v>
      </c>
      <c r="C118" s="6" t="s">
        <v>68</v>
      </c>
      <c r="D118" t="s">
        <v>36</v>
      </c>
      <c r="E118" t="s">
        <v>12</v>
      </c>
      <c r="F118" t="s">
        <v>20</v>
      </c>
      <c r="G118" s="7">
        <v>43195</v>
      </c>
      <c r="H118" t="s">
        <v>27</v>
      </c>
      <c r="I118" t="s">
        <v>22</v>
      </c>
      <c r="J118" t="s">
        <v>28</v>
      </c>
      <c r="K118" t="str">
        <f>IF(HR_Data5[[#This Row],[Age]]&lt;30,"Young",IF(HR_Data5[[#This Row],[Age]]&lt;=45,"Mid-Career","Senior"))</f>
        <v>Mid-Career</v>
      </c>
      <c r="L118" s="10">
        <f ca="1">DATEDIF(HR_Data5[[#This Row],[Joining Date]],TODAY(),"Y")</f>
        <v>7</v>
      </c>
      <c r="M118" s="10" t="str">
        <f>IF(HR_Data5[[#This Row],[Salary]]&lt;55000,"Low",IF(HR_Data5[[#This Row],[Salary]]&lt;=65000,"Medium","High"))</f>
        <v>High</v>
      </c>
      <c r="N118" s="10">
        <f>YEAR(HR_Data5[[#This Row],[Joining Date]])</f>
        <v>2018</v>
      </c>
      <c r="O118" s="10" cm="1">
        <f t="array" ref="O118">_xlfn.SWITCH(HR_Data5[[#This Row],[Performance Score]],
"A",5,
"B",4,
"C",3,
"D",2,
"F",1)</f>
        <v>3</v>
      </c>
      <c r="P118" s="10"/>
      <c r="Q118" t="str">
        <f ca="1"/>
        <v>Hannah</v>
      </c>
      <c r="R118">
        <f ca="1"/>
        <v>25</v>
      </c>
      <c r="S118">
        <f ca="1"/>
        <v>65000</v>
      </c>
      <c r="T118" t="str">
        <f ca="1"/>
        <v>Female</v>
      </c>
      <c r="U118" t="str">
        <f ca="1"/>
        <v>HR</v>
      </c>
      <c r="V118" t="str">
        <f ca="1"/>
        <v>Analyst</v>
      </c>
      <c r="W118">
        <f ca="1"/>
        <v>43845</v>
      </c>
      <c r="X118" t="str">
        <f ca="1"/>
        <v>F</v>
      </c>
      <c r="Y118" t="str">
        <f ca="1"/>
        <v>Missing</v>
      </c>
      <c r="Z118" t="str">
        <f ca="1"/>
        <v>098-765-4321</v>
      </c>
      <c r="AA118" t="str">
        <f ca="1"/>
        <v>Young</v>
      </c>
      <c r="AB118">
        <f ca="1"/>
        <v>6</v>
      </c>
      <c r="AC118" t="str">
        <f ca="1"/>
        <v>Medium</v>
      </c>
      <c r="AD118">
        <f ca="1"/>
        <v>2020</v>
      </c>
      <c r="AE118">
        <f ca="1"/>
        <v>1</v>
      </c>
    </row>
    <row r="119" spans="1:31" x14ac:dyDescent="0.3">
      <c r="A119" t="s">
        <v>51</v>
      </c>
      <c r="B119">
        <v>30</v>
      </c>
      <c r="C119" s="6">
        <v>60000</v>
      </c>
      <c r="D119" t="s">
        <v>36</v>
      </c>
      <c r="E119" t="s">
        <v>26</v>
      </c>
      <c r="F119" t="s">
        <v>44</v>
      </c>
      <c r="G119" s="7">
        <v>43800</v>
      </c>
      <c r="H119" t="s">
        <v>27</v>
      </c>
      <c r="I119" t="s">
        <v>69</v>
      </c>
      <c r="J119" t="s">
        <v>28</v>
      </c>
      <c r="K119" t="str">
        <f>IF(HR_Data5[[#This Row],[Age]]&lt;30,"Young",IF(HR_Data5[[#This Row],[Age]]&lt;=45,"Mid-Career","Senior"))</f>
        <v>Mid-Career</v>
      </c>
      <c r="L119" s="10">
        <f ca="1">DATEDIF(HR_Data5[[#This Row],[Joining Date]],TODAY(),"Y")</f>
        <v>6</v>
      </c>
      <c r="M119" s="10" t="str">
        <f>IF(HR_Data5[[#This Row],[Salary]]&lt;55000,"Low",IF(HR_Data5[[#This Row],[Salary]]&lt;=65000,"Medium","High"))</f>
        <v>Medium</v>
      </c>
      <c r="N119" s="10">
        <f>YEAR(HR_Data5[[#This Row],[Joining Date]])</f>
        <v>2019</v>
      </c>
      <c r="O119" s="10" cm="1">
        <f t="array" ref="O119">_xlfn.SWITCH(HR_Data5[[#This Row],[Performance Score]],
"A",5,
"B",4,
"C",3,
"D",2,
"F",1)</f>
        <v>3</v>
      </c>
      <c r="P119" s="10"/>
      <c r="Q119" t="str">
        <f ca="1"/>
        <v>Charlie</v>
      </c>
      <c r="R119">
        <f ca="1"/>
        <v>36</v>
      </c>
      <c r="S119">
        <f ca="1"/>
        <v>65000</v>
      </c>
      <c r="T119" t="str">
        <f ca="1"/>
        <v>Other</v>
      </c>
      <c r="U119" t="str">
        <f ca="1"/>
        <v>HR</v>
      </c>
      <c r="V119" t="str">
        <f ca="1"/>
        <v>Assistant</v>
      </c>
      <c r="W119">
        <f ca="1"/>
        <v>43195</v>
      </c>
      <c r="X119" t="str">
        <f ca="1"/>
        <v>B</v>
      </c>
      <c r="Y119" t="str">
        <f ca="1"/>
        <v>email@example.com</v>
      </c>
      <c r="Z119" t="str">
        <f ca="1"/>
        <v>555-555-5555</v>
      </c>
      <c r="AA119" t="str">
        <f ca="1"/>
        <v>Mid-Career</v>
      </c>
      <c r="AB119">
        <f ca="1"/>
        <v>7</v>
      </c>
      <c r="AC119" t="str">
        <f ca="1"/>
        <v>Medium</v>
      </c>
      <c r="AD119">
        <f ca="1"/>
        <v>2018</v>
      </c>
      <c r="AE119">
        <f ca="1"/>
        <v>4</v>
      </c>
    </row>
    <row r="120" spans="1:31" x14ac:dyDescent="0.3">
      <c r="A120" t="s">
        <v>51</v>
      </c>
      <c r="B120">
        <v>35</v>
      </c>
      <c r="C120" s="6">
        <v>70000</v>
      </c>
      <c r="D120" t="s">
        <v>36</v>
      </c>
      <c r="E120" t="s">
        <v>37</v>
      </c>
      <c r="F120" t="s">
        <v>20</v>
      </c>
      <c r="G120" s="7">
        <v>43800</v>
      </c>
      <c r="H120" t="s">
        <v>14</v>
      </c>
      <c r="I120" t="s">
        <v>69</v>
      </c>
      <c r="J120" t="s">
        <v>69</v>
      </c>
      <c r="K120" t="str">
        <f>IF(HR_Data5[[#This Row],[Age]]&lt;30,"Young",IF(HR_Data5[[#This Row],[Age]]&lt;=45,"Mid-Career","Senior"))</f>
        <v>Mid-Career</v>
      </c>
      <c r="L120" s="10">
        <f ca="1">DATEDIF(HR_Data5[[#This Row],[Joining Date]],TODAY(),"Y")</f>
        <v>6</v>
      </c>
      <c r="M120" s="10" t="str">
        <f>IF(HR_Data5[[#This Row],[Salary]]&lt;55000,"Low",IF(HR_Data5[[#This Row],[Salary]]&lt;=65000,"Medium","High"))</f>
        <v>High</v>
      </c>
      <c r="N120" s="10">
        <f>YEAR(HR_Data5[[#This Row],[Joining Date]])</f>
        <v>2019</v>
      </c>
      <c r="O120" s="10" cm="1">
        <f t="array" ref="O120">_xlfn.SWITCH(HR_Data5[[#This Row],[Performance Score]],
"A",5,
"B",4,
"C",3,
"D",2,
"F",1)</f>
        <v>2</v>
      </c>
      <c r="P120" s="10"/>
      <c r="Q120" t="str">
        <f ca="1"/>
        <v>Frank</v>
      </c>
      <c r="R120">
        <f ca="1"/>
        <v>36</v>
      </c>
      <c r="S120">
        <f ca="1"/>
        <v>65000</v>
      </c>
      <c r="T120" t="str">
        <f ca="1"/>
        <v>Female</v>
      </c>
      <c r="U120" t="str">
        <f ca="1"/>
        <v>HR</v>
      </c>
      <c r="V120" t="str">
        <f ca="1"/>
        <v>Analyst</v>
      </c>
      <c r="W120">
        <f ca="1"/>
        <v>43549</v>
      </c>
      <c r="X120" t="str">
        <f ca="1"/>
        <v>C</v>
      </c>
      <c r="Y120" t="str">
        <f ca="1"/>
        <v>name@company.org</v>
      </c>
      <c r="Z120" t="str">
        <f ca="1"/>
        <v>123-456-7890</v>
      </c>
      <c r="AA120" t="str">
        <f ca="1"/>
        <v>Mid-Career</v>
      </c>
      <c r="AB120">
        <f ca="1"/>
        <v>6</v>
      </c>
      <c r="AC120" t="str">
        <f ca="1"/>
        <v>Medium</v>
      </c>
      <c r="AD120">
        <f ca="1"/>
        <v>2019</v>
      </c>
      <c r="AE120">
        <f ca="1"/>
        <v>3</v>
      </c>
    </row>
    <row r="121" spans="1:31" x14ac:dyDescent="0.3">
      <c r="A121" t="s">
        <v>60</v>
      </c>
      <c r="B121">
        <v>50</v>
      </c>
      <c r="C121" s="6">
        <v>65000</v>
      </c>
      <c r="D121" t="s">
        <v>18</v>
      </c>
      <c r="E121" t="s">
        <v>26</v>
      </c>
      <c r="F121" t="s">
        <v>20</v>
      </c>
      <c r="G121" s="7">
        <v>43195</v>
      </c>
      <c r="H121" t="s">
        <v>41</v>
      </c>
      <c r="I121" t="s">
        <v>15</v>
      </c>
      <c r="J121" t="s">
        <v>69</v>
      </c>
      <c r="K121" t="str">
        <f>IF(HR_Data5[[#This Row],[Age]]&lt;30,"Young",IF(HR_Data5[[#This Row],[Age]]&lt;=45,"Mid-Career","Senior"))</f>
        <v>Senior</v>
      </c>
      <c r="L121" s="10">
        <f ca="1">DATEDIF(HR_Data5[[#This Row],[Joining Date]],TODAY(),"Y")</f>
        <v>7</v>
      </c>
      <c r="M121" s="10" t="str">
        <f>IF(HR_Data5[[#This Row],[Salary]]&lt;55000,"Low",IF(HR_Data5[[#This Row],[Salary]]&lt;=65000,"Medium","High"))</f>
        <v>Medium</v>
      </c>
      <c r="N121" s="10">
        <f>YEAR(HR_Data5[[#This Row],[Joining Date]])</f>
        <v>2018</v>
      </c>
      <c r="O121" s="10" cm="1">
        <f t="array" ref="O121">_xlfn.SWITCH(HR_Data5[[#This Row],[Performance Score]],
"A",5,
"B",4,
"C",3,
"D",2,
"F",1)</f>
        <v>4</v>
      </c>
      <c r="P121" s="10"/>
      <c r="Q121" t="str">
        <f ca="1"/>
        <v>Charlie</v>
      </c>
      <c r="R121">
        <f ca="1"/>
        <v>35</v>
      </c>
      <c r="S121">
        <f ca="1"/>
        <v>65000</v>
      </c>
      <c r="T121" t="str">
        <f ca="1"/>
        <v>Male</v>
      </c>
      <c r="U121" t="str">
        <f ca="1"/>
        <v>HR</v>
      </c>
      <c r="V121" t="str">
        <f ca="1"/>
        <v>Assistant</v>
      </c>
      <c r="W121">
        <f ca="1"/>
        <v>43549</v>
      </c>
      <c r="X121" t="str">
        <f ca="1"/>
        <v>F</v>
      </c>
      <c r="Y121" t="str">
        <f ca="1"/>
        <v>email@example.com</v>
      </c>
      <c r="Z121" t="str">
        <f ca="1"/>
        <v>Missing</v>
      </c>
      <c r="AA121" t="str">
        <f ca="1"/>
        <v>Mid-Career</v>
      </c>
      <c r="AB121">
        <f ca="1"/>
        <v>6</v>
      </c>
      <c r="AC121" t="str">
        <f ca="1"/>
        <v>Medium</v>
      </c>
      <c r="AD121">
        <f ca="1"/>
        <v>2019</v>
      </c>
      <c r="AE121">
        <f ca="1"/>
        <v>1</v>
      </c>
    </row>
    <row r="122" spans="1:31" x14ac:dyDescent="0.3">
      <c r="A122" t="s">
        <v>55</v>
      </c>
      <c r="B122">
        <v>30</v>
      </c>
      <c r="C122" s="6">
        <v>60000</v>
      </c>
      <c r="D122" t="s">
        <v>18</v>
      </c>
      <c r="E122" t="s">
        <v>19</v>
      </c>
      <c r="F122" t="s">
        <v>39</v>
      </c>
      <c r="G122" s="7">
        <v>43845</v>
      </c>
      <c r="H122" t="s">
        <v>31</v>
      </c>
      <c r="I122" t="s">
        <v>32</v>
      </c>
      <c r="J122" t="s">
        <v>23</v>
      </c>
      <c r="K122" t="str">
        <f>IF(HR_Data5[[#This Row],[Age]]&lt;30,"Young",IF(HR_Data5[[#This Row],[Age]]&lt;=45,"Mid-Career","Senior"))</f>
        <v>Mid-Career</v>
      </c>
      <c r="L122" s="10">
        <f ca="1">DATEDIF(HR_Data5[[#This Row],[Joining Date]],TODAY(),"Y")</f>
        <v>6</v>
      </c>
      <c r="M122" s="10" t="str">
        <f>IF(HR_Data5[[#This Row],[Salary]]&lt;55000,"Low",IF(HR_Data5[[#This Row],[Salary]]&lt;=65000,"Medium","High"))</f>
        <v>Medium</v>
      </c>
      <c r="N122" s="10">
        <f>YEAR(HR_Data5[[#This Row],[Joining Date]])</f>
        <v>2020</v>
      </c>
      <c r="O122" s="10" cm="1">
        <f t="array" ref="O122">_xlfn.SWITCH(HR_Data5[[#This Row],[Performance Score]],
"A",5,
"B",4,
"C",3,
"D",2,
"F",1)</f>
        <v>5</v>
      </c>
      <c r="P122" s="10"/>
      <c r="Q122" t="str">
        <f ca="1"/>
        <v>Hannah</v>
      </c>
      <c r="R122">
        <f ca="1"/>
        <v>30</v>
      </c>
      <c r="S122">
        <f ca="1"/>
        <v>65000</v>
      </c>
      <c r="T122" t="str">
        <f ca="1"/>
        <v>Other</v>
      </c>
      <c r="U122" t="str">
        <f ca="1"/>
        <v>HR</v>
      </c>
      <c r="V122" t="str">
        <f ca="1"/>
        <v>Director</v>
      </c>
      <c r="W122">
        <f ca="1"/>
        <v>43881</v>
      </c>
      <c r="X122" t="str">
        <f ca="1"/>
        <v>B</v>
      </c>
      <c r="Y122" t="str">
        <f ca="1"/>
        <v>email@example.com</v>
      </c>
      <c r="Z122" t="str">
        <f ca="1"/>
        <v>098-765-4321</v>
      </c>
      <c r="AA122" t="str">
        <f ca="1"/>
        <v>Mid-Career</v>
      </c>
      <c r="AB122">
        <f ca="1"/>
        <v>6</v>
      </c>
      <c r="AC122" t="str">
        <f ca="1"/>
        <v>Medium</v>
      </c>
      <c r="AD122">
        <f ca="1"/>
        <v>2020</v>
      </c>
      <c r="AE122">
        <f ca="1"/>
        <v>4</v>
      </c>
    </row>
    <row r="123" spans="1:31" x14ac:dyDescent="0.3">
      <c r="A123" t="s">
        <v>55</v>
      </c>
      <c r="B123">
        <v>36</v>
      </c>
      <c r="C123" s="6">
        <v>55000</v>
      </c>
      <c r="D123" t="s">
        <v>18</v>
      </c>
      <c r="E123" t="s">
        <v>19</v>
      </c>
      <c r="F123" t="s">
        <v>13</v>
      </c>
      <c r="G123" s="7">
        <v>43195</v>
      </c>
      <c r="H123" t="s">
        <v>21</v>
      </c>
      <c r="I123" t="s">
        <v>22</v>
      </c>
      <c r="J123" t="s">
        <v>23</v>
      </c>
      <c r="K123" t="str">
        <f>IF(HR_Data5[[#This Row],[Age]]&lt;30,"Young",IF(HR_Data5[[#This Row],[Age]]&lt;=45,"Mid-Career","Senior"))</f>
        <v>Mid-Career</v>
      </c>
      <c r="L123" s="10">
        <f ca="1">DATEDIF(HR_Data5[[#This Row],[Joining Date]],TODAY(),"Y")</f>
        <v>7</v>
      </c>
      <c r="M123" s="10" t="str">
        <f>IF(HR_Data5[[#This Row],[Salary]]&lt;55000,"Low",IF(HR_Data5[[#This Row],[Salary]]&lt;=65000,"Medium","High"))</f>
        <v>Medium</v>
      </c>
      <c r="N123" s="10">
        <f>YEAR(HR_Data5[[#This Row],[Joining Date]])</f>
        <v>2018</v>
      </c>
      <c r="O123" s="10" cm="1">
        <f t="array" ref="O123">_xlfn.SWITCH(HR_Data5[[#This Row],[Performance Score]],
"A",5,
"B",4,
"C",3,
"D",2,
"F",1)</f>
        <v>1</v>
      </c>
      <c r="P123" s="10"/>
      <c r="Q123" t="str">
        <f ca="1"/>
        <v>Frank</v>
      </c>
      <c r="R123">
        <f ca="1"/>
        <v>30</v>
      </c>
      <c r="S123">
        <f ca="1"/>
        <v>65000</v>
      </c>
      <c r="T123" t="str">
        <f ca="1"/>
        <v>Other</v>
      </c>
      <c r="U123" t="str">
        <f ca="1"/>
        <v>HR</v>
      </c>
      <c r="V123" t="str">
        <f ca="1"/>
        <v>Assistant</v>
      </c>
      <c r="W123">
        <f ca="1"/>
        <v>43800</v>
      </c>
      <c r="X123" t="str">
        <f ca="1"/>
        <v>D</v>
      </c>
      <c r="Y123" t="str">
        <f ca="1"/>
        <v>Missing</v>
      </c>
      <c r="Z123" t="str">
        <f ca="1"/>
        <v>555-555-5555</v>
      </c>
      <c r="AA123" t="str">
        <f ca="1"/>
        <v>Mid-Career</v>
      </c>
      <c r="AB123">
        <f ca="1"/>
        <v>6</v>
      </c>
      <c r="AC123" t="str">
        <f ca="1"/>
        <v>Medium</v>
      </c>
      <c r="AD123">
        <f ca="1"/>
        <v>2019</v>
      </c>
      <c r="AE123">
        <f ca="1"/>
        <v>2</v>
      </c>
    </row>
    <row r="124" spans="1:31" x14ac:dyDescent="0.3">
      <c r="A124" t="s">
        <v>56</v>
      </c>
      <c r="B124">
        <v>25</v>
      </c>
      <c r="C124" s="6">
        <v>65000</v>
      </c>
      <c r="D124" t="s">
        <v>18</v>
      </c>
      <c r="E124" t="s">
        <v>26</v>
      </c>
      <c r="F124" t="s">
        <v>13</v>
      </c>
      <c r="G124" s="7">
        <v>43845</v>
      </c>
      <c r="H124" t="s">
        <v>31</v>
      </c>
      <c r="I124" t="s">
        <v>69</v>
      </c>
      <c r="J124" t="s">
        <v>23</v>
      </c>
      <c r="K124" t="str">
        <f>IF(HR_Data5[[#This Row],[Age]]&lt;30,"Young",IF(HR_Data5[[#This Row],[Age]]&lt;=45,"Mid-Career","Senior"))</f>
        <v>Young</v>
      </c>
      <c r="L124" s="10">
        <f ca="1">DATEDIF(HR_Data5[[#This Row],[Joining Date]],TODAY(),"Y")</f>
        <v>6</v>
      </c>
      <c r="M124" s="10" t="str">
        <f>IF(HR_Data5[[#This Row],[Salary]]&lt;55000,"Low",IF(HR_Data5[[#This Row],[Salary]]&lt;=65000,"Medium","High"))</f>
        <v>Medium</v>
      </c>
      <c r="N124" s="10">
        <f>YEAR(HR_Data5[[#This Row],[Joining Date]])</f>
        <v>2020</v>
      </c>
      <c r="O124" s="10" cm="1">
        <f t="array" ref="O124">_xlfn.SWITCH(HR_Data5[[#This Row],[Performance Score]],
"A",5,
"B",4,
"C",3,
"D",2,
"F",1)</f>
        <v>5</v>
      </c>
      <c r="P124" s="10"/>
      <c r="Q124" t="str">
        <f ca="1"/>
        <v>Hannah</v>
      </c>
      <c r="R124">
        <f ca="1"/>
        <v>50</v>
      </c>
      <c r="S124">
        <f ca="1"/>
        <v>65000</v>
      </c>
      <c r="T124" t="str">
        <f ca="1"/>
        <v>Other</v>
      </c>
      <c r="U124" t="str">
        <f ca="1"/>
        <v>HR</v>
      </c>
      <c r="V124" t="str">
        <f ca="1"/>
        <v>Clerk</v>
      </c>
      <c r="W124">
        <f ca="1"/>
        <v>43800</v>
      </c>
      <c r="X124" t="str">
        <f ca="1"/>
        <v>D</v>
      </c>
      <c r="Y124" t="str">
        <f ca="1"/>
        <v>Missing</v>
      </c>
      <c r="Z124" t="str">
        <f ca="1"/>
        <v>098-765-4321</v>
      </c>
      <c r="AA124" t="str">
        <f ca="1"/>
        <v>Senior</v>
      </c>
      <c r="AB124">
        <f ca="1"/>
        <v>6</v>
      </c>
      <c r="AC124" t="str">
        <f ca="1"/>
        <v>Medium</v>
      </c>
      <c r="AD124">
        <f ca="1"/>
        <v>2019</v>
      </c>
      <c r="AE124">
        <f ca="1"/>
        <v>2</v>
      </c>
    </row>
    <row r="125" spans="1:31" x14ac:dyDescent="0.3">
      <c r="A125" t="s">
        <v>51</v>
      </c>
      <c r="B125">
        <v>36</v>
      </c>
      <c r="C125" s="6" t="s">
        <v>68</v>
      </c>
      <c r="D125" t="s">
        <v>11</v>
      </c>
      <c r="E125" t="s">
        <v>19</v>
      </c>
      <c r="F125" t="s">
        <v>39</v>
      </c>
      <c r="G125" s="7">
        <v>43881</v>
      </c>
      <c r="H125" t="s">
        <v>21</v>
      </c>
      <c r="I125" t="s">
        <v>32</v>
      </c>
      <c r="J125" t="s">
        <v>28</v>
      </c>
      <c r="K125" t="str">
        <f>IF(HR_Data5[[#This Row],[Age]]&lt;30,"Young",IF(HR_Data5[[#This Row],[Age]]&lt;=45,"Mid-Career","Senior"))</f>
        <v>Mid-Career</v>
      </c>
      <c r="L125" s="10">
        <f ca="1">DATEDIF(HR_Data5[[#This Row],[Joining Date]],TODAY(),"Y")</f>
        <v>6</v>
      </c>
      <c r="M125" s="10" t="str">
        <f>IF(HR_Data5[[#This Row],[Salary]]&lt;55000,"Low",IF(HR_Data5[[#This Row],[Salary]]&lt;=65000,"Medium","High"))</f>
        <v>High</v>
      </c>
      <c r="N125" s="10">
        <f>YEAR(HR_Data5[[#This Row],[Joining Date]])</f>
        <v>2020</v>
      </c>
      <c r="O125" s="10" cm="1">
        <f t="array" ref="O125">_xlfn.SWITCH(HR_Data5[[#This Row],[Performance Score]],
"A",5,
"B",4,
"C",3,
"D",2,
"F",1)</f>
        <v>1</v>
      </c>
      <c r="P125" s="10"/>
      <c r="Q125" t="str">
        <f ca="1"/>
        <v>Charlie</v>
      </c>
      <c r="R125">
        <f ca="1"/>
        <v>36</v>
      </c>
      <c r="S125">
        <f ca="1"/>
        <v>65000</v>
      </c>
      <c r="T125" t="str">
        <f ca="1"/>
        <v>Female</v>
      </c>
      <c r="U125" t="str">
        <f ca="1"/>
        <v>HR</v>
      </c>
      <c r="V125" t="str">
        <f ca="1"/>
        <v>Assistant</v>
      </c>
      <c r="W125">
        <f ca="1"/>
        <v>43845</v>
      </c>
      <c r="X125" t="str">
        <f ca="1"/>
        <v>D</v>
      </c>
      <c r="Y125" t="str">
        <f ca="1"/>
        <v>name@company.org</v>
      </c>
      <c r="Z125" t="str">
        <f ca="1"/>
        <v>123-456-7890</v>
      </c>
      <c r="AA125" t="str">
        <f ca="1"/>
        <v>Mid-Career</v>
      </c>
      <c r="AB125">
        <f ca="1"/>
        <v>6</v>
      </c>
      <c r="AC125" t="str">
        <f ca="1"/>
        <v>Medium</v>
      </c>
      <c r="AD125">
        <f ca="1"/>
        <v>2020</v>
      </c>
      <c r="AE125">
        <f ca="1"/>
        <v>2</v>
      </c>
    </row>
    <row r="126" spans="1:31" x14ac:dyDescent="0.3">
      <c r="A126" t="s">
        <v>59</v>
      </c>
      <c r="B126">
        <v>30</v>
      </c>
      <c r="C126" s="6">
        <v>55000</v>
      </c>
      <c r="D126" t="s">
        <v>18</v>
      </c>
      <c r="E126" t="s">
        <v>37</v>
      </c>
      <c r="F126" t="s">
        <v>39</v>
      </c>
      <c r="G126" s="7">
        <v>43845</v>
      </c>
      <c r="H126" t="s">
        <v>27</v>
      </c>
      <c r="I126" t="s">
        <v>15</v>
      </c>
      <c r="J126" t="s">
        <v>69</v>
      </c>
      <c r="K126" t="str">
        <f>IF(HR_Data5[[#This Row],[Age]]&lt;30,"Young",IF(HR_Data5[[#This Row],[Age]]&lt;=45,"Mid-Career","Senior"))</f>
        <v>Mid-Career</v>
      </c>
      <c r="L126" s="10">
        <f ca="1">DATEDIF(HR_Data5[[#This Row],[Joining Date]],TODAY(),"Y")</f>
        <v>6</v>
      </c>
      <c r="M126" s="10" t="str">
        <f>IF(HR_Data5[[#This Row],[Salary]]&lt;55000,"Low",IF(HR_Data5[[#This Row],[Salary]]&lt;=65000,"Medium","High"))</f>
        <v>Medium</v>
      </c>
      <c r="N126" s="10">
        <f>YEAR(HR_Data5[[#This Row],[Joining Date]])</f>
        <v>2020</v>
      </c>
      <c r="O126" s="10" cm="1">
        <f t="array" ref="O126">_xlfn.SWITCH(HR_Data5[[#This Row],[Performance Score]],
"A",5,
"B",4,
"C",3,
"D",2,
"F",1)</f>
        <v>3</v>
      </c>
      <c r="P126" s="10"/>
      <c r="Q126" t="str">
        <f ca="1"/>
        <v>Charlie</v>
      </c>
      <c r="R126">
        <f ca="1"/>
        <v>30</v>
      </c>
      <c r="S126">
        <f ca="1"/>
        <v>65000</v>
      </c>
      <c r="T126" t="str">
        <f ca="1"/>
        <v>Female</v>
      </c>
      <c r="U126" t="str">
        <f ca="1"/>
        <v>HR</v>
      </c>
      <c r="V126" t="str">
        <f ca="1"/>
        <v>Director</v>
      </c>
      <c r="W126">
        <f ca="1"/>
        <v>43800</v>
      </c>
      <c r="X126" t="str">
        <f ca="1"/>
        <v>D</v>
      </c>
      <c r="Y126" t="str">
        <f ca="1"/>
        <v>user@domain.com</v>
      </c>
      <c r="Z126" t="str">
        <f ca="1"/>
        <v>555-555-5555</v>
      </c>
      <c r="AA126" t="str">
        <f ca="1"/>
        <v>Mid-Career</v>
      </c>
      <c r="AB126">
        <f ca="1"/>
        <v>6</v>
      </c>
      <c r="AC126" t="str">
        <f ca="1"/>
        <v>Medium</v>
      </c>
      <c r="AD126">
        <f ca="1"/>
        <v>2019</v>
      </c>
      <c r="AE126">
        <f ca="1"/>
        <v>2</v>
      </c>
    </row>
    <row r="127" spans="1:31" x14ac:dyDescent="0.3">
      <c r="A127" t="s">
        <v>52</v>
      </c>
      <c r="B127">
        <v>40</v>
      </c>
      <c r="C127" s="6">
        <v>55000</v>
      </c>
      <c r="D127" t="s">
        <v>36</v>
      </c>
      <c r="E127" t="s">
        <v>30</v>
      </c>
      <c r="F127" t="s">
        <v>39</v>
      </c>
      <c r="G127" s="7">
        <v>43881</v>
      </c>
      <c r="H127" t="s">
        <v>31</v>
      </c>
      <c r="I127" t="s">
        <v>69</v>
      </c>
      <c r="J127" t="s">
        <v>45</v>
      </c>
      <c r="K127" t="str">
        <f>IF(HR_Data5[[#This Row],[Age]]&lt;30,"Young",IF(HR_Data5[[#This Row],[Age]]&lt;=45,"Mid-Career","Senior"))</f>
        <v>Mid-Career</v>
      </c>
      <c r="L127" s="10">
        <f ca="1">DATEDIF(HR_Data5[[#This Row],[Joining Date]],TODAY(),"Y")</f>
        <v>6</v>
      </c>
      <c r="M127" s="10" t="str">
        <f>IF(HR_Data5[[#This Row],[Salary]]&lt;55000,"Low",IF(HR_Data5[[#This Row],[Salary]]&lt;=65000,"Medium","High"))</f>
        <v>Medium</v>
      </c>
      <c r="N127" s="10">
        <f>YEAR(HR_Data5[[#This Row],[Joining Date]])</f>
        <v>2020</v>
      </c>
      <c r="O127" s="10" cm="1">
        <f t="array" ref="O127">_xlfn.SWITCH(HR_Data5[[#This Row],[Performance Score]],
"A",5,
"B",4,
"C",3,
"D",2,
"F",1)</f>
        <v>5</v>
      </c>
      <c r="P127" s="10"/>
      <c r="Q127" t="str">
        <f ca="1"/>
        <v>Jack</v>
      </c>
      <c r="R127">
        <f ca="1"/>
        <v>50</v>
      </c>
      <c r="S127">
        <f ca="1"/>
        <v>65000</v>
      </c>
      <c r="T127" t="str">
        <f ca="1"/>
        <v>Female</v>
      </c>
      <c r="U127" t="str">
        <f ca="1"/>
        <v>HR</v>
      </c>
      <c r="V127" t="str">
        <f ca="1"/>
        <v>Manager</v>
      </c>
      <c r="W127">
        <f ca="1"/>
        <v>43881</v>
      </c>
      <c r="X127" t="str">
        <f ca="1"/>
        <v>F</v>
      </c>
      <c r="Y127" t="str">
        <f ca="1"/>
        <v>Missing</v>
      </c>
      <c r="Z127" t="str">
        <f ca="1"/>
        <v>098-765-4321</v>
      </c>
      <c r="AA127" t="str">
        <f ca="1"/>
        <v>Senior</v>
      </c>
      <c r="AB127">
        <f ca="1"/>
        <v>6</v>
      </c>
      <c r="AC127" t="str">
        <f ca="1"/>
        <v>Medium</v>
      </c>
      <c r="AD127">
        <f ca="1"/>
        <v>2020</v>
      </c>
      <c r="AE127">
        <f ca="1"/>
        <v>1</v>
      </c>
    </row>
    <row r="128" spans="1:31" x14ac:dyDescent="0.3">
      <c r="A128" t="s">
        <v>52</v>
      </c>
      <c r="B128">
        <v>25</v>
      </c>
      <c r="C128" s="6">
        <v>50000</v>
      </c>
      <c r="D128" t="s">
        <v>36</v>
      </c>
      <c r="E128" t="s">
        <v>19</v>
      </c>
      <c r="F128" t="s">
        <v>13</v>
      </c>
      <c r="G128" s="7">
        <v>43881</v>
      </c>
      <c r="H128" t="s">
        <v>14</v>
      </c>
      <c r="I128" t="s">
        <v>22</v>
      </c>
      <c r="J128" t="s">
        <v>28</v>
      </c>
      <c r="K128" t="str">
        <f>IF(HR_Data5[[#This Row],[Age]]&lt;30,"Young",IF(HR_Data5[[#This Row],[Age]]&lt;=45,"Mid-Career","Senior"))</f>
        <v>Young</v>
      </c>
      <c r="L128" s="10">
        <f ca="1">DATEDIF(HR_Data5[[#This Row],[Joining Date]],TODAY(),"Y")</f>
        <v>6</v>
      </c>
      <c r="M128" s="10" t="str">
        <f>IF(HR_Data5[[#This Row],[Salary]]&lt;55000,"Low",IF(HR_Data5[[#This Row],[Salary]]&lt;=65000,"Medium","High"))</f>
        <v>Low</v>
      </c>
      <c r="N128" s="10">
        <f>YEAR(HR_Data5[[#This Row],[Joining Date]])</f>
        <v>2020</v>
      </c>
      <c r="O128" s="10" cm="1">
        <f t="array" ref="O128">_xlfn.SWITCH(HR_Data5[[#This Row],[Performance Score]],
"A",5,
"B",4,
"C",3,
"D",2,
"F",1)</f>
        <v>2</v>
      </c>
      <c r="P128" s="10"/>
    </row>
    <row r="129" spans="1:16" x14ac:dyDescent="0.3">
      <c r="A129" t="s">
        <v>54</v>
      </c>
      <c r="B129">
        <v>25</v>
      </c>
      <c r="C129" s="6">
        <v>70000</v>
      </c>
      <c r="D129" t="s">
        <v>18</v>
      </c>
      <c r="E129" t="s">
        <v>19</v>
      </c>
      <c r="F129" t="s">
        <v>20</v>
      </c>
      <c r="G129" s="7">
        <v>43845</v>
      </c>
      <c r="H129" t="s">
        <v>41</v>
      </c>
      <c r="I129" t="s">
        <v>32</v>
      </c>
      <c r="J129" t="s">
        <v>45</v>
      </c>
      <c r="K129" t="str">
        <f>IF(HR_Data5[[#This Row],[Age]]&lt;30,"Young",IF(HR_Data5[[#This Row],[Age]]&lt;=45,"Mid-Career","Senior"))</f>
        <v>Young</v>
      </c>
      <c r="L129" s="10">
        <f ca="1">DATEDIF(HR_Data5[[#This Row],[Joining Date]],TODAY(),"Y")</f>
        <v>6</v>
      </c>
      <c r="M129" s="10" t="str">
        <f>IF(HR_Data5[[#This Row],[Salary]]&lt;55000,"Low",IF(HR_Data5[[#This Row],[Salary]]&lt;=65000,"Medium","High"))</f>
        <v>High</v>
      </c>
      <c r="N129" s="10">
        <f>YEAR(HR_Data5[[#This Row],[Joining Date]])</f>
        <v>2020</v>
      </c>
      <c r="O129" s="10" cm="1">
        <f t="array" ref="O129">_xlfn.SWITCH(HR_Data5[[#This Row],[Performance Score]],
"A",5,
"B",4,
"C",3,
"D",2,
"F",1)</f>
        <v>4</v>
      </c>
      <c r="P129" s="10"/>
    </row>
    <row r="130" spans="1:16" x14ac:dyDescent="0.3">
      <c r="A130" t="s">
        <v>51</v>
      </c>
      <c r="B130">
        <v>35</v>
      </c>
      <c r="C130" s="6">
        <v>65000</v>
      </c>
      <c r="D130" t="s">
        <v>36</v>
      </c>
      <c r="E130" t="s">
        <v>26</v>
      </c>
      <c r="F130" t="s">
        <v>39</v>
      </c>
      <c r="G130" s="7">
        <v>43549</v>
      </c>
      <c r="H130" t="s">
        <v>14</v>
      </c>
      <c r="I130" t="s">
        <v>69</v>
      </c>
      <c r="J130" t="s">
        <v>69</v>
      </c>
      <c r="K130" t="str">
        <f>IF(HR_Data5[[#This Row],[Age]]&lt;30,"Young",IF(HR_Data5[[#This Row],[Age]]&lt;=45,"Mid-Career","Senior"))</f>
        <v>Mid-Career</v>
      </c>
      <c r="L130" s="10">
        <f ca="1">DATEDIF(HR_Data5[[#This Row],[Joining Date]],TODAY(),"Y")</f>
        <v>6</v>
      </c>
      <c r="M130" s="10" t="str">
        <f>IF(HR_Data5[[#This Row],[Salary]]&lt;55000,"Low",IF(HR_Data5[[#This Row],[Salary]]&lt;=65000,"Medium","High"))</f>
        <v>Medium</v>
      </c>
      <c r="N130" s="10">
        <f>YEAR(HR_Data5[[#This Row],[Joining Date]])</f>
        <v>2019</v>
      </c>
      <c r="O130" s="10" cm="1">
        <f t="array" ref="O130">_xlfn.SWITCH(HR_Data5[[#This Row],[Performance Score]],
"A",5,
"B",4,
"C",3,
"D",2,
"F",1)</f>
        <v>2</v>
      </c>
      <c r="P130" s="10"/>
    </row>
    <row r="131" spans="1:16" x14ac:dyDescent="0.3">
      <c r="A131" t="s">
        <v>51</v>
      </c>
      <c r="B131">
        <v>35</v>
      </c>
      <c r="C131" s="6">
        <v>55000</v>
      </c>
      <c r="D131" t="s">
        <v>18</v>
      </c>
      <c r="E131" t="s">
        <v>37</v>
      </c>
      <c r="F131" t="s">
        <v>44</v>
      </c>
      <c r="G131" s="7">
        <v>43845</v>
      </c>
      <c r="H131" t="s">
        <v>41</v>
      </c>
      <c r="I131" t="s">
        <v>15</v>
      </c>
      <c r="J131" t="s">
        <v>69</v>
      </c>
      <c r="K131" t="str">
        <f>IF(HR_Data5[[#This Row],[Age]]&lt;30,"Young",IF(HR_Data5[[#This Row],[Age]]&lt;=45,"Mid-Career","Senior"))</f>
        <v>Mid-Career</v>
      </c>
      <c r="L131" s="10">
        <f ca="1">DATEDIF(HR_Data5[[#This Row],[Joining Date]],TODAY(),"Y")</f>
        <v>6</v>
      </c>
      <c r="M131" s="10" t="str">
        <f>IF(HR_Data5[[#This Row],[Salary]]&lt;55000,"Low",IF(HR_Data5[[#This Row],[Salary]]&lt;=65000,"Medium","High"))</f>
        <v>Medium</v>
      </c>
      <c r="N131" s="10">
        <f>YEAR(HR_Data5[[#This Row],[Joining Date]])</f>
        <v>2020</v>
      </c>
      <c r="O131" s="10" cm="1">
        <f t="array" ref="O131">_xlfn.SWITCH(HR_Data5[[#This Row],[Performance Score]],
"A",5,
"B",4,
"C",3,
"D",2,
"F",1)</f>
        <v>4</v>
      </c>
      <c r="P131" s="10"/>
    </row>
    <row r="132" spans="1:16" x14ac:dyDescent="0.3">
      <c r="A132" t="s">
        <v>52</v>
      </c>
      <c r="B132">
        <v>40</v>
      </c>
      <c r="C132" s="6">
        <v>50000</v>
      </c>
      <c r="D132" t="s">
        <v>36</v>
      </c>
      <c r="E132" t="s">
        <v>30</v>
      </c>
      <c r="F132" t="s">
        <v>39</v>
      </c>
      <c r="G132" s="7">
        <v>43800</v>
      </c>
      <c r="H132" t="s">
        <v>31</v>
      </c>
      <c r="I132" t="s">
        <v>15</v>
      </c>
      <c r="J132" t="s">
        <v>23</v>
      </c>
      <c r="K132" t="str">
        <f>IF(HR_Data5[[#This Row],[Age]]&lt;30,"Young",IF(HR_Data5[[#This Row],[Age]]&lt;=45,"Mid-Career","Senior"))</f>
        <v>Mid-Career</v>
      </c>
      <c r="L132" s="10">
        <f ca="1">DATEDIF(HR_Data5[[#This Row],[Joining Date]],TODAY(),"Y")</f>
        <v>6</v>
      </c>
      <c r="M132" s="10" t="str">
        <f>IF(HR_Data5[[#This Row],[Salary]]&lt;55000,"Low",IF(HR_Data5[[#This Row],[Salary]]&lt;=65000,"Medium","High"))</f>
        <v>Low</v>
      </c>
      <c r="N132" s="10">
        <f>YEAR(HR_Data5[[#This Row],[Joining Date]])</f>
        <v>2019</v>
      </c>
      <c r="O132" s="10" cm="1">
        <f t="array" ref="O132">_xlfn.SWITCH(HR_Data5[[#This Row],[Performance Score]],
"A",5,
"B",4,
"C",3,
"D",2,
"F",1)</f>
        <v>5</v>
      </c>
      <c r="P132" s="10"/>
    </row>
    <row r="133" spans="1:16" x14ac:dyDescent="0.3">
      <c r="A133" t="s">
        <v>51</v>
      </c>
      <c r="B133">
        <v>50</v>
      </c>
      <c r="C133" s="6" t="s">
        <v>68</v>
      </c>
      <c r="D133" t="s">
        <v>11</v>
      </c>
      <c r="E133" t="s">
        <v>26</v>
      </c>
      <c r="F133" t="s">
        <v>43</v>
      </c>
      <c r="G133" s="7">
        <v>43800</v>
      </c>
      <c r="H133" t="s">
        <v>31</v>
      </c>
      <c r="I133" t="s">
        <v>32</v>
      </c>
      <c r="J133" t="s">
        <v>45</v>
      </c>
      <c r="K133" t="str">
        <f>IF(HR_Data5[[#This Row],[Age]]&lt;30,"Young",IF(HR_Data5[[#This Row],[Age]]&lt;=45,"Mid-Career","Senior"))</f>
        <v>Senior</v>
      </c>
      <c r="L133" s="10">
        <f ca="1">DATEDIF(HR_Data5[[#This Row],[Joining Date]],TODAY(),"Y")</f>
        <v>6</v>
      </c>
      <c r="M133" s="10" t="str">
        <f>IF(HR_Data5[[#This Row],[Salary]]&lt;55000,"Low",IF(HR_Data5[[#This Row],[Salary]]&lt;=65000,"Medium","High"))</f>
        <v>High</v>
      </c>
      <c r="N133" s="10">
        <f>YEAR(HR_Data5[[#This Row],[Joining Date]])</f>
        <v>2019</v>
      </c>
      <c r="O133" s="10" cm="1">
        <f t="array" ref="O133">_xlfn.SWITCH(HR_Data5[[#This Row],[Performance Score]],
"A",5,
"B",4,
"C",3,
"D",2,
"F",1)</f>
        <v>5</v>
      </c>
      <c r="P133" s="10"/>
    </row>
    <row r="134" spans="1:16" x14ac:dyDescent="0.3">
      <c r="A134" t="s">
        <v>56</v>
      </c>
      <c r="B134">
        <v>25</v>
      </c>
      <c r="C134" s="6">
        <v>60000</v>
      </c>
      <c r="D134" t="s">
        <v>11</v>
      </c>
      <c r="E134" t="s">
        <v>26</v>
      </c>
      <c r="F134" t="s">
        <v>39</v>
      </c>
      <c r="G134" s="7">
        <v>43549</v>
      </c>
      <c r="H134" t="s">
        <v>41</v>
      </c>
      <c r="I134" t="s">
        <v>69</v>
      </c>
      <c r="J134" t="s">
        <v>28</v>
      </c>
      <c r="K134" t="str">
        <f>IF(HR_Data5[[#This Row],[Age]]&lt;30,"Young",IF(HR_Data5[[#This Row],[Age]]&lt;=45,"Mid-Career","Senior"))</f>
        <v>Young</v>
      </c>
      <c r="L134" s="10">
        <f ca="1">DATEDIF(HR_Data5[[#This Row],[Joining Date]],TODAY(),"Y")</f>
        <v>6</v>
      </c>
      <c r="M134" s="10" t="str">
        <f>IF(HR_Data5[[#This Row],[Salary]]&lt;55000,"Low",IF(HR_Data5[[#This Row],[Salary]]&lt;=65000,"Medium","High"))</f>
        <v>Medium</v>
      </c>
      <c r="N134" s="10">
        <f>YEAR(HR_Data5[[#This Row],[Joining Date]])</f>
        <v>2019</v>
      </c>
      <c r="O134" s="10" cm="1">
        <f t="array" ref="O134">_xlfn.SWITCH(HR_Data5[[#This Row],[Performance Score]],
"A",5,
"B",4,
"C",3,
"D",2,
"F",1)</f>
        <v>4</v>
      </c>
      <c r="P134" s="10"/>
    </row>
    <row r="135" spans="1:16" x14ac:dyDescent="0.3">
      <c r="A135" t="s">
        <v>57</v>
      </c>
      <c r="B135">
        <v>40</v>
      </c>
      <c r="C135" s="6">
        <v>65000</v>
      </c>
      <c r="D135" t="s">
        <v>18</v>
      </c>
      <c r="E135" t="s">
        <v>37</v>
      </c>
      <c r="F135" t="s">
        <v>13</v>
      </c>
      <c r="G135" s="7">
        <v>43881</v>
      </c>
      <c r="H135" t="s">
        <v>27</v>
      </c>
      <c r="I135" t="s">
        <v>15</v>
      </c>
      <c r="J135" t="s">
        <v>45</v>
      </c>
      <c r="K135" t="str">
        <f>IF(HR_Data5[[#This Row],[Age]]&lt;30,"Young",IF(HR_Data5[[#This Row],[Age]]&lt;=45,"Mid-Career","Senior"))</f>
        <v>Mid-Career</v>
      </c>
      <c r="L135" s="10">
        <f ca="1">DATEDIF(HR_Data5[[#This Row],[Joining Date]],TODAY(),"Y")</f>
        <v>6</v>
      </c>
      <c r="M135" s="10" t="str">
        <f>IF(HR_Data5[[#This Row],[Salary]]&lt;55000,"Low",IF(HR_Data5[[#This Row],[Salary]]&lt;=65000,"Medium","High"))</f>
        <v>Medium</v>
      </c>
      <c r="N135" s="10">
        <f>YEAR(HR_Data5[[#This Row],[Joining Date]])</f>
        <v>2020</v>
      </c>
      <c r="O135" s="10" cm="1">
        <f t="array" ref="O135">_xlfn.SWITCH(HR_Data5[[#This Row],[Performance Score]],
"A",5,
"B",4,
"C",3,
"D",2,
"F",1)</f>
        <v>3</v>
      </c>
      <c r="P135" s="10"/>
    </row>
    <row r="136" spans="1:16" x14ac:dyDescent="0.3">
      <c r="A136" t="s">
        <v>58</v>
      </c>
      <c r="B136">
        <v>35</v>
      </c>
      <c r="C136" s="6">
        <v>55000</v>
      </c>
      <c r="D136" t="s">
        <v>18</v>
      </c>
      <c r="E136" t="s">
        <v>30</v>
      </c>
      <c r="F136" t="s">
        <v>39</v>
      </c>
      <c r="G136" s="7">
        <v>43549</v>
      </c>
      <c r="H136" t="s">
        <v>21</v>
      </c>
      <c r="I136" t="s">
        <v>22</v>
      </c>
      <c r="J136" t="s">
        <v>69</v>
      </c>
      <c r="K136" t="str">
        <f>IF(HR_Data5[[#This Row],[Age]]&lt;30,"Young",IF(HR_Data5[[#This Row],[Age]]&lt;=45,"Mid-Career","Senior"))</f>
        <v>Mid-Career</v>
      </c>
      <c r="L136" s="10">
        <f ca="1">DATEDIF(HR_Data5[[#This Row],[Joining Date]],TODAY(),"Y")</f>
        <v>6</v>
      </c>
      <c r="M136" s="10" t="str">
        <f>IF(HR_Data5[[#This Row],[Salary]]&lt;55000,"Low",IF(HR_Data5[[#This Row],[Salary]]&lt;=65000,"Medium","High"))</f>
        <v>Medium</v>
      </c>
      <c r="N136" s="10">
        <f>YEAR(HR_Data5[[#This Row],[Joining Date]])</f>
        <v>2019</v>
      </c>
      <c r="O136" s="10" cm="1">
        <f t="array" ref="O136">_xlfn.SWITCH(HR_Data5[[#This Row],[Performance Score]],
"A",5,
"B",4,
"C",3,
"D",2,
"F",1)</f>
        <v>1</v>
      </c>
      <c r="P136" s="10"/>
    </row>
    <row r="137" spans="1:16" x14ac:dyDescent="0.3">
      <c r="A137" t="s">
        <v>55</v>
      </c>
      <c r="B137">
        <v>35</v>
      </c>
      <c r="C137" s="6">
        <v>70000</v>
      </c>
      <c r="D137" t="s">
        <v>18</v>
      </c>
      <c r="E137" t="s">
        <v>37</v>
      </c>
      <c r="F137" t="s">
        <v>43</v>
      </c>
      <c r="G137" s="7">
        <v>43800</v>
      </c>
      <c r="H137" t="s">
        <v>14</v>
      </c>
      <c r="I137" t="s">
        <v>15</v>
      </c>
      <c r="J137" t="s">
        <v>23</v>
      </c>
      <c r="K137" t="str">
        <f>IF(HR_Data5[[#This Row],[Age]]&lt;30,"Young",IF(HR_Data5[[#This Row],[Age]]&lt;=45,"Mid-Career","Senior"))</f>
        <v>Mid-Career</v>
      </c>
      <c r="L137" s="10">
        <f ca="1">DATEDIF(HR_Data5[[#This Row],[Joining Date]],TODAY(),"Y")</f>
        <v>6</v>
      </c>
      <c r="M137" s="10" t="str">
        <f>IF(HR_Data5[[#This Row],[Salary]]&lt;55000,"Low",IF(HR_Data5[[#This Row],[Salary]]&lt;=65000,"Medium","High"))</f>
        <v>High</v>
      </c>
      <c r="N137" s="10">
        <f>YEAR(HR_Data5[[#This Row],[Joining Date]])</f>
        <v>2019</v>
      </c>
      <c r="O137" s="10" cm="1">
        <f t="array" ref="O137">_xlfn.SWITCH(HR_Data5[[#This Row],[Performance Score]],
"A",5,
"B",4,
"C",3,
"D",2,
"F",1)</f>
        <v>2</v>
      </c>
      <c r="P137" s="10"/>
    </row>
    <row r="138" spans="1:16" x14ac:dyDescent="0.3">
      <c r="A138" t="s">
        <v>60</v>
      </c>
      <c r="B138">
        <v>25</v>
      </c>
      <c r="C138" s="6">
        <v>50000</v>
      </c>
      <c r="D138" t="s">
        <v>36</v>
      </c>
      <c r="E138" t="s">
        <v>30</v>
      </c>
      <c r="F138" t="s">
        <v>44</v>
      </c>
      <c r="G138" s="7">
        <v>43549</v>
      </c>
      <c r="H138" t="s">
        <v>14</v>
      </c>
      <c r="I138" t="s">
        <v>69</v>
      </c>
      <c r="J138" t="s">
        <v>45</v>
      </c>
      <c r="K138" t="str">
        <f>IF(HR_Data5[[#This Row],[Age]]&lt;30,"Young",IF(HR_Data5[[#This Row],[Age]]&lt;=45,"Mid-Career","Senior"))</f>
        <v>Young</v>
      </c>
      <c r="L138" s="10">
        <f ca="1">DATEDIF(HR_Data5[[#This Row],[Joining Date]],TODAY(),"Y")</f>
        <v>6</v>
      </c>
      <c r="M138" s="10" t="str">
        <f>IF(HR_Data5[[#This Row],[Salary]]&lt;55000,"Low",IF(HR_Data5[[#This Row],[Salary]]&lt;=65000,"Medium","High"))</f>
        <v>Low</v>
      </c>
      <c r="N138" s="10">
        <f>YEAR(HR_Data5[[#This Row],[Joining Date]])</f>
        <v>2019</v>
      </c>
      <c r="O138" s="10" cm="1">
        <f t="array" ref="O138">_xlfn.SWITCH(HR_Data5[[#This Row],[Performance Score]],
"A",5,
"B",4,
"C",3,
"D",2,
"F",1)</f>
        <v>2</v>
      </c>
      <c r="P138" s="10"/>
    </row>
    <row r="139" spans="1:16" x14ac:dyDescent="0.3">
      <c r="A139" t="s">
        <v>54</v>
      </c>
      <c r="B139">
        <v>36</v>
      </c>
      <c r="C139" s="6">
        <v>55000</v>
      </c>
      <c r="D139" t="s">
        <v>18</v>
      </c>
      <c r="E139" t="s">
        <v>37</v>
      </c>
      <c r="F139" t="s">
        <v>20</v>
      </c>
      <c r="G139" s="7">
        <v>43845</v>
      </c>
      <c r="H139" t="s">
        <v>14</v>
      </c>
      <c r="I139" t="s">
        <v>69</v>
      </c>
      <c r="J139" t="s">
        <v>69</v>
      </c>
      <c r="K139" t="str">
        <f>IF(HR_Data5[[#This Row],[Age]]&lt;30,"Young",IF(HR_Data5[[#This Row],[Age]]&lt;=45,"Mid-Career","Senior"))</f>
        <v>Mid-Career</v>
      </c>
      <c r="L139" s="10">
        <f ca="1">DATEDIF(HR_Data5[[#This Row],[Joining Date]],TODAY(),"Y")</f>
        <v>6</v>
      </c>
      <c r="M139" s="10" t="str">
        <f>IF(HR_Data5[[#This Row],[Salary]]&lt;55000,"Low",IF(HR_Data5[[#This Row],[Salary]]&lt;=65000,"Medium","High"))</f>
        <v>Medium</v>
      </c>
      <c r="N139" s="10">
        <f>YEAR(HR_Data5[[#This Row],[Joining Date]])</f>
        <v>2020</v>
      </c>
      <c r="O139" s="10" cm="1">
        <f t="array" ref="O139">_xlfn.SWITCH(HR_Data5[[#This Row],[Performance Score]],
"A",5,
"B",4,
"C",3,
"D",2,
"F",1)</f>
        <v>2</v>
      </c>
      <c r="P139" s="10"/>
    </row>
    <row r="140" spans="1:16" x14ac:dyDescent="0.3">
      <c r="A140" t="s">
        <v>57</v>
      </c>
      <c r="B140">
        <v>30</v>
      </c>
      <c r="C140" s="6">
        <v>70000</v>
      </c>
      <c r="D140" t="s">
        <v>11</v>
      </c>
      <c r="E140" t="s">
        <v>26</v>
      </c>
      <c r="F140" t="s">
        <v>39</v>
      </c>
      <c r="G140" s="7">
        <v>43549</v>
      </c>
      <c r="H140" t="s">
        <v>31</v>
      </c>
      <c r="I140" t="s">
        <v>69</v>
      </c>
      <c r="J140" t="s">
        <v>28</v>
      </c>
      <c r="K140" t="str">
        <f>IF(HR_Data5[[#This Row],[Age]]&lt;30,"Young",IF(HR_Data5[[#This Row],[Age]]&lt;=45,"Mid-Career","Senior"))</f>
        <v>Mid-Career</v>
      </c>
      <c r="L140" s="10">
        <f ca="1">DATEDIF(HR_Data5[[#This Row],[Joining Date]],TODAY(),"Y")</f>
        <v>6</v>
      </c>
      <c r="M140" s="10" t="str">
        <f>IF(HR_Data5[[#This Row],[Salary]]&lt;55000,"Low",IF(HR_Data5[[#This Row],[Salary]]&lt;=65000,"Medium","High"))</f>
        <v>High</v>
      </c>
      <c r="N140" s="10">
        <f>YEAR(HR_Data5[[#This Row],[Joining Date]])</f>
        <v>2019</v>
      </c>
      <c r="O140" s="10" cm="1">
        <f t="array" ref="O140">_xlfn.SWITCH(HR_Data5[[#This Row],[Performance Score]],
"A",5,
"B",4,
"C",3,
"D",2,
"F",1)</f>
        <v>5</v>
      </c>
      <c r="P140" s="10"/>
    </row>
    <row r="141" spans="1:16" x14ac:dyDescent="0.3">
      <c r="A141" t="s">
        <v>52</v>
      </c>
      <c r="B141">
        <v>35</v>
      </c>
      <c r="C141" s="6">
        <v>55000</v>
      </c>
      <c r="D141" t="s">
        <v>36</v>
      </c>
      <c r="E141" t="s">
        <v>26</v>
      </c>
      <c r="F141" t="s">
        <v>43</v>
      </c>
      <c r="G141" s="7">
        <v>43881</v>
      </c>
      <c r="H141" t="s">
        <v>14</v>
      </c>
      <c r="I141" t="s">
        <v>32</v>
      </c>
      <c r="J141" t="s">
        <v>69</v>
      </c>
      <c r="K141" t="str">
        <f>IF(HR_Data5[[#This Row],[Age]]&lt;30,"Young",IF(HR_Data5[[#This Row],[Age]]&lt;=45,"Mid-Career","Senior"))</f>
        <v>Mid-Career</v>
      </c>
      <c r="L141" s="10">
        <f ca="1">DATEDIF(HR_Data5[[#This Row],[Joining Date]],TODAY(),"Y")</f>
        <v>6</v>
      </c>
      <c r="M141" s="10" t="str">
        <f>IF(HR_Data5[[#This Row],[Salary]]&lt;55000,"Low",IF(HR_Data5[[#This Row],[Salary]]&lt;=65000,"Medium","High"))</f>
        <v>Medium</v>
      </c>
      <c r="N141" s="10">
        <f>YEAR(HR_Data5[[#This Row],[Joining Date]])</f>
        <v>2020</v>
      </c>
      <c r="O141" s="10" cm="1">
        <f t="array" ref="O141">_xlfn.SWITCH(HR_Data5[[#This Row],[Performance Score]],
"A",5,
"B",4,
"C",3,
"D",2,
"F",1)</f>
        <v>2</v>
      </c>
      <c r="P141" s="10"/>
    </row>
    <row r="142" spans="1:16" x14ac:dyDescent="0.3">
      <c r="A142" t="s">
        <v>55</v>
      </c>
      <c r="B142">
        <v>50</v>
      </c>
      <c r="C142" s="6">
        <v>65000</v>
      </c>
      <c r="D142" t="s">
        <v>18</v>
      </c>
      <c r="E142" t="s">
        <v>12</v>
      </c>
      <c r="F142" t="s">
        <v>43</v>
      </c>
      <c r="G142" s="7">
        <v>43845</v>
      </c>
      <c r="H142" t="s">
        <v>21</v>
      </c>
      <c r="I142" t="s">
        <v>69</v>
      </c>
      <c r="J142" t="s">
        <v>28</v>
      </c>
      <c r="K142" t="str">
        <f>IF(HR_Data5[[#This Row],[Age]]&lt;30,"Young",IF(HR_Data5[[#This Row],[Age]]&lt;=45,"Mid-Career","Senior"))</f>
        <v>Senior</v>
      </c>
      <c r="L142" s="10">
        <f ca="1">DATEDIF(HR_Data5[[#This Row],[Joining Date]],TODAY(),"Y")</f>
        <v>6</v>
      </c>
      <c r="M142" s="10" t="str">
        <f>IF(HR_Data5[[#This Row],[Salary]]&lt;55000,"Low",IF(HR_Data5[[#This Row],[Salary]]&lt;=65000,"Medium","High"))</f>
        <v>Medium</v>
      </c>
      <c r="N142" s="10">
        <f>YEAR(HR_Data5[[#This Row],[Joining Date]])</f>
        <v>2020</v>
      </c>
      <c r="O142" s="10" cm="1">
        <f t="array" ref="O142">_xlfn.SWITCH(HR_Data5[[#This Row],[Performance Score]],
"A",5,
"B",4,
"C",3,
"D",2,
"F",1)</f>
        <v>1</v>
      </c>
      <c r="P142" s="10"/>
    </row>
    <row r="143" spans="1:16" x14ac:dyDescent="0.3">
      <c r="A143" t="s">
        <v>51</v>
      </c>
      <c r="B143">
        <v>50</v>
      </c>
      <c r="C143" s="6">
        <v>65000</v>
      </c>
      <c r="D143" t="s">
        <v>36</v>
      </c>
      <c r="E143" t="s">
        <v>19</v>
      </c>
      <c r="F143" t="s">
        <v>44</v>
      </c>
      <c r="G143" s="7">
        <v>43195</v>
      </c>
      <c r="H143" t="s">
        <v>21</v>
      </c>
      <c r="I143" t="s">
        <v>15</v>
      </c>
      <c r="J143" t="s">
        <v>23</v>
      </c>
      <c r="K143" t="str">
        <f>IF(HR_Data5[[#This Row],[Age]]&lt;30,"Young",IF(HR_Data5[[#This Row],[Age]]&lt;=45,"Mid-Career","Senior"))</f>
        <v>Senior</v>
      </c>
      <c r="L143" s="10">
        <f ca="1">DATEDIF(HR_Data5[[#This Row],[Joining Date]],TODAY(),"Y")</f>
        <v>7</v>
      </c>
      <c r="M143" s="10" t="str">
        <f>IF(HR_Data5[[#This Row],[Salary]]&lt;55000,"Low",IF(HR_Data5[[#This Row],[Salary]]&lt;=65000,"Medium","High"))</f>
        <v>Medium</v>
      </c>
      <c r="N143" s="10">
        <f>YEAR(HR_Data5[[#This Row],[Joining Date]])</f>
        <v>2018</v>
      </c>
      <c r="O143" s="10" cm="1">
        <f t="array" ref="O143">_xlfn.SWITCH(HR_Data5[[#This Row],[Performance Score]],
"A",5,
"B",4,
"C",3,
"D",2,
"F",1)</f>
        <v>1</v>
      </c>
      <c r="P143" s="10"/>
    </row>
    <row r="144" spans="1:16" x14ac:dyDescent="0.3">
      <c r="A144" t="s">
        <v>60</v>
      </c>
      <c r="B144">
        <v>35</v>
      </c>
      <c r="C144" s="6">
        <v>65000</v>
      </c>
      <c r="D144" t="s">
        <v>36</v>
      </c>
      <c r="E144" t="s">
        <v>37</v>
      </c>
      <c r="F144" t="s">
        <v>13</v>
      </c>
      <c r="G144" s="7">
        <v>43800</v>
      </c>
      <c r="H144" t="s">
        <v>41</v>
      </c>
      <c r="I144" t="s">
        <v>15</v>
      </c>
      <c r="J144" t="s">
        <v>28</v>
      </c>
      <c r="K144" t="str">
        <f>IF(HR_Data5[[#This Row],[Age]]&lt;30,"Young",IF(HR_Data5[[#This Row],[Age]]&lt;=45,"Mid-Career","Senior"))</f>
        <v>Mid-Career</v>
      </c>
      <c r="L144" s="10">
        <f ca="1">DATEDIF(HR_Data5[[#This Row],[Joining Date]],TODAY(),"Y")</f>
        <v>6</v>
      </c>
      <c r="M144" s="10" t="str">
        <f>IF(HR_Data5[[#This Row],[Salary]]&lt;55000,"Low",IF(HR_Data5[[#This Row],[Salary]]&lt;=65000,"Medium","High"))</f>
        <v>Medium</v>
      </c>
      <c r="N144" s="10">
        <f>YEAR(HR_Data5[[#This Row],[Joining Date]])</f>
        <v>2019</v>
      </c>
      <c r="O144" s="10" cm="1">
        <f t="array" ref="O144">_xlfn.SWITCH(HR_Data5[[#This Row],[Performance Score]],
"A",5,
"B",4,
"C",3,
"D",2,
"F",1)</f>
        <v>4</v>
      </c>
      <c r="P144" s="10"/>
    </row>
    <row r="145" spans="1:16" x14ac:dyDescent="0.3">
      <c r="A145" t="s">
        <v>51</v>
      </c>
      <c r="B145">
        <v>36</v>
      </c>
      <c r="C145" s="6" t="s">
        <v>68</v>
      </c>
      <c r="D145" t="s">
        <v>18</v>
      </c>
      <c r="E145" t="s">
        <v>12</v>
      </c>
      <c r="F145" t="s">
        <v>39</v>
      </c>
      <c r="G145" s="7">
        <v>43800</v>
      </c>
      <c r="H145" t="s">
        <v>31</v>
      </c>
      <c r="I145" t="s">
        <v>69</v>
      </c>
      <c r="J145" t="s">
        <v>28</v>
      </c>
      <c r="K145" t="str">
        <f>IF(HR_Data5[[#This Row],[Age]]&lt;30,"Young",IF(HR_Data5[[#This Row],[Age]]&lt;=45,"Mid-Career","Senior"))</f>
        <v>Mid-Career</v>
      </c>
      <c r="L145" s="10">
        <f ca="1">DATEDIF(HR_Data5[[#This Row],[Joining Date]],TODAY(),"Y")</f>
        <v>6</v>
      </c>
      <c r="M145" s="10" t="str">
        <f>IF(HR_Data5[[#This Row],[Salary]]&lt;55000,"Low",IF(HR_Data5[[#This Row],[Salary]]&lt;=65000,"Medium","High"))</f>
        <v>High</v>
      </c>
      <c r="N145" s="10">
        <f>YEAR(HR_Data5[[#This Row],[Joining Date]])</f>
        <v>2019</v>
      </c>
      <c r="O145" s="10" cm="1">
        <f t="array" ref="O145">_xlfn.SWITCH(HR_Data5[[#This Row],[Performance Score]],
"A",5,
"B",4,
"C",3,
"D",2,
"F",1)</f>
        <v>5</v>
      </c>
      <c r="P145" s="10"/>
    </row>
    <row r="146" spans="1:16" x14ac:dyDescent="0.3">
      <c r="A146" t="s">
        <v>59</v>
      </c>
      <c r="B146">
        <v>36</v>
      </c>
      <c r="C146" s="6" t="s">
        <v>68</v>
      </c>
      <c r="D146" t="s">
        <v>36</v>
      </c>
      <c r="E146" t="s">
        <v>19</v>
      </c>
      <c r="F146" t="s">
        <v>43</v>
      </c>
      <c r="G146" s="7">
        <v>43549</v>
      </c>
      <c r="H146" t="s">
        <v>21</v>
      </c>
      <c r="I146" t="s">
        <v>69</v>
      </c>
      <c r="J146" t="s">
        <v>28</v>
      </c>
      <c r="K146" t="str">
        <f>IF(HR_Data5[[#This Row],[Age]]&lt;30,"Young",IF(HR_Data5[[#This Row],[Age]]&lt;=45,"Mid-Career","Senior"))</f>
        <v>Mid-Career</v>
      </c>
      <c r="L146" s="10">
        <f ca="1">DATEDIF(HR_Data5[[#This Row],[Joining Date]],TODAY(),"Y")</f>
        <v>6</v>
      </c>
      <c r="M146" s="10" t="str">
        <f>IF(HR_Data5[[#This Row],[Salary]]&lt;55000,"Low",IF(HR_Data5[[#This Row],[Salary]]&lt;=65000,"Medium","High"))</f>
        <v>High</v>
      </c>
      <c r="N146" s="10">
        <f>YEAR(HR_Data5[[#This Row],[Joining Date]])</f>
        <v>2019</v>
      </c>
      <c r="O146" s="10" cm="1">
        <f t="array" ref="O146">_xlfn.SWITCH(HR_Data5[[#This Row],[Performance Score]],
"A",5,
"B",4,
"C",3,
"D",2,
"F",1)</f>
        <v>1</v>
      </c>
      <c r="P146" s="10"/>
    </row>
    <row r="147" spans="1:16" x14ac:dyDescent="0.3">
      <c r="A147" t="s">
        <v>59</v>
      </c>
      <c r="B147">
        <v>40</v>
      </c>
      <c r="C147" s="6">
        <v>50000</v>
      </c>
      <c r="D147" t="s">
        <v>11</v>
      </c>
      <c r="E147" t="s">
        <v>37</v>
      </c>
      <c r="F147" t="s">
        <v>44</v>
      </c>
      <c r="G147" s="7">
        <v>43845</v>
      </c>
      <c r="H147" t="s">
        <v>27</v>
      </c>
      <c r="I147" t="s">
        <v>22</v>
      </c>
      <c r="J147" t="s">
        <v>28</v>
      </c>
      <c r="K147" t="str">
        <f>IF(HR_Data5[[#This Row],[Age]]&lt;30,"Young",IF(HR_Data5[[#This Row],[Age]]&lt;=45,"Mid-Career","Senior"))</f>
        <v>Mid-Career</v>
      </c>
      <c r="L147" s="10">
        <f ca="1">DATEDIF(HR_Data5[[#This Row],[Joining Date]],TODAY(),"Y")</f>
        <v>6</v>
      </c>
      <c r="M147" s="10" t="str">
        <f>IF(HR_Data5[[#This Row],[Salary]]&lt;55000,"Low",IF(HR_Data5[[#This Row],[Salary]]&lt;=65000,"Medium","High"))</f>
        <v>Low</v>
      </c>
      <c r="N147" s="10">
        <f>YEAR(HR_Data5[[#This Row],[Joining Date]])</f>
        <v>2020</v>
      </c>
      <c r="O147" s="10" cm="1">
        <f t="array" ref="O147">_xlfn.SWITCH(HR_Data5[[#This Row],[Performance Score]],
"A",5,
"B",4,
"C",3,
"D",2,
"F",1)</f>
        <v>3</v>
      </c>
      <c r="P147" s="10"/>
    </row>
    <row r="148" spans="1:16" x14ac:dyDescent="0.3">
      <c r="A148" t="s">
        <v>60</v>
      </c>
      <c r="B148">
        <v>50</v>
      </c>
      <c r="C148" s="6">
        <v>65000</v>
      </c>
      <c r="D148" t="s">
        <v>11</v>
      </c>
      <c r="E148" t="s">
        <v>30</v>
      </c>
      <c r="F148" t="s">
        <v>20</v>
      </c>
      <c r="G148" s="7">
        <v>43195</v>
      </c>
      <c r="H148" t="s">
        <v>31</v>
      </c>
      <c r="I148" t="s">
        <v>69</v>
      </c>
      <c r="J148" t="s">
        <v>23</v>
      </c>
      <c r="K148" t="str">
        <f>IF(HR_Data5[[#This Row],[Age]]&lt;30,"Young",IF(HR_Data5[[#This Row],[Age]]&lt;=45,"Mid-Career","Senior"))</f>
        <v>Senior</v>
      </c>
      <c r="L148" s="10">
        <f ca="1">DATEDIF(HR_Data5[[#This Row],[Joining Date]],TODAY(),"Y")</f>
        <v>7</v>
      </c>
      <c r="M148" s="10" t="str">
        <f>IF(HR_Data5[[#This Row],[Salary]]&lt;55000,"Low",IF(HR_Data5[[#This Row],[Salary]]&lt;=65000,"Medium","High"))</f>
        <v>Medium</v>
      </c>
      <c r="N148" s="10">
        <f>YEAR(HR_Data5[[#This Row],[Joining Date]])</f>
        <v>2018</v>
      </c>
      <c r="O148" s="10" cm="1">
        <f t="array" ref="O148">_xlfn.SWITCH(HR_Data5[[#This Row],[Performance Score]],
"A",5,
"B",4,
"C",3,
"D",2,
"F",1)</f>
        <v>5</v>
      </c>
      <c r="P148" s="10"/>
    </row>
    <row r="149" spans="1:16" x14ac:dyDescent="0.3">
      <c r="A149" t="s">
        <v>60</v>
      </c>
      <c r="B149">
        <v>40</v>
      </c>
      <c r="C149" s="6">
        <v>70000</v>
      </c>
      <c r="D149" t="s">
        <v>36</v>
      </c>
      <c r="E149" t="s">
        <v>19</v>
      </c>
      <c r="F149" t="s">
        <v>43</v>
      </c>
      <c r="G149" s="7">
        <v>43845</v>
      </c>
      <c r="H149" t="s">
        <v>31</v>
      </c>
      <c r="I149" t="s">
        <v>22</v>
      </c>
      <c r="J149" t="s">
        <v>69</v>
      </c>
      <c r="K149" t="str">
        <f>IF(HR_Data5[[#This Row],[Age]]&lt;30,"Young",IF(HR_Data5[[#This Row],[Age]]&lt;=45,"Mid-Career","Senior"))</f>
        <v>Mid-Career</v>
      </c>
      <c r="L149" s="10">
        <f ca="1">DATEDIF(HR_Data5[[#This Row],[Joining Date]],TODAY(),"Y")</f>
        <v>6</v>
      </c>
      <c r="M149" s="10" t="str">
        <f>IF(HR_Data5[[#This Row],[Salary]]&lt;55000,"Low",IF(HR_Data5[[#This Row],[Salary]]&lt;=65000,"Medium","High"))</f>
        <v>High</v>
      </c>
      <c r="N149" s="10">
        <f>YEAR(HR_Data5[[#This Row],[Joining Date]])</f>
        <v>2020</v>
      </c>
      <c r="O149" s="10" cm="1">
        <f t="array" ref="O149">_xlfn.SWITCH(HR_Data5[[#This Row],[Performance Score]],
"A",5,
"B",4,
"C",3,
"D",2,
"F",1)</f>
        <v>5</v>
      </c>
      <c r="P149" s="10"/>
    </row>
    <row r="150" spans="1:16" x14ac:dyDescent="0.3">
      <c r="A150" t="s">
        <v>52</v>
      </c>
      <c r="B150">
        <v>50</v>
      </c>
      <c r="C150" s="6">
        <v>55000</v>
      </c>
      <c r="D150" t="s">
        <v>18</v>
      </c>
      <c r="E150" t="s">
        <v>26</v>
      </c>
      <c r="F150" t="s">
        <v>44</v>
      </c>
      <c r="G150" s="7">
        <v>43800</v>
      </c>
      <c r="H150" t="s">
        <v>21</v>
      </c>
      <c r="I150" t="s">
        <v>15</v>
      </c>
      <c r="J150" t="s">
        <v>45</v>
      </c>
      <c r="K150" t="str">
        <f>IF(HR_Data5[[#This Row],[Age]]&lt;30,"Young",IF(HR_Data5[[#This Row],[Age]]&lt;=45,"Mid-Career","Senior"))</f>
        <v>Senior</v>
      </c>
      <c r="L150" s="10">
        <f ca="1">DATEDIF(HR_Data5[[#This Row],[Joining Date]],TODAY(),"Y")</f>
        <v>6</v>
      </c>
      <c r="M150" s="10" t="str">
        <f>IF(HR_Data5[[#This Row],[Salary]]&lt;55000,"Low",IF(HR_Data5[[#This Row],[Salary]]&lt;=65000,"Medium","High"))</f>
        <v>Medium</v>
      </c>
      <c r="N150" s="10">
        <f>YEAR(HR_Data5[[#This Row],[Joining Date]])</f>
        <v>2019</v>
      </c>
      <c r="O150" s="10" cm="1">
        <f t="array" ref="O150">_xlfn.SWITCH(HR_Data5[[#This Row],[Performance Score]],
"A",5,
"B",4,
"C",3,
"D",2,
"F",1)</f>
        <v>1</v>
      </c>
      <c r="P150" s="10"/>
    </row>
    <row r="151" spans="1:16" x14ac:dyDescent="0.3">
      <c r="A151" t="s">
        <v>60</v>
      </c>
      <c r="B151">
        <v>30</v>
      </c>
      <c r="C151" s="6">
        <v>60000</v>
      </c>
      <c r="D151" t="s">
        <v>36</v>
      </c>
      <c r="E151" t="s">
        <v>12</v>
      </c>
      <c r="F151" t="s">
        <v>13</v>
      </c>
      <c r="G151" s="7">
        <v>43845</v>
      </c>
      <c r="H151" t="s">
        <v>27</v>
      </c>
      <c r="I151" t="s">
        <v>22</v>
      </c>
      <c r="J151" t="s">
        <v>69</v>
      </c>
      <c r="K151" t="str">
        <f>IF(HR_Data5[[#This Row],[Age]]&lt;30,"Young",IF(HR_Data5[[#This Row],[Age]]&lt;=45,"Mid-Career","Senior"))</f>
        <v>Mid-Career</v>
      </c>
      <c r="L151" s="10">
        <f ca="1">DATEDIF(HR_Data5[[#This Row],[Joining Date]],TODAY(),"Y")</f>
        <v>6</v>
      </c>
      <c r="M151" s="10" t="str">
        <f>IF(HR_Data5[[#This Row],[Salary]]&lt;55000,"Low",IF(HR_Data5[[#This Row],[Salary]]&lt;=65000,"Medium","High"))</f>
        <v>Medium</v>
      </c>
      <c r="N151" s="10">
        <f>YEAR(HR_Data5[[#This Row],[Joining Date]])</f>
        <v>2020</v>
      </c>
      <c r="O151" s="10" cm="1">
        <f t="array" ref="O151">_xlfn.SWITCH(HR_Data5[[#This Row],[Performance Score]],
"A",5,
"B",4,
"C",3,
"D",2,
"F",1)</f>
        <v>3</v>
      </c>
      <c r="P151" s="10"/>
    </row>
    <row r="152" spans="1:16" x14ac:dyDescent="0.3">
      <c r="A152" t="s">
        <v>56</v>
      </c>
      <c r="B152">
        <v>30</v>
      </c>
      <c r="C152" s="6">
        <v>70000</v>
      </c>
      <c r="D152" t="s">
        <v>11</v>
      </c>
      <c r="E152" t="s">
        <v>19</v>
      </c>
      <c r="F152" t="s">
        <v>13</v>
      </c>
      <c r="G152" s="7">
        <v>43195</v>
      </c>
      <c r="H152" t="s">
        <v>41</v>
      </c>
      <c r="I152" t="s">
        <v>22</v>
      </c>
      <c r="J152" t="s">
        <v>45</v>
      </c>
      <c r="K152" t="str">
        <f>IF(HR_Data5[[#This Row],[Age]]&lt;30,"Young",IF(HR_Data5[[#This Row],[Age]]&lt;=45,"Mid-Career","Senior"))</f>
        <v>Mid-Career</v>
      </c>
      <c r="L152" s="10">
        <f ca="1">DATEDIF(HR_Data5[[#This Row],[Joining Date]],TODAY(),"Y")</f>
        <v>7</v>
      </c>
      <c r="M152" s="10" t="str">
        <f>IF(HR_Data5[[#This Row],[Salary]]&lt;55000,"Low",IF(HR_Data5[[#This Row],[Salary]]&lt;=65000,"Medium","High"))</f>
        <v>High</v>
      </c>
      <c r="N152" s="10">
        <f>YEAR(HR_Data5[[#This Row],[Joining Date]])</f>
        <v>2018</v>
      </c>
      <c r="O152" s="10" cm="1">
        <f t="array" ref="O152">_xlfn.SWITCH(HR_Data5[[#This Row],[Performance Score]],
"A",5,
"B",4,
"C",3,
"D",2,
"F",1)</f>
        <v>4</v>
      </c>
      <c r="P152" s="10"/>
    </row>
    <row r="153" spans="1:16" x14ac:dyDescent="0.3">
      <c r="A153" t="s">
        <v>51</v>
      </c>
      <c r="B153">
        <v>25</v>
      </c>
      <c r="C153" s="6" t="s">
        <v>68</v>
      </c>
      <c r="D153" t="s">
        <v>36</v>
      </c>
      <c r="E153" t="s">
        <v>19</v>
      </c>
      <c r="F153" t="s">
        <v>43</v>
      </c>
      <c r="G153" s="7">
        <v>43549</v>
      </c>
      <c r="H153" t="s">
        <v>21</v>
      </c>
      <c r="I153" t="s">
        <v>32</v>
      </c>
      <c r="J153" t="s">
        <v>45</v>
      </c>
      <c r="K153" t="str">
        <f>IF(HR_Data5[[#This Row],[Age]]&lt;30,"Young",IF(HR_Data5[[#This Row],[Age]]&lt;=45,"Mid-Career","Senior"))</f>
        <v>Young</v>
      </c>
      <c r="L153" s="10">
        <f ca="1">DATEDIF(HR_Data5[[#This Row],[Joining Date]],TODAY(),"Y")</f>
        <v>6</v>
      </c>
      <c r="M153" s="10" t="str">
        <f>IF(HR_Data5[[#This Row],[Salary]]&lt;55000,"Low",IF(HR_Data5[[#This Row],[Salary]]&lt;=65000,"Medium","High"))</f>
        <v>High</v>
      </c>
      <c r="N153" s="10">
        <f>YEAR(HR_Data5[[#This Row],[Joining Date]])</f>
        <v>2019</v>
      </c>
      <c r="O153" s="10" cm="1">
        <f t="array" ref="O153">_xlfn.SWITCH(HR_Data5[[#This Row],[Performance Score]],
"A",5,
"B",4,
"C",3,
"D",2,
"F",1)</f>
        <v>1</v>
      </c>
      <c r="P153" s="10"/>
    </row>
    <row r="154" spans="1:16" x14ac:dyDescent="0.3">
      <c r="A154" t="s">
        <v>57</v>
      </c>
      <c r="B154">
        <v>40</v>
      </c>
      <c r="C154" s="6" t="s">
        <v>68</v>
      </c>
      <c r="D154" t="s">
        <v>36</v>
      </c>
      <c r="E154" t="s">
        <v>26</v>
      </c>
      <c r="F154" t="s">
        <v>43</v>
      </c>
      <c r="G154" s="7">
        <v>43881</v>
      </c>
      <c r="H154" t="s">
        <v>27</v>
      </c>
      <c r="I154" t="s">
        <v>69</v>
      </c>
      <c r="J154" t="s">
        <v>69</v>
      </c>
      <c r="K154" t="str">
        <f>IF(HR_Data5[[#This Row],[Age]]&lt;30,"Young",IF(HR_Data5[[#This Row],[Age]]&lt;=45,"Mid-Career","Senior"))</f>
        <v>Mid-Career</v>
      </c>
      <c r="L154" s="10">
        <f ca="1">DATEDIF(HR_Data5[[#This Row],[Joining Date]],TODAY(),"Y")</f>
        <v>6</v>
      </c>
      <c r="M154" s="10" t="str">
        <f>IF(HR_Data5[[#This Row],[Salary]]&lt;55000,"Low",IF(HR_Data5[[#This Row],[Salary]]&lt;=65000,"Medium","High"))</f>
        <v>High</v>
      </c>
      <c r="N154" s="10">
        <f>YEAR(HR_Data5[[#This Row],[Joining Date]])</f>
        <v>2020</v>
      </c>
      <c r="O154" s="10" cm="1">
        <f t="array" ref="O154">_xlfn.SWITCH(HR_Data5[[#This Row],[Performance Score]],
"A",5,
"B",4,
"C",3,
"D",2,
"F",1)</f>
        <v>3</v>
      </c>
      <c r="P154" s="10"/>
    </row>
    <row r="155" spans="1:16" x14ac:dyDescent="0.3">
      <c r="A155" t="s">
        <v>53</v>
      </c>
      <c r="B155">
        <v>35</v>
      </c>
      <c r="C155" s="6">
        <v>70000</v>
      </c>
      <c r="D155" t="s">
        <v>11</v>
      </c>
      <c r="E155" t="s">
        <v>37</v>
      </c>
      <c r="F155" t="s">
        <v>39</v>
      </c>
      <c r="G155" s="7">
        <v>43845</v>
      </c>
      <c r="H155" t="s">
        <v>31</v>
      </c>
      <c r="I155" t="s">
        <v>22</v>
      </c>
      <c r="J155" t="s">
        <v>23</v>
      </c>
      <c r="K155" t="str">
        <f>IF(HR_Data5[[#This Row],[Age]]&lt;30,"Young",IF(HR_Data5[[#This Row],[Age]]&lt;=45,"Mid-Career","Senior"))</f>
        <v>Mid-Career</v>
      </c>
      <c r="L155" s="10">
        <f ca="1">DATEDIF(HR_Data5[[#This Row],[Joining Date]],TODAY(),"Y")</f>
        <v>6</v>
      </c>
      <c r="M155" s="10" t="str">
        <f>IF(HR_Data5[[#This Row],[Salary]]&lt;55000,"Low",IF(HR_Data5[[#This Row],[Salary]]&lt;=65000,"Medium","High"))</f>
        <v>High</v>
      </c>
      <c r="N155" s="10">
        <f>YEAR(HR_Data5[[#This Row],[Joining Date]])</f>
        <v>2020</v>
      </c>
      <c r="O155" s="10" cm="1">
        <f t="array" ref="O155">_xlfn.SWITCH(HR_Data5[[#This Row],[Performance Score]],
"A",5,
"B",4,
"C",3,
"D",2,
"F",1)</f>
        <v>5</v>
      </c>
      <c r="P155" s="10"/>
    </row>
    <row r="156" spans="1:16" x14ac:dyDescent="0.3">
      <c r="A156" t="s">
        <v>60</v>
      </c>
      <c r="B156">
        <v>40</v>
      </c>
      <c r="C156" s="6" t="s">
        <v>68</v>
      </c>
      <c r="D156" t="s">
        <v>36</v>
      </c>
      <c r="E156" t="s">
        <v>30</v>
      </c>
      <c r="F156" t="s">
        <v>44</v>
      </c>
      <c r="G156" s="7">
        <v>43881</v>
      </c>
      <c r="H156" t="s">
        <v>27</v>
      </c>
      <c r="I156" t="s">
        <v>15</v>
      </c>
      <c r="J156" t="s">
        <v>69</v>
      </c>
      <c r="K156" t="str">
        <f>IF(HR_Data5[[#This Row],[Age]]&lt;30,"Young",IF(HR_Data5[[#This Row],[Age]]&lt;=45,"Mid-Career","Senior"))</f>
        <v>Mid-Career</v>
      </c>
      <c r="L156" s="10">
        <f ca="1">DATEDIF(HR_Data5[[#This Row],[Joining Date]],TODAY(),"Y")</f>
        <v>6</v>
      </c>
      <c r="M156" s="10" t="str">
        <f>IF(HR_Data5[[#This Row],[Salary]]&lt;55000,"Low",IF(HR_Data5[[#This Row],[Salary]]&lt;=65000,"Medium","High"))</f>
        <v>High</v>
      </c>
      <c r="N156" s="10">
        <f>YEAR(HR_Data5[[#This Row],[Joining Date]])</f>
        <v>2020</v>
      </c>
      <c r="O156" s="10" cm="1">
        <f t="array" ref="O156">_xlfn.SWITCH(HR_Data5[[#This Row],[Performance Score]],
"A",5,
"B",4,
"C",3,
"D",2,
"F",1)</f>
        <v>3</v>
      </c>
      <c r="P156" s="10"/>
    </row>
    <row r="157" spans="1:16" x14ac:dyDescent="0.3">
      <c r="A157" t="s">
        <v>54</v>
      </c>
      <c r="B157">
        <v>35</v>
      </c>
      <c r="C157" s="6">
        <v>65000</v>
      </c>
      <c r="D157" t="s">
        <v>36</v>
      </c>
      <c r="E157" t="s">
        <v>26</v>
      </c>
      <c r="F157" t="s">
        <v>43</v>
      </c>
      <c r="G157" s="7">
        <v>43800</v>
      </c>
      <c r="H157" t="s">
        <v>31</v>
      </c>
      <c r="I157" t="s">
        <v>69</v>
      </c>
      <c r="J157" t="s">
        <v>23</v>
      </c>
      <c r="K157" t="str">
        <f>IF(HR_Data5[[#This Row],[Age]]&lt;30,"Young",IF(HR_Data5[[#This Row],[Age]]&lt;=45,"Mid-Career","Senior"))</f>
        <v>Mid-Career</v>
      </c>
      <c r="L157" s="10">
        <f ca="1">DATEDIF(HR_Data5[[#This Row],[Joining Date]],TODAY(),"Y")</f>
        <v>6</v>
      </c>
      <c r="M157" s="10" t="str">
        <f>IF(HR_Data5[[#This Row],[Salary]]&lt;55000,"Low",IF(HR_Data5[[#This Row],[Salary]]&lt;=65000,"Medium","High"))</f>
        <v>Medium</v>
      </c>
      <c r="N157" s="10">
        <f>YEAR(HR_Data5[[#This Row],[Joining Date]])</f>
        <v>2019</v>
      </c>
      <c r="O157" s="10" cm="1">
        <f t="array" ref="O157">_xlfn.SWITCH(HR_Data5[[#This Row],[Performance Score]],
"A",5,
"B",4,
"C",3,
"D",2,
"F",1)</f>
        <v>5</v>
      </c>
      <c r="P157" s="10"/>
    </row>
    <row r="158" spans="1:16" x14ac:dyDescent="0.3">
      <c r="A158" t="s">
        <v>59</v>
      </c>
      <c r="B158">
        <v>36</v>
      </c>
      <c r="C158" s="6">
        <v>50000</v>
      </c>
      <c r="D158" t="s">
        <v>18</v>
      </c>
      <c r="E158" t="s">
        <v>30</v>
      </c>
      <c r="F158" t="s">
        <v>39</v>
      </c>
      <c r="G158" s="7">
        <v>43549</v>
      </c>
      <c r="H158" t="s">
        <v>21</v>
      </c>
      <c r="I158" t="s">
        <v>22</v>
      </c>
      <c r="J158" t="s">
        <v>45</v>
      </c>
      <c r="K158" t="str">
        <f>IF(HR_Data5[[#This Row],[Age]]&lt;30,"Young",IF(HR_Data5[[#This Row],[Age]]&lt;=45,"Mid-Career","Senior"))</f>
        <v>Mid-Career</v>
      </c>
      <c r="L158" s="10">
        <f ca="1">DATEDIF(HR_Data5[[#This Row],[Joining Date]],TODAY(),"Y")</f>
        <v>6</v>
      </c>
      <c r="M158" s="10" t="str">
        <f>IF(HR_Data5[[#This Row],[Salary]]&lt;55000,"Low",IF(HR_Data5[[#This Row],[Salary]]&lt;=65000,"Medium","High"))</f>
        <v>Low</v>
      </c>
      <c r="N158" s="10">
        <f>YEAR(HR_Data5[[#This Row],[Joining Date]])</f>
        <v>2019</v>
      </c>
      <c r="O158" s="10" cm="1">
        <f t="array" ref="O158">_xlfn.SWITCH(HR_Data5[[#This Row],[Performance Score]],
"A",5,
"B",4,
"C",3,
"D",2,
"F",1)</f>
        <v>1</v>
      </c>
      <c r="P158" s="10"/>
    </row>
    <row r="159" spans="1:16" x14ac:dyDescent="0.3">
      <c r="A159" t="s">
        <v>56</v>
      </c>
      <c r="B159">
        <v>40</v>
      </c>
      <c r="C159" s="6">
        <v>55000</v>
      </c>
      <c r="D159" t="s">
        <v>18</v>
      </c>
      <c r="E159" t="s">
        <v>37</v>
      </c>
      <c r="F159" t="s">
        <v>39</v>
      </c>
      <c r="G159" s="7">
        <v>43549</v>
      </c>
      <c r="H159" t="s">
        <v>21</v>
      </c>
      <c r="I159" t="s">
        <v>69</v>
      </c>
      <c r="J159" t="s">
        <v>23</v>
      </c>
      <c r="K159" t="str">
        <f>IF(HR_Data5[[#This Row],[Age]]&lt;30,"Young",IF(HR_Data5[[#This Row],[Age]]&lt;=45,"Mid-Career","Senior"))</f>
        <v>Mid-Career</v>
      </c>
      <c r="L159" s="10">
        <f ca="1">DATEDIF(HR_Data5[[#This Row],[Joining Date]],TODAY(),"Y")</f>
        <v>6</v>
      </c>
      <c r="M159" s="10" t="str">
        <f>IF(HR_Data5[[#This Row],[Salary]]&lt;55000,"Low",IF(HR_Data5[[#This Row],[Salary]]&lt;=65000,"Medium","High"))</f>
        <v>Medium</v>
      </c>
      <c r="N159" s="10">
        <f>YEAR(HR_Data5[[#This Row],[Joining Date]])</f>
        <v>2019</v>
      </c>
      <c r="O159" s="10" cm="1">
        <f t="array" ref="O159">_xlfn.SWITCH(HR_Data5[[#This Row],[Performance Score]],
"A",5,
"B",4,
"C",3,
"D",2,
"F",1)</f>
        <v>1</v>
      </c>
      <c r="P159" s="10"/>
    </row>
    <row r="160" spans="1:16" x14ac:dyDescent="0.3">
      <c r="A160" t="s">
        <v>55</v>
      </c>
      <c r="B160">
        <v>36</v>
      </c>
      <c r="C160" s="6">
        <v>50000</v>
      </c>
      <c r="D160" t="s">
        <v>11</v>
      </c>
      <c r="E160" t="s">
        <v>19</v>
      </c>
      <c r="F160" t="s">
        <v>43</v>
      </c>
      <c r="G160" s="7">
        <v>43845</v>
      </c>
      <c r="H160" t="s">
        <v>14</v>
      </c>
      <c r="I160" t="s">
        <v>32</v>
      </c>
      <c r="J160" t="s">
        <v>69</v>
      </c>
      <c r="K160" t="str">
        <f>IF(HR_Data5[[#This Row],[Age]]&lt;30,"Young",IF(HR_Data5[[#This Row],[Age]]&lt;=45,"Mid-Career","Senior"))</f>
        <v>Mid-Career</v>
      </c>
      <c r="L160" s="10">
        <f ca="1">DATEDIF(HR_Data5[[#This Row],[Joining Date]],TODAY(),"Y")</f>
        <v>6</v>
      </c>
      <c r="M160" s="10" t="str">
        <f>IF(HR_Data5[[#This Row],[Salary]]&lt;55000,"Low",IF(HR_Data5[[#This Row],[Salary]]&lt;=65000,"Medium","High"))</f>
        <v>Low</v>
      </c>
      <c r="N160" s="10">
        <f>YEAR(HR_Data5[[#This Row],[Joining Date]])</f>
        <v>2020</v>
      </c>
      <c r="O160" s="10" cm="1">
        <f t="array" ref="O160">_xlfn.SWITCH(HR_Data5[[#This Row],[Performance Score]],
"A",5,
"B",4,
"C",3,
"D",2,
"F",1)</f>
        <v>2</v>
      </c>
      <c r="P160" s="10"/>
    </row>
    <row r="161" spans="1:16" x14ac:dyDescent="0.3">
      <c r="A161" t="s">
        <v>53</v>
      </c>
      <c r="B161">
        <v>30</v>
      </c>
      <c r="C161" s="6">
        <v>55000</v>
      </c>
      <c r="D161" t="s">
        <v>11</v>
      </c>
      <c r="E161" t="s">
        <v>30</v>
      </c>
      <c r="F161" t="s">
        <v>13</v>
      </c>
      <c r="G161" s="7">
        <v>43549</v>
      </c>
      <c r="H161" t="s">
        <v>14</v>
      </c>
      <c r="I161" t="s">
        <v>15</v>
      </c>
      <c r="J161" t="s">
        <v>69</v>
      </c>
      <c r="K161" t="str">
        <f>IF(HR_Data5[[#This Row],[Age]]&lt;30,"Young",IF(HR_Data5[[#This Row],[Age]]&lt;=45,"Mid-Career","Senior"))</f>
        <v>Mid-Career</v>
      </c>
      <c r="L161" s="10">
        <f ca="1">DATEDIF(HR_Data5[[#This Row],[Joining Date]],TODAY(),"Y")</f>
        <v>6</v>
      </c>
      <c r="M161" s="10" t="str">
        <f>IF(HR_Data5[[#This Row],[Salary]]&lt;55000,"Low",IF(HR_Data5[[#This Row],[Salary]]&lt;=65000,"Medium","High"))</f>
        <v>Medium</v>
      </c>
      <c r="N161" s="10">
        <f>YEAR(HR_Data5[[#This Row],[Joining Date]])</f>
        <v>2019</v>
      </c>
      <c r="O161" s="10" cm="1">
        <f t="array" ref="O161">_xlfn.SWITCH(HR_Data5[[#This Row],[Performance Score]],
"A",5,
"B",4,
"C",3,
"D",2,
"F",1)</f>
        <v>2</v>
      </c>
      <c r="P161" s="10"/>
    </row>
    <row r="162" spans="1:16" x14ac:dyDescent="0.3">
      <c r="A162" t="s">
        <v>57</v>
      </c>
      <c r="B162">
        <v>30</v>
      </c>
      <c r="C162" s="6">
        <v>55000</v>
      </c>
      <c r="D162" t="s">
        <v>11</v>
      </c>
      <c r="E162" t="s">
        <v>12</v>
      </c>
      <c r="F162" t="s">
        <v>44</v>
      </c>
      <c r="G162" s="7">
        <v>43845</v>
      </c>
      <c r="H162" t="s">
        <v>14</v>
      </c>
      <c r="I162" t="s">
        <v>32</v>
      </c>
      <c r="J162" t="s">
        <v>69</v>
      </c>
      <c r="K162" t="str">
        <f>IF(HR_Data5[[#This Row],[Age]]&lt;30,"Young",IF(HR_Data5[[#This Row],[Age]]&lt;=45,"Mid-Career","Senior"))</f>
        <v>Mid-Career</v>
      </c>
      <c r="L162" s="10">
        <f ca="1">DATEDIF(HR_Data5[[#This Row],[Joining Date]],TODAY(),"Y")</f>
        <v>6</v>
      </c>
      <c r="M162" s="10" t="str">
        <f>IF(HR_Data5[[#This Row],[Salary]]&lt;55000,"Low",IF(HR_Data5[[#This Row],[Salary]]&lt;=65000,"Medium","High"))</f>
        <v>Medium</v>
      </c>
      <c r="N162" s="10">
        <f>YEAR(HR_Data5[[#This Row],[Joining Date]])</f>
        <v>2020</v>
      </c>
      <c r="O162" s="10" cm="1">
        <f t="array" ref="O162">_xlfn.SWITCH(HR_Data5[[#This Row],[Performance Score]],
"A",5,
"B",4,
"C",3,
"D",2,
"F",1)</f>
        <v>2</v>
      </c>
      <c r="P162" s="10"/>
    </row>
    <row r="163" spans="1:16" x14ac:dyDescent="0.3">
      <c r="A163" t="s">
        <v>53</v>
      </c>
      <c r="B163">
        <v>25</v>
      </c>
      <c r="C163" s="6">
        <v>50000</v>
      </c>
      <c r="D163" t="s">
        <v>18</v>
      </c>
      <c r="E163" t="s">
        <v>12</v>
      </c>
      <c r="F163" t="s">
        <v>44</v>
      </c>
      <c r="G163" s="7">
        <v>43845</v>
      </c>
      <c r="H163" t="s">
        <v>21</v>
      </c>
      <c r="I163" t="s">
        <v>69</v>
      </c>
      <c r="J163" t="s">
        <v>45</v>
      </c>
      <c r="K163" t="str">
        <f>IF(HR_Data5[[#This Row],[Age]]&lt;30,"Young",IF(HR_Data5[[#This Row],[Age]]&lt;=45,"Mid-Career","Senior"))</f>
        <v>Young</v>
      </c>
      <c r="L163" s="10">
        <f ca="1">DATEDIF(HR_Data5[[#This Row],[Joining Date]],TODAY(),"Y")</f>
        <v>6</v>
      </c>
      <c r="M163" s="10" t="str">
        <f>IF(HR_Data5[[#This Row],[Salary]]&lt;55000,"Low",IF(HR_Data5[[#This Row],[Salary]]&lt;=65000,"Medium","High"))</f>
        <v>Low</v>
      </c>
      <c r="N163" s="10">
        <f>YEAR(HR_Data5[[#This Row],[Joining Date]])</f>
        <v>2020</v>
      </c>
      <c r="O163" s="10" cm="1">
        <f t="array" ref="O163">_xlfn.SWITCH(HR_Data5[[#This Row],[Performance Score]],
"A",5,
"B",4,
"C",3,
"D",2,
"F",1)</f>
        <v>1</v>
      </c>
      <c r="P163" s="10"/>
    </row>
    <row r="164" spans="1:16" x14ac:dyDescent="0.3">
      <c r="A164" t="s">
        <v>60</v>
      </c>
      <c r="B164">
        <v>40</v>
      </c>
      <c r="C164" s="6">
        <v>70000</v>
      </c>
      <c r="D164" t="s">
        <v>11</v>
      </c>
      <c r="E164" t="s">
        <v>26</v>
      </c>
      <c r="F164" t="s">
        <v>13</v>
      </c>
      <c r="G164" s="7">
        <v>43881</v>
      </c>
      <c r="H164" t="s">
        <v>41</v>
      </c>
      <c r="I164" t="s">
        <v>22</v>
      </c>
      <c r="J164" t="s">
        <v>69</v>
      </c>
      <c r="K164" t="str">
        <f>IF(HR_Data5[[#This Row],[Age]]&lt;30,"Young",IF(HR_Data5[[#This Row],[Age]]&lt;=45,"Mid-Career","Senior"))</f>
        <v>Mid-Career</v>
      </c>
      <c r="L164" s="10">
        <f ca="1">DATEDIF(HR_Data5[[#This Row],[Joining Date]],TODAY(),"Y")</f>
        <v>6</v>
      </c>
      <c r="M164" s="10" t="str">
        <f>IF(HR_Data5[[#This Row],[Salary]]&lt;55000,"Low",IF(HR_Data5[[#This Row],[Salary]]&lt;=65000,"Medium","High"))</f>
        <v>High</v>
      </c>
      <c r="N164" s="10">
        <f>YEAR(HR_Data5[[#This Row],[Joining Date]])</f>
        <v>2020</v>
      </c>
      <c r="O164" s="10" cm="1">
        <f t="array" ref="O164">_xlfn.SWITCH(HR_Data5[[#This Row],[Performance Score]],
"A",5,
"B",4,
"C",3,
"D",2,
"F",1)</f>
        <v>4</v>
      </c>
      <c r="P164" s="10"/>
    </row>
    <row r="165" spans="1:16" x14ac:dyDescent="0.3">
      <c r="A165" t="s">
        <v>52</v>
      </c>
      <c r="B165">
        <v>36</v>
      </c>
      <c r="C165" s="6">
        <v>55000</v>
      </c>
      <c r="D165" t="s">
        <v>11</v>
      </c>
      <c r="E165" t="s">
        <v>37</v>
      </c>
      <c r="F165" t="s">
        <v>43</v>
      </c>
      <c r="G165" s="7">
        <v>43549</v>
      </c>
      <c r="H165" t="s">
        <v>21</v>
      </c>
      <c r="I165" t="s">
        <v>22</v>
      </c>
      <c r="J165" t="s">
        <v>45</v>
      </c>
      <c r="K165" t="str">
        <f>IF(HR_Data5[[#This Row],[Age]]&lt;30,"Young",IF(HR_Data5[[#This Row],[Age]]&lt;=45,"Mid-Career","Senior"))</f>
        <v>Mid-Career</v>
      </c>
      <c r="L165" s="10">
        <f ca="1">DATEDIF(HR_Data5[[#This Row],[Joining Date]],TODAY(),"Y")</f>
        <v>6</v>
      </c>
      <c r="M165" s="10" t="str">
        <f>IF(HR_Data5[[#This Row],[Salary]]&lt;55000,"Low",IF(HR_Data5[[#This Row],[Salary]]&lt;=65000,"Medium","High"))</f>
        <v>Medium</v>
      </c>
      <c r="N165" s="10">
        <f>YEAR(HR_Data5[[#This Row],[Joining Date]])</f>
        <v>2019</v>
      </c>
      <c r="O165" s="10" cm="1">
        <f t="array" ref="O165">_xlfn.SWITCH(HR_Data5[[#This Row],[Performance Score]],
"A",5,
"B",4,
"C",3,
"D",2,
"F",1)</f>
        <v>1</v>
      </c>
      <c r="P165" s="10"/>
    </row>
    <row r="166" spans="1:16" x14ac:dyDescent="0.3">
      <c r="A166" t="s">
        <v>59</v>
      </c>
      <c r="B166">
        <v>35</v>
      </c>
      <c r="C166" s="6">
        <v>50000</v>
      </c>
      <c r="D166" t="s">
        <v>11</v>
      </c>
      <c r="E166" t="s">
        <v>26</v>
      </c>
      <c r="F166" t="s">
        <v>44</v>
      </c>
      <c r="G166" s="7">
        <v>43845</v>
      </c>
      <c r="H166" t="s">
        <v>27</v>
      </c>
      <c r="I166" t="s">
        <v>69</v>
      </c>
      <c r="J166" t="s">
        <v>69</v>
      </c>
      <c r="K166" t="str">
        <f>IF(HR_Data5[[#This Row],[Age]]&lt;30,"Young",IF(HR_Data5[[#This Row],[Age]]&lt;=45,"Mid-Career","Senior"))</f>
        <v>Mid-Career</v>
      </c>
      <c r="L166" s="10">
        <f ca="1">DATEDIF(HR_Data5[[#This Row],[Joining Date]],TODAY(),"Y")</f>
        <v>6</v>
      </c>
      <c r="M166" s="10" t="str">
        <f>IF(HR_Data5[[#This Row],[Salary]]&lt;55000,"Low",IF(HR_Data5[[#This Row],[Salary]]&lt;=65000,"Medium","High"))</f>
        <v>Low</v>
      </c>
      <c r="N166" s="10">
        <f>YEAR(HR_Data5[[#This Row],[Joining Date]])</f>
        <v>2020</v>
      </c>
      <c r="O166" s="10" cm="1">
        <f t="array" ref="O166">_xlfn.SWITCH(HR_Data5[[#This Row],[Performance Score]],
"A",5,
"B",4,
"C",3,
"D",2,
"F",1)</f>
        <v>3</v>
      </c>
      <c r="P166" s="10"/>
    </row>
    <row r="167" spans="1:16" x14ac:dyDescent="0.3">
      <c r="A167" t="s">
        <v>59</v>
      </c>
      <c r="B167">
        <v>30</v>
      </c>
      <c r="C167" s="6">
        <v>55000</v>
      </c>
      <c r="D167" t="s">
        <v>18</v>
      </c>
      <c r="E167" t="s">
        <v>26</v>
      </c>
      <c r="F167" t="s">
        <v>43</v>
      </c>
      <c r="G167" s="7">
        <v>43881</v>
      </c>
      <c r="H167" t="s">
        <v>21</v>
      </c>
      <c r="I167" t="s">
        <v>22</v>
      </c>
      <c r="J167" t="s">
        <v>45</v>
      </c>
      <c r="K167" t="str">
        <f>IF(HR_Data5[[#This Row],[Age]]&lt;30,"Young",IF(HR_Data5[[#This Row],[Age]]&lt;=45,"Mid-Career","Senior"))</f>
        <v>Mid-Career</v>
      </c>
      <c r="L167" s="10">
        <f ca="1">DATEDIF(HR_Data5[[#This Row],[Joining Date]],TODAY(),"Y")</f>
        <v>6</v>
      </c>
      <c r="M167" s="10" t="str">
        <f>IF(HR_Data5[[#This Row],[Salary]]&lt;55000,"Low",IF(HR_Data5[[#This Row],[Salary]]&lt;=65000,"Medium","High"))</f>
        <v>Medium</v>
      </c>
      <c r="N167" s="10">
        <f>YEAR(HR_Data5[[#This Row],[Joining Date]])</f>
        <v>2020</v>
      </c>
      <c r="O167" s="10" cm="1">
        <f t="array" ref="O167">_xlfn.SWITCH(HR_Data5[[#This Row],[Performance Score]],
"A",5,
"B",4,
"C",3,
"D",2,
"F",1)</f>
        <v>1</v>
      </c>
      <c r="P167" s="10"/>
    </row>
    <row r="168" spans="1:16" x14ac:dyDescent="0.3">
      <c r="A168" t="s">
        <v>55</v>
      </c>
      <c r="B168">
        <v>30</v>
      </c>
      <c r="C168" s="6">
        <v>60000</v>
      </c>
      <c r="D168" t="s">
        <v>36</v>
      </c>
      <c r="E168" t="s">
        <v>26</v>
      </c>
      <c r="F168" t="s">
        <v>43</v>
      </c>
      <c r="G168" s="7">
        <v>43195</v>
      </c>
      <c r="H168" t="s">
        <v>21</v>
      </c>
      <c r="I168" t="s">
        <v>15</v>
      </c>
      <c r="J168" t="s">
        <v>69</v>
      </c>
      <c r="K168" t="str">
        <f>IF(HR_Data5[[#This Row],[Age]]&lt;30,"Young",IF(HR_Data5[[#This Row],[Age]]&lt;=45,"Mid-Career","Senior"))</f>
        <v>Mid-Career</v>
      </c>
      <c r="L168" s="10">
        <f ca="1">DATEDIF(HR_Data5[[#This Row],[Joining Date]],TODAY(),"Y")</f>
        <v>7</v>
      </c>
      <c r="M168" s="10" t="str">
        <f>IF(HR_Data5[[#This Row],[Salary]]&lt;55000,"Low",IF(HR_Data5[[#This Row],[Salary]]&lt;=65000,"Medium","High"))</f>
        <v>Medium</v>
      </c>
      <c r="N168" s="10">
        <f>YEAR(HR_Data5[[#This Row],[Joining Date]])</f>
        <v>2018</v>
      </c>
      <c r="O168" s="10" cm="1">
        <f t="array" ref="O168">_xlfn.SWITCH(HR_Data5[[#This Row],[Performance Score]],
"A",5,
"B",4,
"C",3,
"D",2,
"F",1)</f>
        <v>1</v>
      </c>
      <c r="P168" s="10"/>
    </row>
    <row r="169" spans="1:16" x14ac:dyDescent="0.3">
      <c r="A169" t="s">
        <v>52</v>
      </c>
      <c r="B169">
        <v>35</v>
      </c>
      <c r="C169" s="6">
        <v>70000</v>
      </c>
      <c r="D169" t="s">
        <v>11</v>
      </c>
      <c r="E169" t="s">
        <v>12</v>
      </c>
      <c r="F169" t="s">
        <v>39</v>
      </c>
      <c r="G169" s="7">
        <v>43881</v>
      </c>
      <c r="H169" t="s">
        <v>31</v>
      </c>
      <c r="I169" t="s">
        <v>69</v>
      </c>
      <c r="J169" t="s">
        <v>69</v>
      </c>
      <c r="K169" t="str">
        <f>IF(HR_Data5[[#This Row],[Age]]&lt;30,"Young",IF(HR_Data5[[#This Row],[Age]]&lt;=45,"Mid-Career","Senior"))</f>
        <v>Mid-Career</v>
      </c>
      <c r="L169" s="10">
        <f ca="1">DATEDIF(HR_Data5[[#This Row],[Joining Date]],TODAY(),"Y")</f>
        <v>6</v>
      </c>
      <c r="M169" s="10" t="str">
        <f>IF(HR_Data5[[#This Row],[Salary]]&lt;55000,"Low",IF(HR_Data5[[#This Row],[Salary]]&lt;=65000,"Medium","High"))</f>
        <v>High</v>
      </c>
      <c r="N169" s="10">
        <f>YEAR(HR_Data5[[#This Row],[Joining Date]])</f>
        <v>2020</v>
      </c>
      <c r="O169" s="10" cm="1">
        <f t="array" ref="O169">_xlfn.SWITCH(HR_Data5[[#This Row],[Performance Score]],
"A",5,
"B",4,
"C",3,
"D",2,
"F",1)</f>
        <v>5</v>
      </c>
      <c r="P169" s="10"/>
    </row>
    <row r="170" spans="1:16" x14ac:dyDescent="0.3">
      <c r="A170" t="s">
        <v>51</v>
      </c>
      <c r="B170">
        <v>36</v>
      </c>
      <c r="C170" s="6">
        <v>65000</v>
      </c>
      <c r="D170" t="s">
        <v>36</v>
      </c>
      <c r="E170" t="s">
        <v>12</v>
      </c>
      <c r="F170" t="s">
        <v>13</v>
      </c>
      <c r="G170" s="7">
        <v>43881</v>
      </c>
      <c r="H170" t="s">
        <v>31</v>
      </c>
      <c r="I170" t="s">
        <v>32</v>
      </c>
      <c r="J170" t="s">
        <v>45</v>
      </c>
      <c r="K170" t="str">
        <f>IF(HR_Data5[[#This Row],[Age]]&lt;30,"Young",IF(HR_Data5[[#This Row],[Age]]&lt;=45,"Mid-Career","Senior"))</f>
        <v>Mid-Career</v>
      </c>
      <c r="L170" s="10">
        <f ca="1">DATEDIF(HR_Data5[[#This Row],[Joining Date]],TODAY(),"Y")</f>
        <v>6</v>
      </c>
      <c r="M170" s="10" t="str">
        <f>IF(HR_Data5[[#This Row],[Salary]]&lt;55000,"Low",IF(HR_Data5[[#This Row],[Salary]]&lt;=65000,"Medium","High"))</f>
        <v>Medium</v>
      </c>
      <c r="N170" s="10">
        <f>YEAR(HR_Data5[[#This Row],[Joining Date]])</f>
        <v>2020</v>
      </c>
      <c r="O170" s="10" cm="1">
        <f t="array" ref="O170">_xlfn.SWITCH(HR_Data5[[#This Row],[Performance Score]],
"A",5,
"B",4,
"C",3,
"D",2,
"F",1)</f>
        <v>5</v>
      </c>
      <c r="P170" s="10"/>
    </row>
    <row r="171" spans="1:16" x14ac:dyDescent="0.3">
      <c r="A171" t="s">
        <v>58</v>
      </c>
      <c r="B171">
        <v>36</v>
      </c>
      <c r="C171" s="6">
        <v>55000</v>
      </c>
      <c r="D171" t="s">
        <v>11</v>
      </c>
      <c r="E171" t="s">
        <v>26</v>
      </c>
      <c r="F171" t="s">
        <v>43</v>
      </c>
      <c r="G171" s="7">
        <v>43845</v>
      </c>
      <c r="H171" t="s">
        <v>31</v>
      </c>
      <c r="I171" t="s">
        <v>69</v>
      </c>
      <c r="J171" t="s">
        <v>69</v>
      </c>
      <c r="K171" t="str">
        <f>IF(HR_Data5[[#This Row],[Age]]&lt;30,"Young",IF(HR_Data5[[#This Row],[Age]]&lt;=45,"Mid-Career","Senior"))</f>
        <v>Mid-Career</v>
      </c>
      <c r="L171" s="10">
        <f ca="1">DATEDIF(HR_Data5[[#This Row],[Joining Date]],TODAY(),"Y")</f>
        <v>6</v>
      </c>
      <c r="M171" s="10" t="str">
        <f>IF(HR_Data5[[#This Row],[Salary]]&lt;55000,"Low",IF(HR_Data5[[#This Row],[Salary]]&lt;=65000,"Medium","High"))</f>
        <v>Medium</v>
      </c>
      <c r="N171" s="10">
        <f>YEAR(HR_Data5[[#This Row],[Joining Date]])</f>
        <v>2020</v>
      </c>
      <c r="O171" s="10" cm="1">
        <f t="array" ref="O171">_xlfn.SWITCH(HR_Data5[[#This Row],[Performance Score]],
"A",5,
"B",4,
"C",3,
"D",2,
"F",1)</f>
        <v>5</v>
      </c>
      <c r="P171" s="10"/>
    </row>
    <row r="172" spans="1:16" x14ac:dyDescent="0.3">
      <c r="A172" t="s">
        <v>56</v>
      </c>
      <c r="B172">
        <v>40</v>
      </c>
      <c r="C172" s="6">
        <v>60000</v>
      </c>
      <c r="D172" t="s">
        <v>36</v>
      </c>
      <c r="E172" t="s">
        <v>12</v>
      </c>
      <c r="F172" t="s">
        <v>20</v>
      </c>
      <c r="G172" s="7">
        <v>43800</v>
      </c>
      <c r="H172" t="s">
        <v>21</v>
      </c>
      <c r="I172" t="s">
        <v>22</v>
      </c>
      <c r="J172" t="s">
        <v>69</v>
      </c>
      <c r="K172" t="str">
        <f>IF(HR_Data5[[#This Row],[Age]]&lt;30,"Young",IF(HR_Data5[[#This Row],[Age]]&lt;=45,"Mid-Career","Senior"))</f>
        <v>Mid-Career</v>
      </c>
      <c r="L172" s="10">
        <f ca="1">DATEDIF(HR_Data5[[#This Row],[Joining Date]],TODAY(),"Y")</f>
        <v>6</v>
      </c>
      <c r="M172" s="10" t="str">
        <f>IF(HR_Data5[[#This Row],[Salary]]&lt;55000,"Low",IF(HR_Data5[[#This Row],[Salary]]&lt;=65000,"Medium","High"))</f>
        <v>Medium</v>
      </c>
      <c r="N172" s="10">
        <f>YEAR(HR_Data5[[#This Row],[Joining Date]])</f>
        <v>2019</v>
      </c>
      <c r="O172" s="10" cm="1">
        <f t="array" ref="O172">_xlfn.SWITCH(HR_Data5[[#This Row],[Performance Score]],
"A",5,
"B",4,
"C",3,
"D",2,
"F",1)</f>
        <v>1</v>
      </c>
      <c r="P172" s="10"/>
    </row>
    <row r="173" spans="1:16" x14ac:dyDescent="0.3">
      <c r="A173" t="s">
        <v>59</v>
      </c>
      <c r="B173">
        <v>40</v>
      </c>
      <c r="C173" s="6">
        <v>65000</v>
      </c>
      <c r="D173" t="s">
        <v>18</v>
      </c>
      <c r="E173" t="s">
        <v>37</v>
      </c>
      <c r="F173" t="s">
        <v>13</v>
      </c>
      <c r="G173" s="7">
        <v>43800</v>
      </c>
      <c r="H173" t="s">
        <v>41</v>
      </c>
      <c r="I173" t="s">
        <v>32</v>
      </c>
      <c r="J173" t="s">
        <v>45</v>
      </c>
      <c r="K173" t="str">
        <f>IF(HR_Data5[[#This Row],[Age]]&lt;30,"Young",IF(HR_Data5[[#This Row],[Age]]&lt;=45,"Mid-Career","Senior"))</f>
        <v>Mid-Career</v>
      </c>
      <c r="L173" s="10">
        <f ca="1">DATEDIF(HR_Data5[[#This Row],[Joining Date]],TODAY(),"Y")</f>
        <v>6</v>
      </c>
      <c r="M173" s="10" t="str">
        <f>IF(HR_Data5[[#This Row],[Salary]]&lt;55000,"Low",IF(HR_Data5[[#This Row],[Salary]]&lt;=65000,"Medium","High"))</f>
        <v>Medium</v>
      </c>
      <c r="N173" s="10">
        <f>YEAR(HR_Data5[[#This Row],[Joining Date]])</f>
        <v>2019</v>
      </c>
      <c r="O173" s="10" cm="1">
        <f t="array" ref="O173">_xlfn.SWITCH(HR_Data5[[#This Row],[Performance Score]],
"A",5,
"B",4,
"C",3,
"D",2,
"F",1)</f>
        <v>4</v>
      </c>
      <c r="P173" s="10"/>
    </row>
    <row r="174" spans="1:16" x14ac:dyDescent="0.3">
      <c r="A174" t="s">
        <v>54</v>
      </c>
      <c r="B174">
        <v>50</v>
      </c>
      <c r="C174" s="6">
        <v>65000</v>
      </c>
      <c r="D174" t="s">
        <v>18</v>
      </c>
      <c r="E174" t="s">
        <v>26</v>
      </c>
      <c r="F174" t="s">
        <v>44</v>
      </c>
      <c r="G174" s="7">
        <v>43800</v>
      </c>
      <c r="H174" t="s">
        <v>27</v>
      </c>
      <c r="I174" t="s">
        <v>69</v>
      </c>
      <c r="J174" t="s">
        <v>69</v>
      </c>
      <c r="K174" t="str">
        <f>IF(HR_Data5[[#This Row],[Age]]&lt;30,"Young",IF(HR_Data5[[#This Row],[Age]]&lt;=45,"Mid-Career","Senior"))</f>
        <v>Senior</v>
      </c>
      <c r="L174" s="10">
        <f ca="1">DATEDIF(HR_Data5[[#This Row],[Joining Date]],TODAY(),"Y")</f>
        <v>6</v>
      </c>
      <c r="M174" s="10" t="str">
        <f>IF(HR_Data5[[#This Row],[Salary]]&lt;55000,"Low",IF(HR_Data5[[#This Row],[Salary]]&lt;=65000,"Medium","High"))</f>
        <v>Medium</v>
      </c>
      <c r="N174" s="10">
        <f>YEAR(HR_Data5[[#This Row],[Joining Date]])</f>
        <v>2019</v>
      </c>
      <c r="O174" s="10" cm="1">
        <f t="array" ref="O174">_xlfn.SWITCH(HR_Data5[[#This Row],[Performance Score]],
"A",5,
"B",4,
"C",3,
"D",2,
"F",1)</f>
        <v>3</v>
      </c>
      <c r="P174" s="10"/>
    </row>
    <row r="175" spans="1:16" x14ac:dyDescent="0.3">
      <c r="A175" t="s">
        <v>59</v>
      </c>
      <c r="B175">
        <v>50</v>
      </c>
      <c r="C175" s="6">
        <v>55000</v>
      </c>
      <c r="D175" t="s">
        <v>11</v>
      </c>
      <c r="E175" t="s">
        <v>12</v>
      </c>
      <c r="F175" t="s">
        <v>39</v>
      </c>
      <c r="G175" s="7">
        <v>43881</v>
      </c>
      <c r="H175" t="s">
        <v>27</v>
      </c>
      <c r="I175" t="s">
        <v>69</v>
      </c>
      <c r="J175" t="s">
        <v>69</v>
      </c>
      <c r="K175" t="str">
        <f>IF(HR_Data5[[#This Row],[Age]]&lt;30,"Young",IF(HR_Data5[[#This Row],[Age]]&lt;=45,"Mid-Career","Senior"))</f>
        <v>Senior</v>
      </c>
      <c r="L175" s="10">
        <f ca="1">DATEDIF(HR_Data5[[#This Row],[Joining Date]],TODAY(),"Y")</f>
        <v>6</v>
      </c>
      <c r="M175" s="10" t="str">
        <f>IF(HR_Data5[[#This Row],[Salary]]&lt;55000,"Low",IF(HR_Data5[[#This Row],[Salary]]&lt;=65000,"Medium","High"))</f>
        <v>Medium</v>
      </c>
      <c r="N175" s="10">
        <f>YEAR(HR_Data5[[#This Row],[Joining Date]])</f>
        <v>2020</v>
      </c>
      <c r="O175" s="10" cm="1">
        <f t="array" ref="O175">_xlfn.SWITCH(HR_Data5[[#This Row],[Performance Score]],
"A",5,
"B",4,
"C",3,
"D",2,
"F",1)</f>
        <v>3</v>
      </c>
      <c r="P175" s="10"/>
    </row>
    <row r="176" spans="1:16" x14ac:dyDescent="0.3">
      <c r="A176" t="s">
        <v>53</v>
      </c>
      <c r="B176">
        <v>25</v>
      </c>
      <c r="C176" s="6">
        <v>50000</v>
      </c>
      <c r="D176" t="s">
        <v>36</v>
      </c>
      <c r="E176" t="s">
        <v>30</v>
      </c>
      <c r="F176" t="s">
        <v>44</v>
      </c>
      <c r="G176" s="7">
        <v>43845</v>
      </c>
      <c r="H176" t="s">
        <v>41</v>
      </c>
      <c r="I176" t="s">
        <v>32</v>
      </c>
      <c r="J176" t="s">
        <v>69</v>
      </c>
      <c r="K176" t="str">
        <f>IF(HR_Data5[[#This Row],[Age]]&lt;30,"Young",IF(HR_Data5[[#This Row],[Age]]&lt;=45,"Mid-Career","Senior"))</f>
        <v>Young</v>
      </c>
      <c r="L176" s="10">
        <f ca="1">DATEDIF(HR_Data5[[#This Row],[Joining Date]],TODAY(),"Y")</f>
        <v>6</v>
      </c>
      <c r="M176" s="10" t="str">
        <f>IF(HR_Data5[[#This Row],[Salary]]&lt;55000,"Low",IF(HR_Data5[[#This Row],[Salary]]&lt;=65000,"Medium","High"))</f>
        <v>Low</v>
      </c>
      <c r="N176" s="10">
        <f>YEAR(HR_Data5[[#This Row],[Joining Date]])</f>
        <v>2020</v>
      </c>
      <c r="O176" s="10" cm="1">
        <f t="array" ref="O176">_xlfn.SWITCH(HR_Data5[[#This Row],[Performance Score]],
"A",5,
"B",4,
"C",3,
"D",2,
"F",1)</f>
        <v>4</v>
      </c>
      <c r="P176" s="10"/>
    </row>
    <row r="177" spans="1:16" x14ac:dyDescent="0.3">
      <c r="A177" t="s">
        <v>59</v>
      </c>
      <c r="B177">
        <v>30</v>
      </c>
      <c r="C177" s="6">
        <v>55000</v>
      </c>
      <c r="D177" t="s">
        <v>18</v>
      </c>
      <c r="E177" t="s">
        <v>26</v>
      </c>
      <c r="F177" t="s">
        <v>44</v>
      </c>
      <c r="G177" s="7">
        <v>43549</v>
      </c>
      <c r="H177" t="s">
        <v>41</v>
      </c>
      <c r="I177" t="s">
        <v>32</v>
      </c>
      <c r="J177" t="s">
        <v>69</v>
      </c>
      <c r="K177" t="str">
        <f>IF(HR_Data5[[#This Row],[Age]]&lt;30,"Young",IF(HR_Data5[[#This Row],[Age]]&lt;=45,"Mid-Career","Senior"))</f>
        <v>Mid-Career</v>
      </c>
      <c r="L177" s="10">
        <f ca="1">DATEDIF(HR_Data5[[#This Row],[Joining Date]],TODAY(),"Y")</f>
        <v>6</v>
      </c>
      <c r="M177" s="10" t="str">
        <f>IF(HR_Data5[[#This Row],[Salary]]&lt;55000,"Low",IF(HR_Data5[[#This Row],[Salary]]&lt;=65000,"Medium","High"))</f>
        <v>Medium</v>
      </c>
      <c r="N177" s="10">
        <f>YEAR(HR_Data5[[#This Row],[Joining Date]])</f>
        <v>2019</v>
      </c>
      <c r="O177" s="10" cm="1">
        <f t="array" ref="O177">_xlfn.SWITCH(HR_Data5[[#This Row],[Performance Score]],
"A",5,
"B",4,
"C",3,
"D",2,
"F",1)</f>
        <v>4</v>
      </c>
      <c r="P177" s="10"/>
    </row>
    <row r="178" spans="1:16" x14ac:dyDescent="0.3">
      <c r="A178" t="s">
        <v>59</v>
      </c>
      <c r="B178">
        <v>40</v>
      </c>
      <c r="C178" s="6">
        <v>60000</v>
      </c>
      <c r="D178" t="s">
        <v>11</v>
      </c>
      <c r="E178" t="s">
        <v>26</v>
      </c>
      <c r="F178" t="s">
        <v>13</v>
      </c>
      <c r="G178" s="7">
        <v>43881</v>
      </c>
      <c r="H178" t="s">
        <v>27</v>
      </c>
      <c r="I178" t="s">
        <v>32</v>
      </c>
      <c r="J178" t="s">
        <v>69</v>
      </c>
      <c r="K178" t="str">
        <f>IF(HR_Data5[[#This Row],[Age]]&lt;30,"Young",IF(HR_Data5[[#This Row],[Age]]&lt;=45,"Mid-Career","Senior"))</f>
        <v>Mid-Career</v>
      </c>
      <c r="L178" s="10">
        <f ca="1">DATEDIF(HR_Data5[[#This Row],[Joining Date]],TODAY(),"Y")</f>
        <v>6</v>
      </c>
      <c r="M178" s="10" t="str">
        <f>IF(HR_Data5[[#This Row],[Salary]]&lt;55000,"Low",IF(HR_Data5[[#This Row],[Salary]]&lt;=65000,"Medium","High"))</f>
        <v>Medium</v>
      </c>
      <c r="N178" s="10">
        <f>YEAR(HR_Data5[[#This Row],[Joining Date]])</f>
        <v>2020</v>
      </c>
      <c r="O178" s="10" cm="1">
        <f t="array" ref="O178">_xlfn.SWITCH(HR_Data5[[#This Row],[Performance Score]],
"A",5,
"B",4,
"C",3,
"D",2,
"F",1)</f>
        <v>3</v>
      </c>
      <c r="P178" s="10"/>
    </row>
    <row r="179" spans="1:16" x14ac:dyDescent="0.3">
      <c r="A179" t="s">
        <v>58</v>
      </c>
      <c r="B179">
        <v>36</v>
      </c>
      <c r="C179" s="6">
        <v>65000</v>
      </c>
      <c r="D179" t="s">
        <v>11</v>
      </c>
      <c r="E179" t="s">
        <v>37</v>
      </c>
      <c r="F179" t="s">
        <v>44</v>
      </c>
      <c r="G179" s="7">
        <v>43881</v>
      </c>
      <c r="H179" t="s">
        <v>14</v>
      </c>
      <c r="I179" t="s">
        <v>15</v>
      </c>
      <c r="J179" t="s">
        <v>45</v>
      </c>
      <c r="K179" t="str">
        <f>IF(HR_Data5[[#This Row],[Age]]&lt;30,"Young",IF(HR_Data5[[#This Row],[Age]]&lt;=45,"Mid-Career","Senior"))</f>
        <v>Mid-Career</v>
      </c>
      <c r="L179" s="10">
        <f ca="1">DATEDIF(HR_Data5[[#This Row],[Joining Date]],TODAY(),"Y")</f>
        <v>6</v>
      </c>
      <c r="M179" s="10" t="str">
        <f>IF(HR_Data5[[#This Row],[Salary]]&lt;55000,"Low",IF(HR_Data5[[#This Row],[Salary]]&lt;=65000,"Medium","High"))</f>
        <v>Medium</v>
      </c>
      <c r="N179" s="10">
        <f>YEAR(HR_Data5[[#This Row],[Joining Date]])</f>
        <v>2020</v>
      </c>
      <c r="O179" s="10" cm="1">
        <f t="array" ref="O179">_xlfn.SWITCH(HR_Data5[[#This Row],[Performance Score]],
"A",5,
"B",4,
"C",3,
"D",2,
"F",1)</f>
        <v>2</v>
      </c>
      <c r="P179" s="10"/>
    </row>
    <row r="180" spans="1:16" x14ac:dyDescent="0.3">
      <c r="A180" t="s">
        <v>58</v>
      </c>
      <c r="B180">
        <v>35</v>
      </c>
      <c r="C180" s="6">
        <v>55000</v>
      </c>
      <c r="D180" t="s">
        <v>18</v>
      </c>
      <c r="E180" t="s">
        <v>19</v>
      </c>
      <c r="F180" t="s">
        <v>43</v>
      </c>
      <c r="G180" s="7">
        <v>43845</v>
      </c>
      <c r="H180" t="s">
        <v>31</v>
      </c>
      <c r="I180" t="s">
        <v>69</v>
      </c>
      <c r="J180" t="s">
        <v>69</v>
      </c>
      <c r="K180" t="str">
        <f>IF(HR_Data5[[#This Row],[Age]]&lt;30,"Young",IF(HR_Data5[[#This Row],[Age]]&lt;=45,"Mid-Career","Senior"))</f>
        <v>Mid-Career</v>
      </c>
      <c r="L180" s="10">
        <f ca="1">DATEDIF(HR_Data5[[#This Row],[Joining Date]],TODAY(),"Y")</f>
        <v>6</v>
      </c>
      <c r="M180" s="10" t="str">
        <f>IF(HR_Data5[[#This Row],[Salary]]&lt;55000,"Low",IF(HR_Data5[[#This Row],[Salary]]&lt;=65000,"Medium","High"))</f>
        <v>Medium</v>
      </c>
      <c r="N180" s="10">
        <f>YEAR(HR_Data5[[#This Row],[Joining Date]])</f>
        <v>2020</v>
      </c>
      <c r="O180" s="10" cm="1">
        <f t="array" ref="O180">_xlfn.SWITCH(HR_Data5[[#This Row],[Performance Score]],
"A",5,
"B",4,
"C",3,
"D",2,
"F",1)</f>
        <v>5</v>
      </c>
      <c r="P180" s="10"/>
    </row>
    <row r="181" spans="1:16" x14ac:dyDescent="0.3">
      <c r="A181" t="s">
        <v>57</v>
      </c>
      <c r="B181">
        <v>36</v>
      </c>
      <c r="C181" s="6">
        <v>50000</v>
      </c>
      <c r="D181" t="s">
        <v>18</v>
      </c>
      <c r="E181" t="s">
        <v>19</v>
      </c>
      <c r="F181" t="s">
        <v>44</v>
      </c>
      <c r="G181" s="7">
        <v>43195</v>
      </c>
      <c r="H181" t="s">
        <v>31</v>
      </c>
      <c r="I181" t="s">
        <v>32</v>
      </c>
      <c r="J181" t="s">
        <v>69</v>
      </c>
      <c r="K181" t="str">
        <f>IF(HR_Data5[[#This Row],[Age]]&lt;30,"Young",IF(HR_Data5[[#This Row],[Age]]&lt;=45,"Mid-Career","Senior"))</f>
        <v>Mid-Career</v>
      </c>
      <c r="L181" s="10">
        <f ca="1">DATEDIF(HR_Data5[[#This Row],[Joining Date]],TODAY(),"Y")</f>
        <v>7</v>
      </c>
      <c r="M181" s="10" t="str">
        <f>IF(HR_Data5[[#This Row],[Salary]]&lt;55000,"Low",IF(HR_Data5[[#This Row],[Salary]]&lt;=65000,"Medium","High"))</f>
        <v>Low</v>
      </c>
      <c r="N181" s="10">
        <f>YEAR(HR_Data5[[#This Row],[Joining Date]])</f>
        <v>2018</v>
      </c>
      <c r="O181" s="10" cm="1">
        <f t="array" ref="O181">_xlfn.SWITCH(HR_Data5[[#This Row],[Performance Score]],
"A",5,
"B",4,
"C",3,
"D",2,
"F",1)</f>
        <v>5</v>
      </c>
      <c r="P181" s="10"/>
    </row>
    <row r="182" spans="1:16" x14ac:dyDescent="0.3">
      <c r="A182" t="s">
        <v>51</v>
      </c>
      <c r="B182">
        <v>30</v>
      </c>
      <c r="C182" s="6">
        <v>55000</v>
      </c>
      <c r="D182" t="s">
        <v>11</v>
      </c>
      <c r="E182" t="s">
        <v>37</v>
      </c>
      <c r="F182" t="s">
        <v>39</v>
      </c>
      <c r="G182" s="7">
        <v>43881</v>
      </c>
      <c r="H182" t="s">
        <v>27</v>
      </c>
      <c r="I182" t="s">
        <v>69</v>
      </c>
      <c r="J182" t="s">
        <v>23</v>
      </c>
      <c r="K182" t="str">
        <f>IF(HR_Data5[[#This Row],[Age]]&lt;30,"Young",IF(HR_Data5[[#This Row],[Age]]&lt;=45,"Mid-Career","Senior"))</f>
        <v>Mid-Career</v>
      </c>
      <c r="L182" s="10">
        <f ca="1">DATEDIF(HR_Data5[[#This Row],[Joining Date]],TODAY(),"Y")</f>
        <v>6</v>
      </c>
      <c r="M182" s="10" t="str">
        <f>IF(HR_Data5[[#This Row],[Salary]]&lt;55000,"Low",IF(HR_Data5[[#This Row],[Salary]]&lt;=65000,"Medium","High"))</f>
        <v>Medium</v>
      </c>
      <c r="N182" s="10">
        <f>YEAR(HR_Data5[[#This Row],[Joining Date]])</f>
        <v>2020</v>
      </c>
      <c r="O182" s="10" cm="1">
        <f t="array" ref="O182">_xlfn.SWITCH(HR_Data5[[#This Row],[Performance Score]],
"A",5,
"B",4,
"C",3,
"D",2,
"F",1)</f>
        <v>3</v>
      </c>
      <c r="P182" s="10"/>
    </row>
    <row r="183" spans="1:16" x14ac:dyDescent="0.3">
      <c r="A183" t="s">
        <v>54</v>
      </c>
      <c r="B183">
        <v>50</v>
      </c>
      <c r="C183" s="6">
        <v>70000</v>
      </c>
      <c r="D183" t="s">
        <v>36</v>
      </c>
      <c r="E183" t="s">
        <v>37</v>
      </c>
      <c r="F183" t="s">
        <v>39</v>
      </c>
      <c r="G183" s="7">
        <v>43195</v>
      </c>
      <c r="H183" t="s">
        <v>41</v>
      </c>
      <c r="I183" t="s">
        <v>32</v>
      </c>
      <c r="J183" t="s">
        <v>69</v>
      </c>
      <c r="K183" t="str">
        <f>IF(HR_Data5[[#This Row],[Age]]&lt;30,"Young",IF(HR_Data5[[#This Row],[Age]]&lt;=45,"Mid-Career","Senior"))</f>
        <v>Senior</v>
      </c>
      <c r="L183" s="10">
        <f ca="1">DATEDIF(HR_Data5[[#This Row],[Joining Date]],TODAY(),"Y")</f>
        <v>7</v>
      </c>
      <c r="M183" s="10" t="str">
        <f>IF(HR_Data5[[#This Row],[Salary]]&lt;55000,"Low",IF(HR_Data5[[#This Row],[Salary]]&lt;=65000,"Medium","High"))</f>
        <v>High</v>
      </c>
      <c r="N183" s="10">
        <f>YEAR(HR_Data5[[#This Row],[Joining Date]])</f>
        <v>2018</v>
      </c>
      <c r="O183" s="10" cm="1">
        <f t="array" ref="O183">_xlfn.SWITCH(HR_Data5[[#This Row],[Performance Score]],
"A",5,
"B",4,
"C",3,
"D",2,
"F",1)</f>
        <v>4</v>
      </c>
      <c r="P183" s="10"/>
    </row>
    <row r="184" spans="1:16" x14ac:dyDescent="0.3">
      <c r="A184" t="s">
        <v>59</v>
      </c>
      <c r="B184">
        <v>36</v>
      </c>
      <c r="C184" s="6">
        <v>50000</v>
      </c>
      <c r="D184" t="s">
        <v>36</v>
      </c>
      <c r="E184" t="s">
        <v>37</v>
      </c>
      <c r="F184" t="s">
        <v>20</v>
      </c>
      <c r="G184" s="7">
        <v>43195</v>
      </c>
      <c r="H184" t="s">
        <v>14</v>
      </c>
      <c r="I184" t="s">
        <v>69</v>
      </c>
      <c r="J184" t="s">
        <v>69</v>
      </c>
      <c r="K184" t="str">
        <f>IF(HR_Data5[[#This Row],[Age]]&lt;30,"Young",IF(HR_Data5[[#This Row],[Age]]&lt;=45,"Mid-Career","Senior"))</f>
        <v>Mid-Career</v>
      </c>
      <c r="L184" s="10">
        <f ca="1">DATEDIF(HR_Data5[[#This Row],[Joining Date]],TODAY(),"Y")</f>
        <v>7</v>
      </c>
      <c r="M184" s="10" t="str">
        <f>IF(HR_Data5[[#This Row],[Salary]]&lt;55000,"Low",IF(HR_Data5[[#This Row],[Salary]]&lt;=65000,"Medium","High"))</f>
        <v>Low</v>
      </c>
      <c r="N184" s="10">
        <f>YEAR(HR_Data5[[#This Row],[Joining Date]])</f>
        <v>2018</v>
      </c>
      <c r="O184" s="10" cm="1">
        <f t="array" ref="O184">_xlfn.SWITCH(HR_Data5[[#This Row],[Performance Score]],
"A",5,
"B",4,
"C",3,
"D",2,
"F",1)</f>
        <v>2</v>
      </c>
      <c r="P184" s="10"/>
    </row>
    <row r="185" spans="1:16" x14ac:dyDescent="0.3">
      <c r="A185" t="s">
        <v>59</v>
      </c>
      <c r="B185">
        <v>25</v>
      </c>
      <c r="C185" s="6">
        <v>60000</v>
      </c>
      <c r="D185" t="s">
        <v>36</v>
      </c>
      <c r="E185" t="s">
        <v>19</v>
      </c>
      <c r="F185" t="s">
        <v>39</v>
      </c>
      <c r="G185" s="7">
        <v>43800</v>
      </c>
      <c r="H185" t="s">
        <v>27</v>
      </c>
      <c r="I185" t="s">
        <v>69</v>
      </c>
      <c r="J185" t="s">
        <v>23</v>
      </c>
      <c r="K185" t="str">
        <f>IF(HR_Data5[[#This Row],[Age]]&lt;30,"Young",IF(HR_Data5[[#This Row],[Age]]&lt;=45,"Mid-Career","Senior"))</f>
        <v>Young</v>
      </c>
      <c r="L185" s="10">
        <f ca="1">DATEDIF(HR_Data5[[#This Row],[Joining Date]],TODAY(),"Y")</f>
        <v>6</v>
      </c>
      <c r="M185" s="10" t="str">
        <f>IF(HR_Data5[[#This Row],[Salary]]&lt;55000,"Low",IF(HR_Data5[[#This Row],[Salary]]&lt;=65000,"Medium","High"))</f>
        <v>Medium</v>
      </c>
      <c r="N185" s="10">
        <f>YEAR(HR_Data5[[#This Row],[Joining Date]])</f>
        <v>2019</v>
      </c>
      <c r="O185" s="10" cm="1">
        <f t="array" ref="O185">_xlfn.SWITCH(HR_Data5[[#This Row],[Performance Score]],
"A",5,
"B",4,
"C",3,
"D",2,
"F",1)</f>
        <v>3</v>
      </c>
      <c r="P185" s="10"/>
    </row>
    <row r="186" spans="1:16" x14ac:dyDescent="0.3">
      <c r="A186" t="s">
        <v>56</v>
      </c>
      <c r="B186">
        <v>30</v>
      </c>
      <c r="C186" s="6">
        <v>65000</v>
      </c>
      <c r="D186" t="s">
        <v>11</v>
      </c>
      <c r="E186" t="s">
        <v>37</v>
      </c>
      <c r="F186" t="s">
        <v>44</v>
      </c>
      <c r="G186" s="7">
        <v>43845</v>
      </c>
      <c r="H186" t="s">
        <v>31</v>
      </c>
      <c r="I186" t="s">
        <v>69</v>
      </c>
      <c r="J186" t="s">
        <v>69</v>
      </c>
      <c r="K186" t="str">
        <f>IF(HR_Data5[[#This Row],[Age]]&lt;30,"Young",IF(HR_Data5[[#This Row],[Age]]&lt;=45,"Mid-Career","Senior"))</f>
        <v>Mid-Career</v>
      </c>
      <c r="L186" s="10">
        <f ca="1">DATEDIF(HR_Data5[[#This Row],[Joining Date]],TODAY(),"Y")</f>
        <v>6</v>
      </c>
      <c r="M186" s="10" t="str">
        <f>IF(HR_Data5[[#This Row],[Salary]]&lt;55000,"Low",IF(HR_Data5[[#This Row],[Salary]]&lt;=65000,"Medium","High"))</f>
        <v>Medium</v>
      </c>
      <c r="N186" s="10">
        <f>YEAR(HR_Data5[[#This Row],[Joining Date]])</f>
        <v>2020</v>
      </c>
      <c r="O186" s="10" cm="1">
        <f t="array" ref="O186">_xlfn.SWITCH(HR_Data5[[#This Row],[Performance Score]],
"A",5,
"B",4,
"C",3,
"D",2,
"F",1)</f>
        <v>5</v>
      </c>
      <c r="P186" s="10"/>
    </row>
    <row r="187" spans="1:16" x14ac:dyDescent="0.3">
      <c r="A187" t="s">
        <v>58</v>
      </c>
      <c r="B187">
        <v>50</v>
      </c>
      <c r="C187" s="6">
        <v>55000</v>
      </c>
      <c r="D187" t="s">
        <v>18</v>
      </c>
      <c r="E187" t="s">
        <v>12</v>
      </c>
      <c r="F187" t="s">
        <v>39</v>
      </c>
      <c r="G187" s="7">
        <v>43195</v>
      </c>
      <c r="H187" t="s">
        <v>21</v>
      </c>
      <c r="I187" t="s">
        <v>22</v>
      </c>
      <c r="J187" t="s">
        <v>28</v>
      </c>
      <c r="K187" t="str">
        <f>IF(HR_Data5[[#This Row],[Age]]&lt;30,"Young",IF(HR_Data5[[#This Row],[Age]]&lt;=45,"Mid-Career","Senior"))</f>
        <v>Senior</v>
      </c>
      <c r="L187" s="10">
        <f ca="1">DATEDIF(HR_Data5[[#This Row],[Joining Date]],TODAY(),"Y")</f>
        <v>7</v>
      </c>
      <c r="M187" s="10" t="str">
        <f>IF(HR_Data5[[#This Row],[Salary]]&lt;55000,"Low",IF(HR_Data5[[#This Row],[Salary]]&lt;=65000,"Medium","High"))</f>
        <v>Medium</v>
      </c>
      <c r="N187" s="10">
        <f>YEAR(HR_Data5[[#This Row],[Joining Date]])</f>
        <v>2018</v>
      </c>
      <c r="O187" s="10" cm="1">
        <f t="array" ref="O187">_xlfn.SWITCH(HR_Data5[[#This Row],[Performance Score]],
"A",5,
"B",4,
"C",3,
"D",2,
"F",1)</f>
        <v>1</v>
      </c>
      <c r="P187" s="10"/>
    </row>
    <row r="188" spans="1:16" x14ac:dyDescent="0.3">
      <c r="A188" t="s">
        <v>54</v>
      </c>
      <c r="B188">
        <v>35</v>
      </c>
      <c r="C188" s="6">
        <v>50000</v>
      </c>
      <c r="D188" t="s">
        <v>11</v>
      </c>
      <c r="E188" t="s">
        <v>26</v>
      </c>
      <c r="F188" t="s">
        <v>13</v>
      </c>
      <c r="G188" s="7">
        <v>43845</v>
      </c>
      <c r="H188" t="s">
        <v>41</v>
      </c>
      <c r="I188" t="s">
        <v>32</v>
      </c>
      <c r="J188" t="s">
        <v>28</v>
      </c>
      <c r="K188" t="str">
        <f>IF(HR_Data5[[#This Row],[Age]]&lt;30,"Young",IF(HR_Data5[[#This Row],[Age]]&lt;=45,"Mid-Career","Senior"))</f>
        <v>Mid-Career</v>
      </c>
      <c r="L188" s="10">
        <f ca="1">DATEDIF(HR_Data5[[#This Row],[Joining Date]],TODAY(),"Y")</f>
        <v>6</v>
      </c>
      <c r="M188" s="10" t="str">
        <f>IF(HR_Data5[[#This Row],[Salary]]&lt;55000,"Low",IF(HR_Data5[[#This Row],[Salary]]&lt;=65000,"Medium","High"))</f>
        <v>Low</v>
      </c>
      <c r="N188" s="10">
        <f>YEAR(HR_Data5[[#This Row],[Joining Date]])</f>
        <v>2020</v>
      </c>
      <c r="O188" s="10" cm="1">
        <f t="array" ref="O188">_xlfn.SWITCH(HR_Data5[[#This Row],[Performance Score]],
"A",5,
"B",4,
"C",3,
"D",2,
"F",1)</f>
        <v>4</v>
      </c>
      <c r="P188" s="10"/>
    </row>
    <row r="189" spans="1:16" x14ac:dyDescent="0.3">
      <c r="A189" t="s">
        <v>55</v>
      </c>
      <c r="B189">
        <v>50</v>
      </c>
      <c r="C189" s="6">
        <v>70000</v>
      </c>
      <c r="D189" t="s">
        <v>18</v>
      </c>
      <c r="E189" t="s">
        <v>26</v>
      </c>
      <c r="F189" t="s">
        <v>39</v>
      </c>
      <c r="G189" s="7">
        <v>43800</v>
      </c>
      <c r="H189" t="s">
        <v>21</v>
      </c>
      <c r="I189" t="s">
        <v>22</v>
      </c>
      <c r="J189" t="s">
        <v>69</v>
      </c>
      <c r="K189" t="str">
        <f>IF(HR_Data5[[#This Row],[Age]]&lt;30,"Young",IF(HR_Data5[[#This Row],[Age]]&lt;=45,"Mid-Career","Senior"))</f>
        <v>Senior</v>
      </c>
      <c r="L189" s="10">
        <f ca="1">DATEDIF(HR_Data5[[#This Row],[Joining Date]],TODAY(),"Y")</f>
        <v>6</v>
      </c>
      <c r="M189" s="10" t="str">
        <f>IF(HR_Data5[[#This Row],[Salary]]&lt;55000,"Low",IF(HR_Data5[[#This Row],[Salary]]&lt;=65000,"Medium","High"))</f>
        <v>High</v>
      </c>
      <c r="N189" s="10">
        <f>YEAR(HR_Data5[[#This Row],[Joining Date]])</f>
        <v>2019</v>
      </c>
      <c r="O189" s="10" cm="1">
        <f t="array" ref="O189">_xlfn.SWITCH(HR_Data5[[#This Row],[Performance Score]],
"A",5,
"B",4,
"C",3,
"D",2,
"F",1)</f>
        <v>1</v>
      </c>
      <c r="P189" s="10"/>
    </row>
    <row r="190" spans="1:16" x14ac:dyDescent="0.3">
      <c r="A190" t="s">
        <v>57</v>
      </c>
      <c r="B190">
        <v>25</v>
      </c>
      <c r="C190" s="6">
        <v>50000</v>
      </c>
      <c r="D190" t="s">
        <v>36</v>
      </c>
      <c r="E190" t="s">
        <v>30</v>
      </c>
      <c r="F190" t="s">
        <v>43</v>
      </c>
      <c r="G190" s="7">
        <v>43845</v>
      </c>
      <c r="H190" t="s">
        <v>27</v>
      </c>
      <c r="I190" t="s">
        <v>69</v>
      </c>
      <c r="J190" t="s">
        <v>69</v>
      </c>
      <c r="K190" t="str">
        <f>IF(HR_Data5[[#This Row],[Age]]&lt;30,"Young",IF(HR_Data5[[#This Row],[Age]]&lt;=45,"Mid-Career","Senior"))</f>
        <v>Young</v>
      </c>
      <c r="L190" s="10">
        <f ca="1">DATEDIF(HR_Data5[[#This Row],[Joining Date]],TODAY(),"Y")</f>
        <v>6</v>
      </c>
      <c r="M190" s="10" t="str">
        <f>IF(HR_Data5[[#This Row],[Salary]]&lt;55000,"Low",IF(HR_Data5[[#This Row],[Salary]]&lt;=65000,"Medium","High"))</f>
        <v>Low</v>
      </c>
      <c r="N190" s="10">
        <f>YEAR(HR_Data5[[#This Row],[Joining Date]])</f>
        <v>2020</v>
      </c>
      <c r="O190" s="10" cm="1">
        <f t="array" ref="O190">_xlfn.SWITCH(HR_Data5[[#This Row],[Performance Score]],
"A",5,
"B",4,
"C",3,
"D",2,
"F",1)</f>
        <v>3</v>
      </c>
      <c r="P190" s="10"/>
    </row>
    <row r="191" spans="1:16" x14ac:dyDescent="0.3">
      <c r="A191" t="s">
        <v>51</v>
      </c>
      <c r="B191">
        <v>30</v>
      </c>
      <c r="C191" s="6" t="s">
        <v>68</v>
      </c>
      <c r="D191" t="s">
        <v>36</v>
      </c>
      <c r="E191" t="s">
        <v>30</v>
      </c>
      <c r="F191" t="s">
        <v>13</v>
      </c>
      <c r="G191" s="7">
        <v>43881</v>
      </c>
      <c r="H191" t="s">
        <v>31</v>
      </c>
      <c r="I191" t="s">
        <v>22</v>
      </c>
      <c r="J191" t="s">
        <v>28</v>
      </c>
      <c r="K191" t="str">
        <f>IF(HR_Data5[[#This Row],[Age]]&lt;30,"Young",IF(HR_Data5[[#This Row],[Age]]&lt;=45,"Mid-Career","Senior"))</f>
        <v>Mid-Career</v>
      </c>
      <c r="L191" s="10">
        <f ca="1">DATEDIF(HR_Data5[[#This Row],[Joining Date]],TODAY(),"Y")</f>
        <v>6</v>
      </c>
      <c r="M191" s="10" t="str">
        <f>IF(HR_Data5[[#This Row],[Salary]]&lt;55000,"Low",IF(HR_Data5[[#This Row],[Salary]]&lt;=65000,"Medium","High"))</f>
        <v>High</v>
      </c>
      <c r="N191" s="10">
        <f>YEAR(HR_Data5[[#This Row],[Joining Date]])</f>
        <v>2020</v>
      </c>
      <c r="O191" s="10" cm="1">
        <f t="array" ref="O191">_xlfn.SWITCH(HR_Data5[[#This Row],[Performance Score]],
"A",5,
"B",4,
"C",3,
"D",2,
"F",1)</f>
        <v>5</v>
      </c>
      <c r="P191" s="10"/>
    </row>
    <row r="192" spans="1:16" x14ac:dyDescent="0.3">
      <c r="A192" t="s">
        <v>52</v>
      </c>
      <c r="B192">
        <v>35</v>
      </c>
      <c r="C192" s="6">
        <v>70000</v>
      </c>
      <c r="D192" t="s">
        <v>18</v>
      </c>
      <c r="E192" t="s">
        <v>26</v>
      </c>
      <c r="F192" t="s">
        <v>20</v>
      </c>
      <c r="G192" s="7">
        <v>43195</v>
      </c>
      <c r="H192" t="s">
        <v>14</v>
      </c>
      <c r="I192" t="s">
        <v>69</v>
      </c>
      <c r="J192" t="s">
        <v>45</v>
      </c>
      <c r="K192" t="str">
        <f>IF(HR_Data5[[#This Row],[Age]]&lt;30,"Young",IF(HR_Data5[[#This Row],[Age]]&lt;=45,"Mid-Career","Senior"))</f>
        <v>Mid-Career</v>
      </c>
      <c r="L192" s="10">
        <f ca="1">DATEDIF(HR_Data5[[#This Row],[Joining Date]],TODAY(),"Y")</f>
        <v>7</v>
      </c>
      <c r="M192" s="10" t="str">
        <f>IF(HR_Data5[[#This Row],[Salary]]&lt;55000,"Low",IF(HR_Data5[[#This Row],[Salary]]&lt;=65000,"Medium","High"))</f>
        <v>High</v>
      </c>
      <c r="N192" s="10">
        <f>YEAR(HR_Data5[[#This Row],[Joining Date]])</f>
        <v>2018</v>
      </c>
      <c r="O192" s="10" cm="1">
        <f t="array" ref="O192">_xlfn.SWITCH(HR_Data5[[#This Row],[Performance Score]],
"A",5,
"B",4,
"C",3,
"D",2,
"F",1)</f>
        <v>2</v>
      </c>
      <c r="P192" s="10"/>
    </row>
    <row r="193" spans="1:16" x14ac:dyDescent="0.3">
      <c r="A193" t="s">
        <v>51</v>
      </c>
      <c r="B193">
        <v>25</v>
      </c>
      <c r="C193" s="6">
        <v>60000</v>
      </c>
      <c r="D193" t="s">
        <v>18</v>
      </c>
      <c r="E193" t="s">
        <v>12</v>
      </c>
      <c r="F193" t="s">
        <v>43</v>
      </c>
      <c r="G193" s="7">
        <v>43845</v>
      </c>
      <c r="H193" t="s">
        <v>21</v>
      </c>
      <c r="I193" t="s">
        <v>69</v>
      </c>
      <c r="J193" t="s">
        <v>45</v>
      </c>
      <c r="K193" t="str">
        <f>IF(HR_Data5[[#This Row],[Age]]&lt;30,"Young",IF(HR_Data5[[#This Row],[Age]]&lt;=45,"Mid-Career","Senior"))</f>
        <v>Young</v>
      </c>
      <c r="L193" s="10">
        <f ca="1">DATEDIF(HR_Data5[[#This Row],[Joining Date]],TODAY(),"Y")</f>
        <v>6</v>
      </c>
      <c r="M193" s="10" t="str">
        <f>IF(HR_Data5[[#This Row],[Salary]]&lt;55000,"Low",IF(HR_Data5[[#This Row],[Salary]]&lt;=65000,"Medium","High"))</f>
        <v>Medium</v>
      </c>
      <c r="N193" s="10">
        <f>YEAR(HR_Data5[[#This Row],[Joining Date]])</f>
        <v>2020</v>
      </c>
      <c r="O193" s="10" cm="1">
        <f t="array" ref="O193">_xlfn.SWITCH(HR_Data5[[#This Row],[Performance Score]],
"A",5,
"B",4,
"C",3,
"D",2,
"F",1)</f>
        <v>1</v>
      </c>
      <c r="P193" s="10"/>
    </row>
    <row r="194" spans="1:16" x14ac:dyDescent="0.3">
      <c r="A194" t="s">
        <v>53</v>
      </c>
      <c r="B194">
        <v>50</v>
      </c>
      <c r="C194" s="6">
        <v>65000</v>
      </c>
      <c r="D194" t="s">
        <v>11</v>
      </c>
      <c r="E194" t="s">
        <v>19</v>
      </c>
      <c r="F194" t="s">
        <v>44</v>
      </c>
      <c r="G194" s="7">
        <v>43549</v>
      </c>
      <c r="H194" t="s">
        <v>14</v>
      </c>
      <c r="I194" t="s">
        <v>69</v>
      </c>
      <c r="J194" t="s">
        <v>23</v>
      </c>
      <c r="K194" t="str">
        <f>IF(HR_Data5[[#This Row],[Age]]&lt;30,"Young",IF(HR_Data5[[#This Row],[Age]]&lt;=45,"Mid-Career","Senior"))</f>
        <v>Senior</v>
      </c>
      <c r="L194" s="10">
        <f ca="1">DATEDIF(HR_Data5[[#This Row],[Joining Date]],TODAY(),"Y")</f>
        <v>6</v>
      </c>
      <c r="M194" s="10" t="str">
        <f>IF(HR_Data5[[#This Row],[Salary]]&lt;55000,"Low",IF(HR_Data5[[#This Row],[Salary]]&lt;=65000,"Medium","High"))</f>
        <v>Medium</v>
      </c>
      <c r="N194" s="10">
        <f>YEAR(HR_Data5[[#This Row],[Joining Date]])</f>
        <v>2019</v>
      </c>
      <c r="O194" s="10" cm="1">
        <f t="array" ref="O194">_xlfn.SWITCH(HR_Data5[[#This Row],[Performance Score]],
"A",5,
"B",4,
"C",3,
"D",2,
"F",1)</f>
        <v>2</v>
      </c>
      <c r="P194" s="10"/>
    </row>
    <row r="195" spans="1:16" x14ac:dyDescent="0.3">
      <c r="A195" t="s">
        <v>59</v>
      </c>
      <c r="B195">
        <v>25</v>
      </c>
      <c r="C195" s="6">
        <v>60000</v>
      </c>
      <c r="D195" t="s">
        <v>36</v>
      </c>
      <c r="E195" t="s">
        <v>19</v>
      </c>
      <c r="F195" t="s">
        <v>44</v>
      </c>
      <c r="G195" s="7">
        <v>43845</v>
      </c>
      <c r="H195" t="s">
        <v>31</v>
      </c>
      <c r="I195" t="s">
        <v>22</v>
      </c>
      <c r="J195" t="s">
        <v>69</v>
      </c>
      <c r="K195" t="str">
        <f>IF(HR_Data5[[#This Row],[Age]]&lt;30,"Young",IF(HR_Data5[[#This Row],[Age]]&lt;=45,"Mid-Career","Senior"))</f>
        <v>Young</v>
      </c>
      <c r="L195" s="10">
        <f ca="1">DATEDIF(HR_Data5[[#This Row],[Joining Date]],TODAY(),"Y")</f>
        <v>6</v>
      </c>
      <c r="M195" s="10" t="str">
        <f>IF(HR_Data5[[#This Row],[Salary]]&lt;55000,"Low",IF(HR_Data5[[#This Row],[Salary]]&lt;=65000,"Medium","High"))</f>
        <v>Medium</v>
      </c>
      <c r="N195" s="10">
        <f>YEAR(HR_Data5[[#This Row],[Joining Date]])</f>
        <v>2020</v>
      </c>
      <c r="O195" s="10" cm="1">
        <f t="array" ref="O195">_xlfn.SWITCH(HR_Data5[[#This Row],[Performance Score]],
"A",5,
"B",4,
"C",3,
"D",2,
"F",1)</f>
        <v>5</v>
      </c>
      <c r="P195" s="10"/>
    </row>
    <row r="196" spans="1:16" x14ac:dyDescent="0.3">
      <c r="A196" t="s">
        <v>57</v>
      </c>
      <c r="B196">
        <v>30</v>
      </c>
      <c r="C196" s="6">
        <v>55000</v>
      </c>
      <c r="D196" t="s">
        <v>11</v>
      </c>
      <c r="E196" t="s">
        <v>12</v>
      </c>
      <c r="F196" t="s">
        <v>44</v>
      </c>
      <c r="G196" s="7">
        <v>43195</v>
      </c>
      <c r="H196" t="s">
        <v>21</v>
      </c>
      <c r="I196" t="s">
        <v>32</v>
      </c>
      <c r="J196" t="s">
        <v>69</v>
      </c>
      <c r="K196" t="str">
        <f>IF(HR_Data5[[#This Row],[Age]]&lt;30,"Young",IF(HR_Data5[[#This Row],[Age]]&lt;=45,"Mid-Career","Senior"))</f>
        <v>Mid-Career</v>
      </c>
      <c r="L196" s="10">
        <f ca="1">DATEDIF(HR_Data5[[#This Row],[Joining Date]],TODAY(),"Y")</f>
        <v>7</v>
      </c>
      <c r="M196" s="10" t="str">
        <f>IF(HR_Data5[[#This Row],[Salary]]&lt;55000,"Low",IF(HR_Data5[[#This Row],[Salary]]&lt;=65000,"Medium","High"))</f>
        <v>Medium</v>
      </c>
      <c r="N196" s="10">
        <f>YEAR(HR_Data5[[#This Row],[Joining Date]])</f>
        <v>2018</v>
      </c>
      <c r="O196" s="10" cm="1">
        <f t="array" ref="O196">_xlfn.SWITCH(HR_Data5[[#This Row],[Performance Score]],
"A",5,
"B",4,
"C",3,
"D",2,
"F",1)</f>
        <v>1</v>
      </c>
      <c r="P196" s="10"/>
    </row>
    <row r="197" spans="1:16" x14ac:dyDescent="0.3">
      <c r="A197" t="s">
        <v>53</v>
      </c>
      <c r="B197">
        <v>40</v>
      </c>
      <c r="C197" s="6">
        <v>50000</v>
      </c>
      <c r="D197" t="s">
        <v>11</v>
      </c>
      <c r="E197" t="s">
        <v>19</v>
      </c>
      <c r="F197" t="s">
        <v>43</v>
      </c>
      <c r="G197" s="7">
        <v>43800</v>
      </c>
      <c r="H197" t="s">
        <v>14</v>
      </c>
      <c r="I197" t="s">
        <v>22</v>
      </c>
      <c r="J197" t="s">
        <v>28</v>
      </c>
      <c r="K197" t="str">
        <f>IF(HR_Data5[[#This Row],[Age]]&lt;30,"Young",IF(HR_Data5[[#This Row],[Age]]&lt;=45,"Mid-Career","Senior"))</f>
        <v>Mid-Career</v>
      </c>
      <c r="L197" s="10">
        <f ca="1">DATEDIF(HR_Data5[[#This Row],[Joining Date]],TODAY(),"Y")</f>
        <v>6</v>
      </c>
      <c r="M197" s="10" t="str">
        <f>IF(HR_Data5[[#This Row],[Salary]]&lt;55000,"Low",IF(HR_Data5[[#This Row],[Salary]]&lt;=65000,"Medium","High"))</f>
        <v>Low</v>
      </c>
      <c r="N197" s="10">
        <f>YEAR(HR_Data5[[#This Row],[Joining Date]])</f>
        <v>2019</v>
      </c>
      <c r="O197" s="10" cm="1">
        <f t="array" ref="O197">_xlfn.SWITCH(HR_Data5[[#This Row],[Performance Score]],
"A",5,
"B",4,
"C",3,
"D",2,
"F",1)</f>
        <v>2</v>
      </c>
      <c r="P197" s="10"/>
    </row>
    <row r="198" spans="1:16" x14ac:dyDescent="0.3">
      <c r="A198" t="s">
        <v>54</v>
      </c>
      <c r="B198">
        <v>25</v>
      </c>
      <c r="C198" s="6" t="s">
        <v>68</v>
      </c>
      <c r="D198" t="s">
        <v>11</v>
      </c>
      <c r="E198" t="s">
        <v>37</v>
      </c>
      <c r="F198" t="s">
        <v>43</v>
      </c>
      <c r="G198" s="7">
        <v>43800</v>
      </c>
      <c r="H198" t="s">
        <v>14</v>
      </c>
      <c r="I198" t="s">
        <v>32</v>
      </c>
      <c r="J198" t="s">
        <v>69</v>
      </c>
      <c r="K198" t="str">
        <f>IF(HR_Data5[[#This Row],[Age]]&lt;30,"Young",IF(HR_Data5[[#This Row],[Age]]&lt;=45,"Mid-Career","Senior"))</f>
        <v>Young</v>
      </c>
      <c r="L198" s="10">
        <f ca="1">DATEDIF(HR_Data5[[#This Row],[Joining Date]],TODAY(),"Y")</f>
        <v>6</v>
      </c>
      <c r="M198" s="10" t="str">
        <f>IF(HR_Data5[[#This Row],[Salary]]&lt;55000,"Low",IF(HR_Data5[[#This Row],[Salary]]&lt;=65000,"Medium","High"))</f>
        <v>High</v>
      </c>
      <c r="N198" s="10">
        <f>YEAR(HR_Data5[[#This Row],[Joining Date]])</f>
        <v>2019</v>
      </c>
      <c r="O198" s="10" cm="1">
        <f t="array" ref="O198">_xlfn.SWITCH(HR_Data5[[#This Row],[Performance Score]],
"A",5,
"B",4,
"C",3,
"D",2,
"F",1)</f>
        <v>2</v>
      </c>
      <c r="P198" s="10"/>
    </row>
    <row r="199" spans="1:16" x14ac:dyDescent="0.3">
      <c r="A199" t="s">
        <v>52</v>
      </c>
      <c r="B199">
        <v>25</v>
      </c>
      <c r="C199" s="6">
        <v>70000</v>
      </c>
      <c r="D199" t="s">
        <v>36</v>
      </c>
      <c r="E199" t="s">
        <v>26</v>
      </c>
      <c r="F199" t="s">
        <v>43</v>
      </c>
      <c r="G199" s="7">
        <v>43195</v>
      </c>
      <c r="H199" t="s">
        <v>21</v>
      </c>
      <c r="I199" t="s">
        <v>32</v>
      </c>
      <c r="J199" t="s">
        <v>69</v>
      </c>
      <c r="K199" t="str">
        <f>IF(HR_Data5[[#This Row],[Age]]&lt;30,"Young",IF(HR_Data5[[#This Row],[Age]]&lt;=45,"Mid-Career","Senior"))</f>
        <v>Young</v>
      </c>
      <c r="L199" s="10">
        <f ca="1">DATEDIF(HR_Data5[[#This Row],[Joining Date]],TODAY(),"Y")</f>
        <v>7</v>
      </c>
      <c r="M199" s="10" t="str">
        <f>IF(HR_Data5[[#This Row],[Salary]]&lt;55000,"Low",IF(HR_Data5[[#This Row],[Salary]]&lt;=65000,"Medium","High"))</f>
        <v>High</v>
      </c>
      <c r="N199" s="10">
        <f>YEAR(HR_Data5[[#This Row],[Joining Date]])</f>
        <v>2018</v>
      </c>
      <c r="O199" s="10" cm="1">
        <f t="array" ref="O199">_xlfn.SWITCH(HR_Data5[[#This Row],[Performance Score]],
"A",5,
"B",4,
"C",3,
"D",2,
"F",1)</f>
        <v>1</v>
      </c>
      <c r="P199" s="10"/>
    </row>
    <row r="200" spans="1:16" x14ac:dyDescent="0.3">
      <c r="A200" t="s">
        <v>58</v>
      </c>
      <c r="B200">
        <v>50</v>
      </c>
      <c r="C200" s="6">
        <v>70000</v>
      </c>
      <c r="D200" t="s">
        <v>11</v>
      </c>
      <c r="E200" t="s">
        <v>26</v>
      </c>
      <c r="F200" t="s">
        <v>13</v>
      </c>
      <c r="G200" s="7">
        <v>43881</v>
      </c>
      <c r="H200" t="s">
        <v>31</v>
      </c>
      <c r="I200" t="s">
        <v>69</v>
      </c>
      <c r="J200" t="s">
        <v>28</v>
      </c>
      <c r="K200" t="str">
        <f>IF(HR_Data5[[#This Row],[Age]]&lt;30,"Young",IF(HR_Data5[[#This Row],[Age]]&lt;=45,"Mid-Career","Senior"))</f>
        <v>Senior</v>
      </c>
      <c r="L200" s="10">
        <f ca="1">DATEDIF(HR_Data5[[#This Row],[Joining Date]],TODAY(),"Y")</f>
        <v>6</v>
      </c>
      <c r="M200" s="10" t="str">
        <f>IF(HR_Data5[[#This Row],[Salary]]&lt;55000,"Low",IF(HR_Data5[[#This Row],[Salary]]&lt;=65000,"Medium","High"))</f>
        <v>High</v>
      </c>
      <c r="N200" s="10">
        <f>YEAR(HR_Data5[[#This Row],[Joining Date]])</f>
        <v>2020</v>
      </c>
      <c r="O200" s="10" cm="1">
        <f t="array" ref="O200">_xlfn.SWITCH(HR_Data5[[#This Row],[Performance Score]],
"A",5,
"B",4,
"C",3,
"D",2,
"F",1)</f>
        <v>5</v>
      </c>
      <c r="P200" s="10"/>
    </row>
    <row r="201" spans="1:16" x14ac:dyDescent="0.3">
      <c r="A201" t="s">
        <v>57</v>
      </c>
      <c r="B201">
        <v>50</v>
      </c>
      <c r="C201" s="6">
        <v>50000</v>
      </c>
      <c r="D201" t="s">
        <v>11</v>
      </c>
      <c r="E201" t="s">
        <v>12</v>
      </c>
      <c r="F201" t="s">
        <v>13</v>
      </c>
      <c r="G201" s="7">
        <v>43881</v>
      </c>
      <c r="H201" t="s">
        <v>14</v>
      </c>
      <c r="I201" t="s">
        <v>22</v>
      </c>
      <c r="J201" t="s">
        <v>28</v>
      </c>
      <c r="K201" t="str">
        <f>IF(HR_Data5[[#This Row],[Age]]&lt;30,"Young",IF(HR_Data5[[#This Row],[Age]]&lt;=45,"Mid-Career","Senior"))</f>
        <v>Senior</v>
      </c>
      <c r="L201" s="10">
        <f ca="1">DATEDIF(HR_Data5[[#This Row],[Joining Date]],TODAY(),"Y")</f>
        <v>6</v>
      </c>
      <c r="M201" s="10" t="str">
        <f>IF(HR_Data5[[#This Row],[Salary]]&lt;55000,"Low",IF(HR_Data5[[#This Row],[Salary]]&lt;=65000,"Medium","High"))</f>
        <v>Low</v>
      </c>
      <c r="N201" s="10">
        <f>YEAR(HR_Data5[[#This Row],[Joining Date]])</f>
        <v>2020</v>
      </c>
      <c r="O201" s="10" cm="1">
        <f t="array" ref="O201">_xlfn.SWITCH(HR_Data5[[#This Row],[Performance Score]],
"A",5,
"B",4,
"C",3,
"D",2,
"F",1)</f>
        <v>2</v>
      </c>
      <c r="P201" s="10"/>
    </row>
    <row r="202" spans="1:16" x14ac:dyDescent="0.3">
      <c r="A202" t="s">
        <v>57</v>
      </c>
      <c r="B202">
        <v>35</v>
      </c>
      <c r="C202" s="6" t="s">
        <v>68</v>
      </c>
      <c r="D202" t="s">
        <v>11</v>
      </c>
      <c r="E202" t="s">
        <v>19</v>
      </c>
      <c r="F202" t="s">
        <v>44</v>
      </c>
      <c r="G202" s="7">
        <v>43800</v>
      </c>
      <c r="H202" t="s">
        <v>27</v>
      </c>
      <c r="I202" t="s">
        <v>32</v>
      </c>
      <c r="J202" t="s">
        <v>69</v>
      </c>
      <c r="K202" t="str">
        <f>IF(HR_Data5[[#This Row],[Age]]&lt;30,"Young",IF(HR_Data5[[#This Row],[Age]]&lt;=45,"Mid-Career","Senior"))</f>
        <v>Mid-Career</v>
      </c>
      <c r="L202" s="10">
        <f ca="1">DATEDIF(HR_Data5[[#This Row],[Joining Date]],TODAY(),"Y")</f>
        <v>6</v>
      </c>
      <c r="M202" s="10" t="str">
        <f>IF(HR_Data5[[#This Row],[Salary]]&lt;55000,"Low",IF(HR_Data5[[#This Row],[Salary]]&lt;=65000,"Medium","High"))</f>
        <v>High</v>
      </c>
      <c r="N202" s="10">
        <f>YEAR(HR_Data5[[#This Row],[Joining Date]])</f>
        <v>2019</v>
      </c>
      <c r="O202" s="10" cm="1">
        <f t="array" ref="O202">_xlfn.SWITCH(HR_Data5[[#This Row],[Performance Score]],
"A",5,
"B",4,
"C",3,
"D",2,
"F",1)</f>
        <v>3</v>
      </c>
      <c r="P202" s="10"/>
    </row>
    <row r="203" spans="1:16" x14ac:dyDescent="0.3">
      <c r="A203" t="s">
        <v>59</v>
      </c>
      <c r="B203">
        <v>50</v>
      </c>
      <c r="C203" s="6">
        <v>50000</v>
      </c>
      <c r="D203" t="s">
        <v>11</v>
      </c>
      <c r="E203" t="s">
        <v>30</v>
      </c>
      <c r="F203" t="s">
        <v>39</v>
      </c>
      <c r="G203" s="7">
        <v>43800</v>
      </c>
      <c r="H203" t="s">
        <v>21</v>
      </c>
      <c r="I203" t="s">
        <v>69</v>
      </c>
      <c r="J203" t="s">
        <v>28</v>
      </c>
      <c r="K203" t="str">
        <f>IF(HR_Data5[[#This Row],[Age]]&lt;30,"Young",IF(HR_Data5[[#This Row],[Age]]&lt;=45,"Mid-Career","Senior"))</f>
        <v>Senior</v>
      </c>
      <c r="L203" s="10">
        <f ca="1">DATEDIF(HR_Data5[[#This Row],[Joining Date]],TODAY(),"Y")</f>
        <v>6</v>
      </c>
      <c r="M203" s="10" t="str">
        <f>IF(HR_Data5[[#This Row],[Salary]]&lt;55000,"Low",IF(HR_Data5[[#This Row],[Salary]]&lt;=65000,"Medium","High"))</f>
        <v>Low</v>
      </c>
      <c r="N203" s="10">
        <f>YEAR(HR_Data5[[#This Row],[Joining Date]])</f>
        <v>2019</v>
      </c>
      <c r="O203" s="10" cm="1">
        <f t="array" ref="O203">_xlfn.SWITCH(HR_Data5[[#This Row],[Performance Score]],
"A",5,
"B",4,
"C",3,
"D",2,
"F",1)</f>
        <v>1</v>
      </c>
      <c r="P203" s="10"/>
    </row>
    <row r="204" spans="1:16" x14ac:dyDescent="0.3">
      <c r="A204" t="s">
        <v>60</v>
      </c>
      <c r="B204">
        <v>36</v>
      </c>
      <c r="C204" s="6">
        <v>55000</v>
      </c>
      <c r="D204" t="s">
        <v>11</v>
      </c>
      <c r="E204" t="s">
        <v>30</v>
      </c>
      <c r="F204" t="s">
        <v>44</v>
      </c>
      <c r="G204" s="7">
        <v>43195</v>
      </c>
      <c r="H204" t="s">
        <v>41</v>
      </c>
      <c r="I204" t="s">
        <v>32</v>
      </c>
      <c r="J204" t="s">
        <v>23</v>
      </c>
      <c r="K204" t="str">
        <f>IF(HR_Data5[[#This Row],[Age]]&lt;30,"Young",IF(HR_Data5[[#This Row],[Age]]&lt;=45,"Mid-Career","Senior"))</f>
        <v>Mid-Career</v>
      </c>
      <c r="L204" s="10">
        <f ca="1">DATEDIF(HR_Data5[[#This Row],[Joining Date]],TODAY(),"Y")</f>
        <v>7</v>
      </c>
      <c r="M204" s="10" t="str">
        <f>IF(HR_Data5[[#This Row],[Salary]]&lt;55000,"Low",IF(HR_Data5[[#This Row],[Salary]]&lt;=65000,"Medium","High"))</f>
        <v>Medium</v>
      </c>
      <c r="N204" s="10">
        <f>YEAR(HR_Data5[[#This Row],[Joining Date]])</f>
        <v>2018</v>
      </c>
      <c r="O204" s="10" cm="1">
        <f t="array" ref="O204">_xlfn.SWITCH(HR_Data5[[#This Row],[Performance Score]],
"A",5,
"B",4,
"C",3,
"D",2,
"F",1)</f>
        <v>4</v>
      </c>
      <c r="P204" s="10"/>
    </row>
    <row r="205" spans="1:16" x14ac:dyDescent="0.3">
      <c r="A205" t="s">
        <v>57</v>
      </c>
      <c r="B205">
        <v>30</v>
      </c>
      <c r="C205" s="6">
        <v>60000</v>
      </c>
      <c r="D205" t="s">
        <v>11</v>
      </c>
      <c r="E205" t="s">
        <v>19</v>
      </c>
      <c r="F205" t="s">
        <v>20</v>
      </c>
      <c r="G205" s="7">
        <v>43881</v>
      </c>
      <c r="H205" t="s">
        <v>41</v>
      </c>
      <c r="I205" t="s">
        <v>69</v>
      </c>
      <c r="J205" t="s">
        <v>23</v>
      </c>
      <c r="K205" t="str">
        <f>IF(HR_Data5[[#This Row],[Age]]&lt;30,"Young",IF(HR_Data5[[#This Row],[Age]]&lt;=45,"Mid-Career","Senior"))</f>
        <v>Mid-Career</v>
      </c>
      <c r="L205" s="10">
        <f ca="1">DATEDIF(HR_Data5[[#This Row],[Joining Date]],TODAY(),"Y")</f>
        <v>6</v>
      </c>
      <c r="M205" s="10" t="str">
        <f>IF(HR_Data5[[#This Row],[Salary]]&lt;55000,"Low",IF(HR_Data5[[#This Row],[Salary]]&lt;=65000,"Medium","High"))</f>
        <v>Medium</v>
      </c>
      <c r="N205" s="10">
        <f>YEAR(HR_Data5[[#This Row],[Joining Date]])</f>
        <v>2020</v>
      </c>
      <c r="O205" s="10" cm="1">
        <f t="array" ref="O205">_xlfn.SWITCH(HR_Data5[[#This Row],[Performance Score]],
"A",5,
"B",4,
"C",3,
"D",2,
"F",1)</f>
        <v>4</v>
      </c>
      <c r="P205" s="10"/>
    </row>
    <row r="206" spans="1:16" x14ac:dyDescent="0.3">
      <c r="A206" t="s">
        <v>56</v>
      </c>
      <c r="B206">
        <v>30</v>
      </c>
      <c r="C206" s="6">
        <v>70000</v>
      </c>
      <c r="D206" t="s">
        <v>36</v>
      </c>
      <c r="E206" t="s">
        <v>30</v>
      </c>
      <c r="F206" t="s">
        <v>13</v>
      </c>
      <c r="G206" s="7">
        <v>43800</v>
      </c>
      <c r="H206" t="s">
        <v>31</v>
      </c>
      <c r="I206" t="s">
        <v>22</v>
      </c>
      <c r="J206" t="s">
        <v>69</v>
      </c>
      <c r="K206" t="str">
        <f>IF(HR_Data5[[#This Row],[Age]]&lt;30,"Young",IF(HR_Data5[[#This Row],[Age]]&lt;=45,"Mid-Career","Senior"))</f>
        <v>Mid-Career</v>
      </c>
      <c r="L206" s="10">
        <f ca="1">DATEDIF(HR_Data5[[#This Row],[Joining Date]],TODAY(),"Y")</f>
        <v>6</v>
      </c>
      <c r="M206" s="10" t="str">
        <f>IF(HR_Data5[[#This Row],[Salary]]&lt;55000,"Low",IF(HR_Data5[[#This Row],[Salary]]&lt;=65000,"Medium","High"))</f>
        <v>High</v>
      </c>
      <c r="N206" s="10">
        <f>YEAR(HR_Data5[[#This Row],[Joining Date]])</f>
        <v>2019</v>
      </c>
      <c r="O206" s="10" cm="1">
        <f t="array" ref="O206">_xlfn.SWITCH(HR_Data5[[#This Row],[Performance Score]],
"A",5,
"B",4,
"C",3,
"D",2,
"F",1)</f>
        <v>5</v>
      </c>
      <c r="P206" s="10"/>
    </row>
    <row r="207" spans="1:16" x14ac:dyDescent="0.3">
      <c r="A207" t="s">
        <v>52</v>
      </c>
      <c r="B207">
        <v>40</v>
      </c>
      <c r="C207" s="6">
        <v>55000</v>
      </c>
      <c r="D207" t="s">
        <v>11</v>
      </c>
      <c r="E207" t="s">
        <v>12</v>
      </c>
      <c r="F207" t="s">
        <v>43</v>
      </c>
      <c r="G207" s="7">
        <v>43881</v>
      </c>
      <c r="H207" t="s">
        <v>27</v>
      </c>
      <c r="I207" t="s">
        <v>22</v>
      </c>
      <c r="J207" t="s">
        <v>69</v>
      </c>
      <c r="K207" t="str">
        <f>IF(HR_Data5[[#This Row],[Age]]&lt;30,"Young",IF(HR_Data5[[#This Row],[Age]]&lt;=45,"Mid-Career","Senior"))</f>
        <v>Mid-Career</v>
      </c>
      <c r="L207" s="10">
        <f ca="1">DATEDIF(HR_Data5[[#This Row],[Joining Date]],TODAY(),"Y")</f>
        <v>6</v>
      </c>
      <c r="M207" s="10" t="str">
        <f>IF(HR_Data5[[#This Row],[Salary]]&lt;55000,"Low",IF(HR_Data5[[#This Row],[Salary]]&lt;=65000,"Medium","High"))</f>
        <v>Medium</v>
      </c>
      <c r="N207" s="10">
        <f>YEAR(HR_Data5[[#This Row],[Joining Date]])</f>
        <v>2020</v>
      </c>
      <c r="O207" s="10" cm="1">
        <f t="array" ref="O207">_xlfn.SWITCH(HR_Data5[[#This Row],[Performance Score]],
"A",5,
"B",4,
"C",3,
"D",2,
"F",1)</f>
        <v>3</v>
      </c>
      <c r="P207" s="10"/>
    </row>
    <row r="208" spans="1:16" x14ac:dyDescent="0.3">
      <c r="A208" t="s">
        <v>52</v>
      </c>
      <c r="B208">
        <v>40</v>
      </c>
      <c r="C208" s="6">
        <v>60000</v>
      </c>
      <c r="D208" t="s">
        <v>18</v>
      </c>
      <c r="E208" t="s">
        <v>12</v>
      </c>
      <c r="F208" t="s">
        <v>13</v>
      </c>
      <c r="G208" s="7">
        <v>43800</v>
      </c>
      <c r="H208" t="s">
        <v>14</v>
      </c>
      <c r="I208" t="s">
        <v>22</v>
      </c>
      <c r="J208" t="s">
        <v>23</v>
      </c>
      <c r="K208" t="str">
        <f>IF(HR_Data5[[#This Row],[Age]]&lt;30,"Young",IF(HR_Data5[[#This Row],[Age]]&lt;=45,"Mid-Career","Senior"))</f>
        <v>Mid-Career</v>
      </c>
      <c r="L208" s="10">
        <f ca="1">DATEDIF(HR_Data5[[#This Row],[Joining Date]],TODAY(),"Y")</f>
        <v>6</v>
      </c>
      <c r="M208" s="10" t="str">
        <f>IF(HR_Data5[[#This Row],[Salary]]&lt;55000,"Low",IF(HR_Data5[[#This Row],[Salary]]&lt;=65000,"Medium","High"))</f>
        <v>Medium</v>
      </c>
      <c r="N208" s="10">
        <f>YEAR(HR_Data5[[#This Row],[Joining Date]])</f>
        <v>2019</v>
      </c>
      <c r="O208" s="10" cm="1">
        <f t="array" ref="O208">_xlfn.SWITCH(HR_Data5[[#This Row],[Performance Score]],
"A",5,
"B",4,
"C",3,
"D",2,
"F",1)</f>
        <v>2</v>
      </c>
      <c r="P208" s="10"/>
    </row>
    <row r="209" spans="1:16" x14ac:dyDescent="0.3">
      <c r="A209" t="s">
        <v>56</v>
      </c>
      <c r="B209">
        <v>30</v>
      </c>
      <c r="C209" s="6">
        <v>55000</v>
      </c>
      <c r="D209" t="s">
        <v>11</v>
      </c>
      <c r="E209" t="s">
        <v>19</v>
      </c>
      <c r="F209" t="s">
        <v>43</v>
      </c>
      <c r="G209" s="7">
        <v>43845</v>
      </c>
      <c r="H209" t="s">
        <v>41</v>
      </c>
      <c r="I209" t="s">
        <v>32</v>
      </c>
      <c r="J209" t="s">
        <v>23</v>
      </c>
      <c r="K209" t="str">
        <f>IF(HR_Data5[[#This Row],[Age]]&lt;30,"Young",IF(HR_Data5[[#This Row],[Age]]&lt;=45,"Mid-Career","Senior"))</f>
        <v>Mid-Career</v>
      </c>
      <c r="L209" s="10">
        <f ca="1">DATEDIF(HR_Data5[[#This Row],[Joining Date]],TODAY(),"Y")</f>
        <v>6</v>
      </c>
      <c r="M209" s="10" t="str">
        <f>IF(HR_Data5[[#This Row],[Salary]]&lt;55000,"Low",IF(HR_Data5[[#This Row],[Salary]]&lt;=65000,"Medium","High"))</f>
        <v>Medium</v>
      </c>
      <c r="N209" s="10">
        <f>YEAR(HR_Data5[[#This Row],[Joining Date]])</f>
        <v>2020</v>
      </c>
      <c r="O209" s="10" cm="1">
        <f t="array" ref="O209">_xlfn.SWITCH(HR_Data5[[#This Row],[Performance Score]],
"A",5,
"B",4,
"C",3,
"D",2,
"F",1)</f>
        <v>4</v>
      </c>
      <c r="P209" s="10"/>
    </row>
    <row r="210" spans="1:16" x14ac:dyDescent="0.3">
      <c r="A210" t="s">
        <v>55</v>
      </c>
      <c r="B210">
        <v>40</v>
      </c>
      <c r="C210" s="6" t="s">
        <v>68</v>
      </c>
      <c r="D210" t="s">
        <v>11</v>
      </c>
      <c r="E210" t="s">
        <v>30</v>
      </c>
      <c r="F210" t="s">
        <v>20</v>
      </c>
      <c r="G210" s="7">
        <v>43549</v>
      </c>
      <c r="H210" t="s">
        <v>31</v>
      </c>
      <c r="I210" t="s">
        <v>15</v>
      </c>
      <c r="J210" t="s">
        <v>69</v>
      </c>
      <c r="K210" t="str">
        <f>IF(HR_Data5[[#This Row],[Age]]&lt;30,"Young",IF(HR_Data5[[#This Row],[Age]]&lt;=45,"Mid-Career","Senior"))</f>
        <v>Mid-Career</v>
      </c>
      <c r="L210" s="10">
        <f ca="1">DATEDIF(HR_Data5[[#This Row],[Joining Date]],TODAY(),"Y")</f>
        <v>6</v>
      </c>
      <c r="M210" s="10" t="str">
        <f>IF(HR_Data5[[#This Row],[Salary]]&lt;55000,"Low",IF(HR_Data5[[#This Row],[Salary]]&lt;=65000,"Medium","High"))</f>
        <v>High</v>
      </c>
      <c r="N210" s="10">
        <f>YEAR(HR_Data5[[#This Row],[Joining Date]])</f>
        <v>2019</v>
      </c>
      <c r="O210" s="10" cm="1">
        <f t="array" ref="O210">_xlfn.SWITCH(HR_Data5[[#This Row],[Performance Score]],
"A",5,
"B",4,
"C",3,
"D",2,
"F",1)</f>
        <v>5</v>
      </c>
      <c r="P210" s="10"/>
    </row>
    <row r="211" spans="1:16" x14ac:dyDescent="0.3">
      <c r="A211" t="s">
        <v>56</v>
      </c>
      <c r="B211">
        <v>35</v>
      </c>
      <c r="C211" s="6">
        <v>70000</v>
      </c>
      <c r="D211" t="s">
        <v>36</v>
      </c>
      <c r="E211" t="s">
        <v>12</v>
      </c>
      <c r="F211" t="s">
        <v>20</v>
      </c>
      <c r="G211" s="7">
        <v>43845</v>
      </c>
      <c r="H211" t="s">
        <v>27</v>
      </c>
      <c r="I211" t="s">
        <v>32</v>
      </c>
      <c r="J211" t="s">
        <v>45</v>
      </c>
      <c r="K211" t="str">
        <f>IF(HR_Data5[[#This Row],[Age]]&lt;30,"Young",IF(HR_Data5[[#This Row],[Age]]&lt;=45,"Mid-Career","Senior"))</f>
        <v>Mid-Career</v>
      </c>
      <c r="L211" s="10">
        <f ca="1">DATEDIF(HR_Data5[[#This Row],[Joining Date]],TODAY(),"Y")</f>
        <v>6</v>
      </c>
      <c r="M211" s="10" t="str">
        <f>IF(HR_Data5[[#This Row],[Salary]]&lt;55000,"Low",IF(HR_Data5[[#This Row],[Salary]]&lt;=65000,"Medium","High"))</f>
        <v>High</v>
      </c>
      <c r="N211" s="10">
        <f>YEAR(HR_Data5[[#This Row],[Joining Date]])</f>
        <v>2020</v>
      </c>
      <c r="O211" s="10" cm="1">
        <f t="array" ref="O211">_xlfn.SWITCH(HR_Data5[[#This Row],[Performance Score]],
"A",5,
"B",4,
"C",3,
"D",2,
"F",1)</f>
        <v>3</v>
      </c>
      <c r="P211" s="10"/>
    </row>
    <row r="212" spans="1:16" x14ac:dyDescent="0.3">
      <c r="A212" t="s">
        <v>56</v>
      </c>
      <c r="B212">
        <v>50</v>
      </c>
      <c r="C212" s="6">
        <v>50000</v>
      </c>
      <c r="D212" t="s">
        <v>36</v>
      </c>
      <c r="E212" t="s">
        <v>12</v>
      </c>
      <c r="F212" t="s">
        <v>13</v>
      </c>
      <c r="G212" s="7">
        <v>43800</v>
      </c>
      <c r="H212" t="s">
        <v>27</v>
      </c>
      <c r="I212" t="s">
        <v>32</v>
      </c>
      <c r="J212" t="s">
        <v>28</v>
      </c>
      <c r="K212" t="str">
        <f>IF(HR_Data5[[#This Row],[Age]]&lt;30,"Young",IF(HR_Data5[[#This Row],[Age]]&lt;=45,"Mid-Career","Senior"))</f>
        <v>Senior</v>
      </c>
      <c r="L212" s="10">
        <f ca="1">DATEDIF(HR_Data5[[#This Row],[Joining Date]],TODAY(),"Y")</f>
        <v>6</v>
      </c>
      <c r="M212" s="10" t="str">
        <f>IF(HR_Data5[[#This Row],[Salary]]&lt;55000,"Low",IF(HR_Data5[[#This Row],[Salary]]&lt;=65000,"Medium","High"))</f>
        <v>Low</v>
      </c>
      <c r="N212" s="10">
        <f>YEAR(HR_Data5[[#This Row],[Joining Date]])</f>
        <v>2019</v>
      </c>
      <c r="O212" s="10" cm="1">
        <f t="array" ref="O212">_xlfn.SWITCH(HR_Data5[[#This Row],[Performance Score]],
"A",5,
"B",4,
"C",3,
"D",2,
"F",1)</f>
        <v>3</v>
      </c>
      <c r="P212" s="10"/>
    </row>
    <row r="213" spans="1:16" x14ac:dyDescent="0.3">
      <c r="A213" t="s">
        <v>52</v>
      </c>
      <c r="B213">
        <v>30</v>
      </c>
      <c r="C213" s="6">
        <v>50000</v>
      </c>
      <c r="D213" t="s">
        <v>18</v>
      </c>
      <c r="E213" t="s">
        <v>37</v>
      </c>
      <c r="F213" t="s">
        <v>43</v>
      </c>
      <c r="G213" s="7">
        <v>43549</v>
      </c>
      <c r="H213" t="s">
        <v>31</v>
      </c>
      <c r="I213" t="s">
        <v>69</v>
      </c>
      <c r="J213" t="s">
        <v>23</v>
      </c>
      <c r="K213" t="str">
        <f>IF(HR_Data5[[#This Row],[Age]]&lt;30,"Young",IF(HR_Data5[[#This Row],[Age]]&lt;=45,"Mid-Career","Senior"))</f>
        <v>Mid-Career</v>
      </c>
      <c r="L213" s="10">
        <f ca="1">DATEDIF(HR_Data5[[#This Row],[Joining Date]],TODAY(),"Y")</f>
        <v>6</v>
      </c>
      <c r="M213" s="10" t="str">
        <f>IF(HR_Data5[[#This Row],[Salary]]&lt;55000,"Low",IF(HR_Data5[[#This Row],[Salary]]&lt;=65000,"Medium","High"))</f>
        <v>Low</v>
      </c>
      <c r="N213" s="10">
        <f>YEAR(HR_Data5[[#This Row],[Joining Date]])</f>
        <v>2019</v>
      </c>
      <c r="O213" s="10" cm="1">
        <f t="array" ref="O213">_xlfn.SWITCH(HR_Data5[[#This Row],[Performance Score]],
"A",5,
"B",4,
"C",3,
"D",2,
"F",1)</f>
        <v>5</v>
      </c>
      <c r="P213" s="10"/>
    </row>
    <row r="214" spans="1:16" x14ac:dyDescent="0.3">
      <c r="A214" t="s">
        <v>51</v>
      </c>
      <c r="B214">
        <v>40</v>
      </c>
      <c r="C214" s="6">
        <v>60000</v>
      </c>
      <c r="D214" t="s">
        <v>18</v>
      </c>
      <c r="E214" t="s">
        <v>37</v>
      </c>
      <c r="F214" t="s">
        <v>20</v>
      </c>
      <c r="G214" s="7">
        <v>43549</v>
      </c>
      <c r="H214" t="s">
        <v>31</v>
      </c>
      <c r="I214" t="s">
        <v>69</v>
      </c>
      <c r="J214" t="s">
        <v>45</v>
      </c>
      <c r="K214" t="str">
        <f>IF(HR_Data5[[#This Row],[Age]]&lt;30,"Young",IF(HR_Data5[[#This Row],[Age]]&lt;=45,"Mid-Career","Senior"))</f>
        <v>Mid-Career</v>
      </c>
      <c r="L214" s="10">
        <f ca="1">DATEDIF(HR_Data5[[#This Row],[Joining Date]],TODAY(),"Y")</f>
        <v>6</v>
      </c>
      <c r="M214" s="10" t="str">
        <f>IF(HR_Data5[[#This Row],[Salary]]&lt;55000,"Low",IF(HR_Data5[[#This Row],[Salary]]&lt;=65000,"Medium","High"))</f>
        <v>Medium</v>
      </c>
      <c r="N214" s="10">
        <f>YEAR(HR_Data5[[#This Row],[Joining Date]])</f>
        <v>2019</v>
      </c>
      <c r="O214" s="10" cm="1">
        <f t="array" ref="O214">_xlfn.SWITCH(HR_Data5[[#This Row],[Performance Score]],
"A",5,
"B",4,
"C",3,
"D",2,
"F",1)</f>
        <v>5</v>
      </c>
      <c r="P214" s="10"/>
    </row>
    <row r="215" spans="1:16" x14ac:dyDescent="0.3">
      <c r="A215" t="s">
        <v>52</v>
      </c>
      <c r="B215">
        <v>30</v>
      </c>
      <c r="C215" s="6">
        <v>65000</v>
      </c>
      <c r="D215" t="s">
        <v>36</v>
      </c>
      <c r="E215" t="s">
        <v>12</v>
      </c>
      <c r="F215" t="s">
        <v>44</v>
      </c>
      <c r="G215" s="7">
        <v>43800</v>
      </c>
      <c r="H215" t="s">
        <v>14</v>
      </c>
      <c r="I215" t="s">
        <v>32</v>
      </c>
      <c r="J215" t="s">
        <v>69</v>
      </c>
      <c r="K215" t="str">
        <f>IF(HR_Data5[[#This Row],[Age]]&lt;30,"Young",IF(HR_Data5[[#This Row],[Age]]&lt;=45,"Mid-Career","Senior"))</f>
        <v>Mid-Career</v>
      </c>
      <c r="L215" s="10">
        <f ca="1">DATEDIF(HR_Data5[[#This Row],[Joining Date]],TODAY(),"Y")</f>
        <v>6</v>
      </c>
      <c r="M215" s="10" t="str">
        <f>IF(HR_Data5[[#This Row],[Salary]]&lt;55000,"Low",IF(HR_Data5[[#This Row],[Salary]]&lt;=65000,"Medium","High"))</f>
        <v>Medium</v>
      </c>
      <c r="N215" s="10">
        <f>YEAR(HR_Data5[[#This Row],[Joining Date]])</f>
        <v>2019</v>
      </c>
      <c r="O215" s="10" cm="1">
        <f t="array" ref="O215">_xlfn.SWITCH(HR_Data5[[#This Row],[Performance Score]],
"A",5,
"B",4,
"C",3,
"D",2,
"F",1)</f>
        <v>2</v>
      </c>
      <c r="P215" s="10"/>
    </row>
    <row r="216" spans="1:16" x14ac:dyDescent="0.3">
      <c r="A216" t="s">
        <v>60</v>
      </c>
      <c r="B216">
        <v>36</v>
      </c>
      <c r="C216" s="6" t="s">
        <v>68</v>
      </c>
      <c r="D216" t="s">
        <v>36</v>
      </c>
      <c r="E216" t="s">
        <v>19</v>
      </c>
      <c r="F216" t="s">
        <v>44</v>
      </c>
      <c r="G216" s="7">
        <v>43800</v>
      </c>
      <c r="H216" t="s">
        <v>31</v>
      </c>
      <c r="I216" t="s">
        <v>69</v>
      </c>
      <c r="J216" t="s">
        <v>45</v>
      </c>
      <c r="K216" t="str">
        <f>IF(HR_Data5[[#This Row],[Age]]&lt;30,"Young",IF(HR_Data5[[#This Row],[Age]]&lt;=45,"Mid-Career","Senior"))</f>
        <v>Mid-Career</v>
      </c>
      <c r="L216" s="10">
        <f ca="1">DATEDIF(HR_Data5[[#This Row],[Joining Date]],TODAY(),"Y")</f>
        <v>6</v>
      </c>
      <c r="M216" s="10" t="str">
        <f>IF(HR_Data5[[#This Row],[Salary]]&lt;55000,"Low",IF(HR_Data5[[#This Row],[Salary]]&lt;=65000,"Medium","High"))</f>
        <v>High</v>
      </c>
      <c r="N216" s="10">
        <f>YEAR(HR_Data5[[#This Row],[Joining Date]])</f>
        <v>2019</v>
      </c>
      <c r="O216" s="10" cm="1">
        <f t="array" ref="O216">_xlfn.SWITCH(HR_Data5[[#This Row],[Performance Score]],
"A",5,
"B",4,
"C",3,
"D",2,
"F",1)</f>
        <v>5</v>
      </c>
      <c r="P216" s="10"/>
    </row>
    <row r="217" spans="1:16" x14ac:dyDescent="0.3">
      <c r="A217" t="s">
        <v>59</v>
      </c>
      <c r="B217">
        <v>25</v>
      </c>
      <c r="C217" s="6">
        <v>60000</v>
      </c>
      <c r="D217" t="s">
        <v>11</v>
      </c>
      <c r="E217" t="s">
        <v>26</v>
      </c>
      <c r="F217" t="s">
        <v>43</v>
      </c>
      <c r="G217" s="7">
        <v>43881</v>
      </c>
      <c r="H217" t="s">
        <v>14</v>
      </c>
      <c r="I217" t="s">
        <v>69</v>
      </c>
      <c r="J217" t="s">
        <v>69</v>
      </c>
      <c r="K217" t="str">
        <f>IF(HR_Data5[[#This Row],[Age]]&lt;30,"Young",IF(HR_Data5[[#This Row],[Age]]&lt;=45,"Mid-Career","Senior"))</f>
        <v>Young</v>
      </c>
      <c r="L217" s="10">
        <f ca="1">DATEDIF(HR_Data5[[#This Row],[Joining Date]],TODAY(),"Y")</f>
        <v>6</v>
      </c>
      <c r="M217" s="10" t="str">
        <f>IF(HR_Data5[[#This Row],[Salary]]&lt;55000,"Low",IF(HR_Data5[[#This Row],[Salary]]&lt;=65000,"Medium","High"))</f>
        <v>Medium</v>
      </c>
      <c r="N217" s="10">
        <f>YEAR(HR_Data5[[#This Row],[Joining Date]])</f>
        <v>2020</v>
      </c>
      <c r="O217" s="10" cm="1">
        <f t="array" ref="O217">_xlfn.SWITCH(HR_Data5[[#This Row],[Performance Score]],
"A",5,
"B",4,
"C",3,
"D",2,
"F",1)</f>
        <v>2</v>
      </c>
      <c r="P217" s="10"/>
    </row>
    <row r="218" spans="1:16" x14ac:dyDescent="0.3">
      <c r="A218" t="s">
        <v>53</v>
      </c>
      <c r="B218">
        <v>50</v>
      </c>
      <c r="C218" s="6">
        <v>65000</v>
      </c>
      <c r="D218" t="s">
        <v>36</v>
      </c>
      <c r="E218" t="s">
        <v>26</v>
      </c>
      <c r="F218" t="s">
        <v>13</v>
      </c>
      <c r="G218" s="7">
        <v>43800</v>
      </c>
      <c r="H218" t="s">
        <v>14</v>
      </c>
      <c r="I218" t="s">
        <v>32</v>
      </c>
      <c r="J218" t="s">
        <v>69</v>
      </c>
      <c r="K218" t="str">
        <f>IF(HR_Data5[[#This Row],[Age]]&lt;30,"Young",IF(HR_Data5[[#This Row],[Age]]&lt;=45,"Mid-Career","Senior"))</f>
        <v>Senior</v>
      </c>
      <c r="L218" s="10">
        <f ca="1">DATEDIF(HR_Data5[[#This Row],[Joining Date]],TODAY(),"Y")</f>
        <v>6</v>
      </c>
      <c r="M218" s="10" t="str">
        <f>IF(HR_Data5[[#This Row],[Salary]]&lt;55000,"Low",IF(HR_Data5[[#This Row],[Salary]]&lt;=65000,"Medium","High"))</f>
        <v>Medium</v>
      </c>
      <c r="N218" s="10">
        <f>YEAR(HR_Data5[[#This Row],[Joining Date]])</f>
        <v>2019</v>
      </c>
      <c r="O218" s="10" cm="1">
        <f t="array" ref="O218">_xlfn.SWITCH(HR_Data5[[#This Row],[Performance Score]],
"A",5,
"B",4,
"C",3,
"D",2,
"F",1)</f>
        <v>2</v>
      </c>
      <c r="P218" s="10"/>
    </row>
    <row r="219" spans="1:16" x14ac:dyDescent="0.3">
      <c r="A219" t="s">
        <v>51</v>
      </c>
      <c r="B219">
        <v>30</v>
      </c>
      <c r="C219" s="6">
        <v>55000</v>
      </c>
      <c r="D219" t="s">
        <v>18</v>
      </c>
      <c r="E219" t="s">
        <v>12</v>
      </c>
      <c r="F219" t="s">
        <v>20</v>
      </c>
      <c r="G219" s="7">
        <v>43195</v>
      </c>
      <c r="H219" t="s">
        <v>21</v>
      </c>
      <c r="I219" t="s">
        <v>15</v>
      </c>
      <c r="J219" t="s">
        <v>69</v>
      </c>
      <c r="K219" t="str">
        <f>IF(HR_Data5[[#This Row],[Age]]&lt;30,"Young",IF(HR_Data5[[#This Row],[Age]]&lt;=45,"Mid-Career","Senior"))</f>
        <v>Mid-Career</v>
      </c>
      <c r="L219" s="10">
        <f ca="1">DATEDIF(HR_Data5[[#This Row],[Joining Date]],TODAY(),"Y")</f>
        <v>7</v>
      </c>
      <c r="M219" s="10" t="str">
        <f>IF(HR_Data5[[#This Row],[Salary]]&lt;55000,"Low",IF(HR_Data5[[#This Row],[Salary]]&lt;=65000,"Medium","High"))</f>
        <v>Medium</v>
      </c>
      <c r="N219" s="10">
        <f>YEAR(HR_Data5[[#This Row],[Joining Date]])</f>
        <v>2018</v>
      </c>
      <c r="O219" s="10" cm="1">
        <f t="array" ref="O219">_xlfn.SWITCH(HR_Data5[[#This Row],[Performance Score]],
"A",5,
"B",4,
"C",3,
"D",2,
"F",1)</f>
        <v>1</v>
      </c>
      <c r="P219" s="10"/>
    </row>
    <row r="220" spans="1:16" x14ac:dyDescent="0.3">
      <c r="A220" t="s">
        <v>58</v>
      </c>
      <c r="B220">
        <v>25</v>
      </c>
      <c r="C220" s="6" t="s">
        <v>68</v>
      </c>
      <c r="D220" t="s">
        <v>11</v>
      </c>
      <c r="E220" t="s">
        <v>12</v>
      </c>
      <c r="F220" t="s">
        <v>13</v>
      </c>
      <c r="G220" s="7">
        <v>43800</v>
      </c>
      <c r="H220" t="s">
        <v>27</v>
      </c>
      <c r="I220" t="s">
        <v>69</v>
      </c>
      <c r="J220" t="s">
        <v>45</v>
      </c>
      <c r="K220" t="str">
        <f>IF(HR_Data5[[#This Row],[Age]]&lt;30,"Young",IF(HR_Data5[[#This Row],[Age]]&lt;=45,"Mid-Career","Senior"))</f>
        <v>Young</v>
      </c>
      <c r="L220" s="10">
        <f ca="1">DATEDIF(HR_Data5[[#This Row],[Joining Date]],TODAY(),"Y")</f>
        <v>6</v>
      </c>
      <c r="M220" s="10" t="str">
        <f>IF(HR_Data5[[#This Row],[Salary]]&lt;55000,"Low",IF(HR_Data5[[#This Row],[Salary]]&lt;=65000,"Medium","High"))</f>
        <v>High</v>
      </c>
      <c r="N220" s="10">
        <f>YEAR(HR_Data5[[#This Row],[Joining Date]])</f>
        <v>2019</v>
      </c>
      <c r="O220" s="10" cm="1">
        <f t="array" ref="O220">_xlfn.SWITCH(HR_Data5[[#This Row],[Performance Score]],
"A",5,
"B",4,
"C",3,
"D",2,
"F",1)</f>
        <v>3</v>
      </c>
      <c r="P220" s="10"/>
    </row>
    <row r="221" spans="1:16" x14ac:dyDescent="0.3">
      <c r="A221" t="s">
        <v>53</v>
      </c>
      <c r="B221">
        <v>40</v>
      </c>
      <c r="C221" s="6">
        <v>55000</v>
      </c>
      <c r="D221" t="s">
        <v>18</v>
      </c>
      <c r="E221" t="s">
        <v>12</v>
      </c>
      <c r="F221" t="s">
        <v>44</v>
      </c>
      <c r="G221" s="7">
        <v>43195</v>
      </c>
      <c r="H221" t="s">
        <v>27</v>
      </c>
      <c r="I221" t="s">
        <v>22</v>
      </c>
      <c r="J221" t="s">
        <v>69</v>
      </c>
      <c r="K221" t="str">
        <f>IF(HR_Data5[[#This Row],[Age]]&lt;30,"Young",IF(HR_Data5[[#This Row],[Age]]&lt;=45,"Mid-Career","Senior"))</f>
        <v>Mid-Career</v>
      </c>
      <c r="L221" s="10">
        <f ca="1">DATEDIF(HR_Data5[[#This Row],[Joining Date]],TODAY(),"Y")</f>
        <v>7</v>
      </c>
      <c r="M221" s="10" t="str">
        <f>IF(HR_Data5[[#This Row],[Salary]]&lt;55000,"Low",IF(HR_Data5[[#This Row],[Salary]]&lt;=65000,"Medium","High"))</f>
        <v>Medium</v>
      </c>
      <c r="N221" s="10">
        <f>YEAR(HR_Data5[[#This Row],[Joining Date]])</f>
        <v>2018</v>
      </c>
      <c r="O221" s="10" cm="1">
        <f t="array" ref="O221">_xlfn.SWITCH(HR_Data5[[#This Row],[Performance Score]],
"A",5,
"B",4,
"C",3,
"D",2,
"F",1)</f>
        <v>3</v>
      </c>
      <c r="P221" s="10"/>
    </row>
    <row r="222" spans="1:16" x14ac:dyDescent="0.3">
      <c r="A222" t="s">
        <v>59</v>
      </c>
      <c r="B222">
        <v>25</v>
      </c>
      <c r="C222" s="6">
        <v>70000</v>
      </c>
      <c r="D222" t="s">
        <v>11</v>
      </c>
      <c r="E222" t="s">
        <v>19</v>
      </c>
      <c r="F222" t="s">
        <v>20</v>
      </c>
      <c r="G222" s="7">
        <v>43800</v>
      </c>
      <c r="H222" t="s">
        <v>27</v>
      </c>
      <c r="I222" t="s">
        <v>32</v>
      </c>
      <c r="J222" t="s">
        <v>23</v>
      </c>
      <c r="K222" t="str">
        <f>IF(HR_Data5[[#This Row],[Age]]&lt;30,"Young",IF(HR_Data5[[#This Row],[Age]]&lt;=45,"Mid-Career","Senior"))</f>
        <v>Young</v>
      </c>
      <c r="L222" s="10">
        <f ca="1">DATEDIF(HR_Data5[[#This Row],[Joining Date]],TODAY(),"Y")</f>
        <v>6</v>
      </c>
      <c r="M222" s="10" t="str">
        <f>IF(HR_Data5[[#This Row],[Salary]]&lt;55000,"Low",IF(HR_Data5[[#This Row],[Salary]]&lt;=65000,"Medium","High"))</f>
        <v>High</v>
      </c>
      <c r="N222" s="10">
        <f>YEAR(HR_Data5[[#This Row],[Joining Date]])</f>
        <v>2019</v>
      </c>
      <c r="O222" s="10" cm="1">
        <f t="array" ref="O222">_xlfn.SWITCH(HR_Data5[[#This Row],[Performance Score]],
"A",5,
"B",4,
"C",3,
"D",2,
"F",1)</f>
        <v>3</v>
      </c>
      <c r="P222" s="10"/>
    </row>
    <row r="223" spans="1:16" x14ac:dyDescent="0.3">
      <c r="A223" t="s">
        <v>60</v>
      </c>
      <c r="B223">
        <v>50</v>
      </c>
      <c r="C223" s="6" t="s">
        <v>68</v>
      </c>
      <c r="D223" t="s">
        <v>36</v>
      </c>
      <c r="E223" t="s">
        <v>37</v>
      </c>
      <c r="F223" t="s">
        <v>13</v>
      </c>
      <c r="G223" s="7">
        <v>43881</v>
      </c>
      <c r="H223" t="s">
        <v>21</v>
      </c>
      <c r="I223" t="s">
        <v>32</v>
      </c>
      <c r="J223" t="s">
        <v>45</v>
      </c>
      <c r="K223" t="str">
        <f>IF(HR_Data5[[#This Row],[Age]]&lt;30,"Young",IF(HR_Data5[[#This Row],[Age]]&lt;=45,"Mid-Career","Senior"))</f>
        <v>Senior</v>
      </c>
      <c r="L223" s="10">
        <f ca="1">DATEDIF(HR_Data5[[#This Row],[Joining Date]],TODAY(),"Y")</f>
        <v>6</v>
      </c>
      <c r="M223" s="10" t="str">
        <f>IF(HR_Data5[[#This Row],[Salary]]&lt;55000,"Low",IF(HR_Data5[[#This Row],[Salary]]&lt;=65000,"Medium","High"))</f>
        <v>High</v>
      </c>
      <c r="N223" s="10">
        <f>YEAR(HR_Data5[[#This Row],[Joining Date]])</f>
        <v>2020</v>
      </c>
      <c r="O223" s="10" cm="1">
        <f t="array" ref="O223">_xlfn.SWITCH(HR_Data5[[#This Row],[Performance Score]],
"A",5,
"B",4,
"C",3,
"D",2,
"F",1)</f>
        <v>1</v>
      </c>
      <c r="P223" s="10"/>
    </row>
    <row r="224" spans="1:16" x14ac:dyDescent="0.3">
      <c r="A224" t="s">
        <v>60</v>
      </c>
      <c r="B224">
        <v>30</v>
      </c>
      <c r="C224" s="6">
        <v>65000</v>
      </c>
      <c r="D224" t="s">
        <v>18</v>
      </c>
      <c r="E224" t="s">
        <v>12</v>
      </c>
      <c r="F224" t="s">
        <v>39</v>
      </c>
      <c r="G224" s="7">
        <v>43195</v>
      </c>
      <c r="H224" t="s">
        <v>14</v>
      </c>
      <c r="I224" t="s">
        <v>69</v>
      </c>
      <c r="J224" t="s">
        <v>23</v>
      </c>
      <c r="K224" t="str">
        <f>IF(HR_Data5[[#This Row],[Age]]&lt;30,"Young",IF(HR_Data5[[#This Row],[Age]]&lt;=45,"Mid-Career","Senior"))</f>
        <v>Mid-Career</v>
      </c>
      <c r="L224" s="10">
        <f ca="1">DATEDIF(HR_Data5[[#This Row],[Joining Date]],TODAY(),"Y")</f>
        <v>7</v>
      </c>
      <c r="M224" s="10" t="str">
        <f>IF(HR_Data5[[#This Row],[Salary]]&lt;55000,"Low",IF(HR_Data5[[#This Row],[Salary]]&lt;=65000,"Medium","High"))</f>
        <v>Medium</v>
      </c>
      <c r="N224" s="10">
        <f>YEAR(HR_Data5[[#This Row],[Joining Date]])</f>
        <v>2018</v>
      </c>
      <c r="O224" s="10" cm="1">
        <f t="array" ref="O224">_xlfn.SWITCH(HR_Data5[[#This Row],[Performance Score]],
"A",5,
"B",4,
"C",3,
"D",2,
"F",1)</f>
        <v>2</v>
      </c>
      <c r="P224" s="10"/>
    </row>
    <row r="225" spans="1:16" x14ac:dyDescent="0.3">
      <c r="A225" t="s">
        <v>58</v>
      </c>
      <c r="B225">
        <v>36</v>
      </c>
      <c r="C225" s="6">
        <v>70000</v>
      </c>
      <c r="D225" t="s">
        <v>11</v>
      </c>
      <c r="E225" t="s">
        <v>12</v>
      </c>
      <c r="F225" t="s">
        <v>43</v>
      </c>
      <c r="G225" s="7">
        <v>43845</v>
      </c>
      <c r="H225" t="s">
        <v>14</v>
      </c>
      <c r="I225" t="s">
        <v>69</v>
      </c>
      <c r="J225" t="s">
        <v>45</v>
      </c>
      <c r="K225" t="str">
        <f>IF(HR_Data5[[#This Row],[Age]]&lt;30,"Young",IF(HR_Data5[[#This Row],[Age]]&lt;=45,"Mid-Career","Senior"))</f>
        <v>Mid-Career</v>
      </c>
      <c r="L225" s="10">
        <f ca="1">DATEDIF(HR_Data5[[#This Row],[Joining Date]],TODAY(),"Y")</f>
        <v>6</v>
      </c>
      <c r="M225" s="10" t="str">
        <f>IF(HR_Data5[[#This Row],[Salary]]&lt;55000,"Low",IF(HR_Data5[[#This Row],[Salary]]&lt;=65000,"Medium","High"))</f>
        <v>High</v>
      </c>
      <c r="N225" s="10">
        <f>YEAR(HR_Data5[[#This Row],[Joining Date]])</f>
        <v>2020</v>
      </c>
      <c r="O225" s="10" cm="1">
        <f t="array" ref="O225">_xlfn.SWITCH(HR_Data5[[#This Row],[Performance Score]],
"A",5,
"B",4,
"C",3,
"D",2,
"F",1)</f>
        <v>2</v>
      </c>
      <c r="P225" s="10"/>
    </row>
    <row r="226" spans="1:16" x14ac:dyDescent="0.3">
      <c r="A226" t="s">
        <v>51</v>
      </c>
      <c r="B226">
        <v>40</v>
      </c>
      <c r="C226" s="6">
        <v>50000</v>
      </c>
      <c r="D226" t="s">
        <v>11</v>
      </c>
      <c r="E226" t="s">
        <v>30</v>
      </c>
      <c r="F226" t="s">
        <v>43</v>
      </c>
      <c r="G226" s="7">
        <v>43195</v>
      </c>
      <c r="H226" t="s">
        <v>31</v>
      </c>
      <c r="I226" t="s">
        <v>69</v>
      </c>
      <c r="J226" t="s">
        <v>23</v>
      </c>
      <c r="K226" t="str">
        <f>IF(HR_Data5[[#This Row],[Age]]&lt;30,"Young",IF(HR_Data5[[#This Row],[Age]]&lt;=45,"Mid-Career","Senior"))</f>
        <v>Mid-Career</v>
      </c>
      <c r="L226" s="10">
        <f ca="1">DATEDIF(HR_Data5[[#This Row],[Joining Date]],TODAY(),"Y")</f>
        <v>7</v>
      </c>
      <c r="M226" s="10" t="str">
        <f>IF(HR_Data5[[#This Row],[Salary]]&lt;55000,"Low",IF(HR_Data5[[#This Row],[Salary]]&lt;=65000,"Medium","High"))</f>
        <v>Low</v>
      </c>
      <c r="N226" s="10">
        <f>YEAR(HR_Data5[[#This Row],[Joining Date]])</f>
        <v>2018</v>
      </c>
      <c r="O226" s="10" cm="1">
        <f t="array" ref="O226">_xlfn.SWITCH(HR_Data5[[#This Row],[Performance Score]],
"A",5,
"B",4,
"C",3,
"D",2,
"F",1)</f>
        <v>5</v>
      </c>
      <c r="P226" s="10"/>
    </row>
    <row r="227" spans="1:16" x14ac:dyDescent="0.3">
      <c r="A227" t="s">
        <v>55</v>
      </c>
      <c r="B227">
        <v>30</v>
      </c>
      <c r="C227" s="6">
        <v>65000</v>
      </c>
      <c r="D227" t="s">
        <v>36</v>
      </c>
      <c r="E227" t="s">
        <v>19</v>
      </c>
      <c r="F227" t="s">
        <v>39</v>
      </c>
      <c r="G227" s="7">
        <v>43881</v>
      </c>
      <c r="H227" t="s">
        <v>21</v>
      </c>
      <c r="I227" t="s">
        <v>69</v>
      </c>
      <c r="J227" t="s">
        <v>45</v>
      </c>
      <c r="K227" t="str">
        <f>IF(HR_Data5[[#This Row],[Age]]&lt;30,"Young",IF(HR_Data5[[#This Row],[Age]]&lt;=45,"Mid-Career","Senior"))</f>
        <v>Mid-Career</v>
      </c>
      <c r="L227" s="10">
        <f ca="1">DATEDIF(HR_Data5[[#This Row],[Joining Date]],TODAY(),"Y")</f>
        <v>6</v>
      </c>
      <c r="M227" s="10" t="str">
        <f>IF(HR_Data5[[#This Row],[Salary]]&lt;55000,"Low",IF(HR_Data5[[#This Row],[Salary]]&lt;=65000,"Medium","High"))</f>
        <v>Medium</v>
      </c>
      <c r="N227" s="10">
        <f>YEAR(HR_Data5[[#This Row],[Joining Date]])</f>
        <v>2020</v>
      </c>
      <c r="O227" s="10" cm="1">
        <f t="array" ref="O227">_xlfn.SWITCH(HR_Data5[[#This Row],[Performance Score]],
"A",5,
"B",4,
"C",3,
"D",2,
"F",1)</f>
        <v>1</v>
      </c>
      <c r="P227" s="10"/>
    </row>
    <row r="228" spans="1:16" x14ac:dyDescent="0.3">
      <c r="A228" t="s">
        <v>56</v>
      </c>
      <c r="B228">
        <v>50</v>
      </c>
      <c r="C228" s="6">
        <v>60000</v>
      </c>
      <c r="D228" t="s">
        <v>36</v>
      </c>
      <c r="E228" t="s">
        <v>12</v>
      </c>
      <c r="F228" t="s">
        <v>44</v>
      </c>
      <c r="G228" s="7">
        <v>43195</v>
      </c>
      <c r="H228" t="s">
        <v>31</v>
      </c>
      <c r="I228" t="s">
        <v>22</v>
      </c>
      <c r="J228" t="s">
        <v>69</v>
      </c>
      <c r="K228" t="str">
        <f>IF(HR_Data5[[#This Row],[Age]]&lt;30,"Young",IF(HR_Data5[[#This Row],[Age]]&lt;=45,"Mid-Career","Senior"))</f>
        <v>Senior</v>
      </c>
      <c r="L228" s="10">
        <f ca="1">DATEDIF(HR_Data5[[#This Row],[Joining Date]],TODAY(),"Y")</f>
        <v>7</v>
      </c>
      <c r="M228" s="10" t="str">
        <f>IF(HR_Data5[[#This Row],[Salary]]&lt;55000,"Low",IF(HR_Data5[[#This Row],[Salary]]&lt;=65000,"Medium","High"))</f>
        <v>Medium</v>
      </c>
      <c r="N228" s="10">
        <f>YEAR(HR_Data5[[#This Row],[Joining Date]])</f>
        <v>2018</v>
      </c>
      <c r="O228" s="10" cm="1">
        <f t="array" ref="O228">_xlfn.SWITCH(HR_Data5[[#This Row],[Performance Score]],
"A",5,
"B",4,
"C",3,
"D",2,
"F",1)</f>
        <v>5</v>
      </c>
      <c r="P228" s="10"/>
    </row>
    <row r="229" spans="1:16" x14ac:dyDescent="0.3">
      <c r="A229" t="s">
        <v>51</v>
      </c>
      <c r="B229">
        <v>40</v>
      </c>
      <c r="C229" s="6">
        <v>50000</v>
      </c>
      <c r="D229" t="s">
        <v>36</v>
      </c>
      <c r="E229" t="s">
        <v>30</v>
      </c>
      <c r="F229" t="s">
        <v>20</v>
      </c>
      <c r="G229" s="7">
        <v>43800</v>
      </c>
      <c r="H229" t="s">
        <v>21</v>
      </c>
      <c r="I229" t="s">
        <v>69</v>
      </c>
      <c r="J229" t="s">
        <v>28</v>
      </c>
      <c r="K229" t="str">
        <f>IF(HR_Data5[[#This Row],[Age]]&lt;30,"Young",IF(HR_Data5[[#This Row],[Age]]&lt;=45,"Mid-Career","Senior"))</f>
        <v>Mid-Career</v>
      </c>
      <c r="L229" s="10">
        <f ca="1">DATEDIF(HR_Data5[[#This Row],[Joining Date]],TODAY(),"Y")</f>
        <v>6</v>
      </c>
      <c r="M229" s="10" t="str">
        <f>IF(HR_Data5[[#This Row],[Salary]]&lt;55000,"Low",IF(HR_Data5[[#This Row],[Salary]]&lt;=65000,"Medium","High"))</f>
        <v>Low</v>
      </c>
      <c r="N229" s="10">
        <f>YEAR(HR_Data5[[#This Row],[Joining Date]])</f>
        <v>2019</v>
      </c>
      <c r="O229" s="10" cm="1">
        <f t="array" ref="O229">_xlfn.SWITCH(HR_Data5[[#This Row],[Performance Score]],
"A",5,
"B",4,
"C",3,
"D",2,
"F",1)</f>
        <v>1</v>
      </c>
      <c r="P229" s="10"/>
    </row>
    <row r="230" spans="1:16" x14ac:dyDescent="0.3">
      <c r="A230" t="s">
        <v>55</v>
      </c>
      <c r="B230">
        <v>35</v>
      </c>
      <c r="C230" s="6">
        <v>50000</v>
      </c>
      <c r="D230" t="s">
        <v>18</v>
      </c>
      <c r="E230" t="s">
        <v>26</v>
      </c>
      <c r="F230" t="s">
        <v>43</v>
      </c>
      <c r="G230" s="7">
        <v>43800</v>
      </c>
      <c r="H230" t="s">
        <v>31</v>
      </c>
      <c r="I230" t="s">
        <v>69</v>
      </c>
      <c r="J230" t="s">
        <v>69</v>
      </c>
      <c r="K230" t="str">
        <f>IF(HR_Data5[[#This Row],[Age]]&lt;30,"Young",IF(HR_Data5[[#This Row],[Age]]&lt;=45,"Mid-Career","Senior"))</f>
        <v>Mid-Career</v>
      </c>
      <c r="L230" s="10">
        <f ca="1">DATEDIF(HR_Data5[[#This Row],[Joining Date]],TODAY(),"Y")</f>
        <v>6</v>
      </c>
      <c r="M230" s="10" t="str">
        <f>IF(HR_Data5[[#This Row],[Salary]]&lt;55000,"Low",IF(HR_Data5[[#This Row],[Salary]]&lt;=65000,"Medium","High"))</f>
        <v>Low</v>
      </c>
      <c r="N230" s="10">
        <f>YEAR(HR_Data5[[#This Row],[Joining Date]])</f>
        <v>2019</v>
      </c>
      <c r="O230" s="10" cm="1">
        <f t="array" ref="O230">_xlfn.SWITCH(HR_Data5[[#This Row],[Performance Score]],
"A",5,
"B",4,
"C",3,
"D",2,
"F",1)</f>
        <v>5</v>
      </c>
      <c r="P230" s="10"/>
    </row>
    <row r="231" spans="1:16" x14ac:dyDescent="0.3">
      <c r="A231" t="s">
        <v>60</v>
      </c>
      <c r="B231">
        <v>25</v>
      </c>
      <c r="C231" s="6">
        <v>60000</v>
      </c>
      <c r="D231" t="s">
        <v>11</v>
      </c>
      <c r="E231" t="s">
        <v>12</v>
      </c>
      <c r="F231" t="s">
        <v>39</v>
      </c>
      <c r="G231" s="7">
        <v>43881</v>
      </c>
      <c r="H231" t="s">
        <v>41</v>
      </c>
      <c r="I231" t="s">
        <v>69</v>
      </c>
      <c r="J231" t="s">
        <v>23</v>
      </c>
      <c r="K231" t="str">
        <f>IF(HR_Data5[[#This Row],[Age]]&lt;30,"Young",IF(HR_Data5[[#This Row],[Age]]&lt;=45,"Mid-Career","Senior"))</f>
        <v>Young</v>
      </c>
      <c r="L231" s="10">
        <f ca="1">DATEDIF(HR_Data5[[#This Row],[Joining Date]],TODAY(),"Y")</f>
        <v>6</v>
      </c>
      <c r="M231" s="10" t="str">
        <f>IF(HR_Data5[[#This Row],[Salary]]&lt;55000,"Low",IF(HR_Data5[[#This Row],[Salary]]&lt;=65000,"Medium","High"))</f>
        <v>Medium</v>
      </c>
      <c r="N231" s="10">
        <f>YEAR(HR_Data5[[#This Row],[Joining Date]])</f>
        <v>2020</v>
      </c>
      <c r="O231" s="10" cm="1">
        <f t="array" ref="O231">_xlfn.SWITCH(HR_Data5[[#This Row],[Performance Score]],
"A",5,
"B",4,
"C",3,
"D",2,
"F",1)</f>
        <v>4</v>
      </c>
      <c r="P231" s="10"/>
    </row>
    <row r="232" spans="1:16" x14ac:dyDescent="0.3">
      <c r="A232" t="s">
        <v>52</v>
      </c>
      <c r="B232">
        <v>50</v>
      </c>
      <c r="C232" s="6" t="s">
        <v>68</v>
      </c>
      <c r="D232" t="s">
        <v>36</v>
      </c>
      <c r="E232" t="s">
        <v>12</v>
      </c>
      <c r="F232" t="s">
        <v>39</v>
      </c>
      <c r="G232" s="7">
        <v>43549</v>
      </c>
      <c r="H232" t="s">
        <v>27</v>
      </c>
      <c r="I232" t="s">
        <v>69</v>
      </c>
      <c r="J232" t="s">
        <v>69</v>
      </c>
      <c r="K232" t="str">
        <f>IF(HR_Data5[[#This Row],[Age]]&lt;30,"Young",IF(HR_Data5[[#This Row],[Age]]&lt;=45,"Mid-Career","Senior"))</f>
        <v>Senior</v>
      </c>
      <c r="L232" s="10">
        <f ca="1">DATEDIF(HR_Data5[[#This Row],[Joining Date]],TODAY(),"Y")</f>
        <v>6</v>
      </c>
      <c r="M232" s="10" t="str">
        <f>IF(HR_Data5[[#This Row],[Salary]]&lt;55000,"Low",IF(HR_Data5[[#This Row],[Salary]]&lt;=65000,"Medium","High"))</f>
        <v>High</v>
      </c>
      <c r="N232" s="10">
        <f>YEAR(HR_Data5[[#This Row],[Joining Date]])</f>
        <v>2019</v>
      </c>
      <c r="O232" s="10" cm="1">
        <f t="array" ref="O232">_xlfn.SWITCH(HR_Data5[[#This Row],[Performance Score]],
"A",5,
"B",4,
"C",3,
"D",2,
"F",1)</f>
        <v>3</v>
      </c>
      <c r="P232" s="10"/>
    </row>
    <row r="233" spans="1:16" x14ac:dyDescent="0.3">
      <c r="A233" t="s">
        <v>59</v>
      </c>
      <c r="B233">
        <v>35</v>
      </c>
      <c r="C233" s="6">
        <v>50000</v>
      </c>
      <c r="D233" t="s">
        <v>18</v>
      </c>
      <c r="E233" t="s">
        <v>30</v>
      </c>
      <c r="F233" t="s">
        <v>44</v>
      </c>
      <c r="G233" s="7">
        <v>43800</v>
      </c>
      <c r="H233" t="s">
        <v>27</v>
      </c>
      <c r="I233" t="s">
        <v>15</v>
      </c>
      <c r="J233" t="s">
        <v>69</v>
      </c>
      <c r="K233" t="str">
        <f>IF(HR_Data5[[#This Row],[Age]]&lt;30,"Young",IF(HR_Data5[[#This Row],[Age]]&lt;=45,"Mid-Career","Senior"))</f>
        <v>Mid-Career</v>
      </c>
      <c r="L233" s="10">
        <f ca="1">DATEDIF(HR_Data5[[#This Row],[Joining Date]],TODAY(),"Y")</f>
        <v>6</v>
      </c>
      <c r="M233" s="10" t="str">
        <f>IF(HR_Data5[[#This Row],[Salary]]&lt;55000,"Low",IF(HR_Data5[[#This Row],[Salary]]&lt;=65000,"Medium","High"))</f>
        <v>Low</v>
      </c>
      <c r="N233" s="10">
        <f>YEAR(HR_Data5[[#This Row],[Joining Date]])</f>
        <v>2019</v>
      </c>
      <c r="O233" s="10" cm="1">
        <f t="array" ref="O233">_xlfn.SWITCH(HR_Data5[[#This Row],[Performance Score]],
"A",5,
"B",4,
"C",3,
"D",2,
"F",1)</f>
        <v>3</v>
      </c>
      <c r="P233" s="10"/>
    </row>
    <row r="234" spans="1:16" x14ac:dyDescent="0.3">
      <c r="A234" t="s">
        <v>58</v>
      </c>
      <c r="B234">
        <v>30</v>
      </c>
      <c r="C234" s="6">
        <v>65000</v>
      </c>
      <c r="D234" t="s">
        <v>18</v>
      </c>
      <c r="E234" t="s">
        <v>19</v>
      </c>
      <c r="F234" t="s">
        <v>44</v>
      </c>
      <c r="G234" s="7">
        <v>43845</v>
      </c>
      <c r="H234" t="s">
        <v>14</v>
      </c>
      <c r="I234" t="s">
        <v>15</v>
      </c>
      <c r="J234" t="s">
        <v>28</v>
      </c>
      <c r="K234" t="str">
        <f>IF(HR_Data5[[#This Row],[Age]]&lt;30,"Young",IF(HR_Data5[[#This Row],[Age]]&lt;=45,"Mid-Career","Senior"))</f>
        <v>Mid-Career</v>
      </c>
      <c r="L234" s="10">
        <f ca="1">DATEDIF(HR_Data5[[#This Row],[Joining Date]],TODAY(),"Y")</f>
        <v>6</v>
      </c>
      <c r="M234" s="10" t="str">
        <f>IF(HR_Data5[[#This Row],[Salary]]&lt;55000,"Low",IF(HR_Data5[[#This Row],[Salary]]&lt;=65000,"Medium","High"))</f>
        <v>Medium</v>
      </c>
      <c r="N234" s="10">
        <f>YEAR(HR_Data5[[#This Row],[Joining Date]])</f>
        <v>2020</v>
      </c>
      <c r="O234" s="10" cm="1">
        <f t="array" ref="O234">_xlfn.SWITCH(HR_Data5[[#This Row],[Performance Score]],
"A",5,
"B",4,
"C",3,
"D",2,
"F",1)</f>
        <v>2</v>
      </c>
      <c r="P234" s="10"/>
    </row>
    <row r="235" spans="1:16" x14ac:dyDescent="0.3">
      <c r="A235" t="s">
        <v>59</v>
      </c>
      <c r="B235">
        <v>36</v>
      </c>
      <c r="C235" s="6">
        <v>70000</v>
      </c>
      <c r="D235" t="s">
        <v>18</v>
      </c>
      <c r="E235" t="s">
        <v>12</v>
      </c>
      <c r="F235" t="s">
        <v>13</v>
      </c>
      <c r="G235" s="7">
        <v>43881</v>
      </c>
      <c r="H235" t="s">
        <v>41</v>
      </c>
      <c r="I235" t="s">
        <v>32</v>
      </c>
      <c r="J235" t="s">
        <v>23</v>
      </c>
      <c r="K235" t="str">
        <f>IF(HR_Data5[[#This Row],[Age]]&lt;30,"Young",IF(HR_Data5[[#This Row],[Age]]&lt;=45,"Mid-Career","Senior"))</f>
        <v>Mid-Career</v>
      </c>
      <c r="L235" s="10">
        <f ca="1">DATEDIF(HR_Data5[[#This Row],[Joining Date]],TODAY(),"Y")</f>
        <v>6</v>
      </c>
      <c r="M235" s="10" t="str">
        <f>IF(HR_Data5[[#This Row],[Salary]]&lt;55000,"Low",IF(HR_Data5[[#This Row],[Salary]]&lt;=65000,"Medium","High"))</f>
        <v>High</v>
      </c>
      <c r="N235" s="10">
        <f>YEAR(HR_Data5[[#This Row],[Joining Date]])</f>
        <v>2020</v>
      </c>
      <c r="O235" s="10" cm="1">
        <f t="array" ref="O235">_xlfn.SWITCH(HR_Data5[[#This Row],[Performance Score]],
"A",5,
"B",4,
"C",3,
"D",2,
"F",1)</f>
        <v>4</v>
      </c>
      <c r="P235" s="10"/>
    </row>
    <row r="236" spans="1:16" x14ac:dyDescent="0.3">
      <c r="A236" t="s">
        <v>54</v>
      </c>
      <c r="B236">
        <v>40</v>
      </c>
      <c r="C236" s="6">
        <v>50000</v>
      </c>
      <c r="D236" t="s">
        <v>36</v>
      </c>
      <c r="E236" t="s">
        <v>26</v>
      </c>
      <c r="F236" t="s">
        <v>43</v>
      </c>
      <c r="G236" s="7">
        <v>43195</v>
      </c>
      <c r="H236" t="s">
        <v>27</v>
      </c>
      <c r="I236" t="s">
        <v>32</v>
      </c>
      <c r="J236" t="s">
        <v>69</v>
      </c>
      <c r="K236" t="str">
        <f>IF(HR_Data5[[#This Row],[Age]]&lt;30,"Young",IF(HR_Data5[[#This Row],[Age]]&lt;=45,"Mid-Career","Senior"))</f>
        <v>Mid-Career</v>
      </c>
      <c r="L236" s="10">
        <f ca="1">DATEDIF(HR_Data5[[#This Row],[Joining Date]],TODAY(),"Y")</f>
        <v>7</v>
      </c>
      <c r="M236" s="10" t="str">
        <f>IF(HR_Data5[[#This Row],[Salary]]&lt;55000,"Low",IF(HR_Data5[[#This Row],[Salary]]&lt;=65000,"Medium","High"))</f>
        <v>Low</v>
      </c>
      <c r="N236" s="10">
        <f>YEAR(HR_Data5[[#This Row],[Joining Date]])</f>
        <v>2018</v>
      </c>
      <c r="O236" s="10" cm="1">
        <f t="array" ref="O236">_xlfn.SWITCH(HR_Data5[[#This Row],[Performance Score]],
"A",5,
"B",4,
"C",3,
"D",2,
"F",1)</f>
        <v>3</v>
      </c>
      <c r="P236" s="10"/>
    </row>
    <row r="237" spans="1:16" x14ac:dyDescent="0.3">
      <c r="A237" t="s">
        <v>54</v>
      </c>
      <c r="B237">
        <v>25</v>
      </c>
      <c r="C237" s="6">
        <v>65000</v>
      </c>
      <c r="D237" t="s">
        <v>36</v>
      </c>
      <c r="E237" t="s">
        <v>12</v>
      </c>
      <c r="F237" t="s">
        <v>13</v>
      </c>
      <c r="G237" s="7">
        <v>43195</v>
      </c>
      <c r="H237" t="s">
        <v>14</v>
      </c>
      <c r="I237" t="s">
        <v>69</v>
      </c>
      <c r="J237" t="s">
        <v>45</v>
      </c>
      <c r="K237" t="str">
        <f>IF(HR_Data5[[#This Row],[Age]]&lt;30,"Young",IF(HR_Data5[[#This Row],[Age]]&lt;=45,"Mid-Career","Senior"))</f>
        <v>Young</v>
      </c>
      <c r="L237" s="10">
        <f ca="1">DATEDIF(HR_Data5[[#This Row],[Joining Date]],TODAY(),"Y")</f>
        <v>7</v>
      </c>
      <c r="M237" s="10" t="str">
        <f>IF(HR_Data5[[#This Row],[Salary]]&lt;55000,"Low",IF(HR_Data5[[#This Row],[Salary]]&lt;=65000,"Medium","High"))</f>
        <v>Medium</v>
      </c>
      <c r="N237" s="10">
        <f>YEAR(HR_Data5[[#This Row],[Joining Date]])</f>
        <v>2018</v>
      </c>
      <c r="O237" s="10" cm="1">
        <f t="array" ref="O237">_xlfn.SWITCH(HR_Data5[[#This Row],[Performance Score]],
"A",5,
"B",4,
"C",3,
"D",2,
"F",1)</f>
        <v>2</v>
      </c>
      <c r="P237" s="10"/>
    </row>
    <row r="238" spans="1:16" x14ac:dyDescent="0.3">
      <c r="A238" t="s">
        <v>51</v>
      </c>
      <c r="B238">
        <v>40</v>
      </c>
      <c r="C238" s="6">
        <v>55000</v>
      </c>
      <c r="D238" t="s">
        <v>11</v>
      </c>
      <c r="E238" t="s">
        <v>26</v>
      </c>
      <c r="F238" t="s">
        <v>39</v>
      </c>
      <c r="G238" s="7">
        <v>43845</v>
      </c>
      <c r="H238" t="s">
        <v>41</v>
      </c>
      <c r="I238" t="s">
        <v>69</v>
      </c>
      <c r="J238" t="s">
        <v>69</v>
      </c>
      <c r="K238" t="str">
        <f>IF(HR_Data5[[#This Row],[Age]]&lt;30,"Young",IF(HR_Data5[[#This Row],[Age]]&lt;=45,"Mid-Career","Senior"))</f>
        <v>Mid-Career</v>
      </c>
      <c r="L238" s="10">
        <f ca="1">DATEDIF(HR_Data5[[#This Row],[Joining Date]],TODAY(),"Y")</f>
        <v>6</v>
      </c>
      <c r="M238" s="10" t="str">
        <f>IF(HR_Data5[[#This Row],[Salary]]&lt;55000,"Low",IF(HR_Data5[[#This Row],[Salary]]&lt;=65000,"Medium","High"))</f>
        <v>Medium</v>
      </c>
      <c r="N238" s="10">
        <f>YEAR(HR_Data5[[#This Row],[Joining Date]])</f>
        <v>2020</v>
      </c>
      <c r="O238" s="10" cm="1">
        <f t="array" ref="O238">_xlfn.SWITCH(HR_Data5[[#This Row],[Performance Score]],
"A",5,
"B",4,
"C",3,
"D",2,
"F",1)</f>
        <v>4</v>
      </c>
      <c r="P238" s="10"/>
    </row>
    <row r="239" spans="1:16" x14ac:dyDescent="0.3">
      <c r="A239" t="s">
        <v>60</v>
      </c>
      <c r="B239">
        <v>30</v>
      </c>
      <c r="C239" s="6">
        <v>65000</v>
      </c>
      <c r="D239" t="s">
        <v>11</v>
      </c>
      <c r="E239" t="s">
        <v>37</v>
      </c>
      <c r="F239" t="s">
        <v>20</v>
      </c>
      <c r="G239" s="7">
        <v>43800</v>
      </c>
      <c r="H239" t="s">
        <v>27</v>
      </c>
      <c r="I239" t="s">
        <v>22</v>
      </c>
      <c r="J239" t="s">
        <v>23</v>
      </c>
      <c r="K239" t="str">
        <f>IF(HR_Data5[[#This Row],[Age]]&lt;30,"Young",IF(HR_Data5[[#This Row],[Age]]&lt;=45,"Mid-Career","Senior"))</f>
        <v>Mid-Career</v>
      </c>
      <c r="L239" s="10">
        <f ca="1">DATEDIF(HR_Data5[[#This Row],[Joining Date]],TODAY(),"Y")</f>
        <v>6</v>
      </c>
      <c r="M239" s="10" t="str">
        <f>IF(HR_Data5[[#This Row],[Salary]]&lt;55000,"Low",IF(HR_Data5[[#This Row],[Salary]]&lt;=65000,"Medium","High"))</f>
        <v>Medium</v>
      </c>
      <c r="N239" s="10">
        <f>YEAR(HR_Data5[[#This Row],[Joining Date]])</f>
        <v>2019</v>
      </c>
      <c r="O239" s="10" cm="1">
        <f t="array" ref="O239">_xlfn.SWITCH(HR_Data5[[#This Row],[Performance Score]],
"A",5,
"B",4,
"C",3,
"D",2,
"F",1)</f>
        <v>3</v>
      </c>
      <c r="P239" s="10"/>
    </row>
    <row r="240" spans="1:16" x14ac:dyDescent="0.3">
      <c r="A240" t="s">
        <v>60</v>
      </c>
      <c r="B240">
        <v>40</v>
      </c>
      <c r="C240" s="6">
        <v>70000</v>
      </c>
      <c r="D240" t="s">
        <v>36</v>
      </c>
      <c r="E240" t="s">
        <v>37</v>
      </c>
      <c r="F240" t="s">
        <v>20</v>
      </c>
      <c r="G240" s="7">
        <v>43881</v>
      </c>
      <c r="H240" t="s">
        <v>31</v>
      </c>
      <c r="I240" t="s">
        <v>22</v>
      </c>
      <c r="J240" t="s">
        <v>69</v>
      </c>
      <c r="K240" t="str">
        <f>IF(HR_Data5[[#This Row],[Age]]&lt;30,"Young",IF(HR_Data5[[#This Row],[Age]]&lt;=45,"Mid-Career","Senior"))</f>
        <v>Mid-Career</v>
      </c>
      <c r="L240" s="10">
        <f ca="1">DATEDIF(HR_Data5[[#This Row],[Joining Date]],TODAY(),"Y")</f>
        <v>6</v>
      </c>
      <c r="M240" s="10" t="str">
        <f>IF(HR_Data5[[#This Row],[Salary]]&lt;55000,"Low",IF(HR_Data5[[#This Row],[Salary]]&lt;=65000,"Medium","High"))</f>
        <v>High</v>
      </c>
      <c r="N240" s="10">
        <f>YEAR(HR_Data5[[#This Row],[Joining Date]])</f>
        <v>2020</v>
      </c>
      <c r="O240" s="10" cm="1">
        <f t="array" ref="O240">_xlfn.SWITCH(HR_Data5[[#This Row],[Performance Score]],
"A",5,
"B",4,
"C",3,
"D",2,
"F",1)</f>
        <v>5</v>
      </c>
      <c r="P240" s="10"/>
    </row>
    <row r="241" spans="1:16" x14ac:dyDescent="0.3">
      <c r="A241" t="s">
        <v>56</v>
      </c>
      <c r="B241">
        <v>25</v>
      </c>
      <c r="C241" s="6">
        <v>65000</v>
      </c>
      <c r="D241" t="s">
        <v>18</v>
      </c>
      <c r="E241" t="s">
        <v>26</v>
      </c>
      <c r="F241" t="s">
        <v>44</v>
      </c>
      <c r="G241" s="7">
        <v>43845</v>
      </c>
      <c r="H241" t="s">
        <v>21</v>
      </c>
      <c r="I241" t="s">
        <v>15</v>
      </c>
      <c r="J241" t="s">
        <v>23</v>
      </c>
      <c r="K241" t="str">
        <f>IF(HR_Data5[[#This Row],[Age]]&lt;30,"Young",IF(HR_Data5[[#This Row],[Age]]&lt;=45,"Mid-Career","Senior"))</f>
        <v>Young</v>
      </c>
      <c r="L241" s="10">
        <f ca="1">DATEDIF(HR_Data5[[#This Row],[Joining Date]],TODAY(),"Y")</f>
        <v>6</v>
      </c>
      <c r="M241" s="10" t="str">
        <f>IF(HR_Data5[[#This Row],[Salary]]&lt;55000,"Low",IF(HR_Data5[[#This Row],[Salary]]&lt;=65000,"Medium","High"))</f>
        <v>Medium</v>
      </c>
      <c r="N241" s="10">
        <f>YEAR(HR_Data5[[#This Row],[Joining Date]])</f>
        <v>2020</v>
      </c>
      <c r="O241" s="10" cm="1">
        <f t="array" ref="O241">_xlfn.SWITCH(HR_Data5[[#This Row],[Performance Score]],
"A",5,
"B",4,
"C",3,
"D",2,
"F",1)</f>
        <v>1</v>
      </c>
      <c r="P241" s="10"/>
    </row>
    <row r="242" spans="1:16" x14ac:dyDescent="0.3">
      <c r="A242" t="s">
        <v>56</v>
      </c>
      <c r="B242">
        <v>30</v>
      </c>
      <c r="C242" s="6">
        <v>60000</v>
      </c>
      <c r="D242" t="s">
        <v>18</v>
      </c>
      <c r="E242" t="s">
        <v>19</v>
      </c>
      <c r="F242" t="s">
        <v>20</v>
      </c>
      <c r="G242" s="7">
        <v>43800</v>
      </c>
      <c r="H242" t="s">
        <v>41</v>
      </c>
      <c r="I242" t="s">
        <v>32</v>
      </c>
      <c r="J242" t="s">
        <v>45</v>
      </c>
      <c r="K242" t="str">
        <f>IF(HR_Data5[[#This Row],[Age]]&lt;30,"Young",IF(HR_Data5[[#This Row],[Age]]&lt;=45,"Mid-Career","Senior"))</f>
        <v>Mid-Career</v>
      </c>
      <c r="L242" s="10">
        <f ca="1">DATEDIF(HR_Data5[[#This Row],[Joining Date]],TODAY(),"Y")</f>
        <v>6</v>
      </c>
      <c r="M242" s="10" t="str">
        <f>IF(HR_Data5[[#This Row],[Salary]]&lt;55000,"Low",IF(HR_Data5[[#This Row],[Salary]]&lt;=65000,"Medium","High"))</f>
        <v>Medium</v>
      </c>
      <c r="N242" s="10">
        <f>YEAR(HR_Data5[[#This Row],[Joining Date]])</f>
        <v>2019</v>
      </c>
      <c r="O242" s="10" cm="1">
        <f t="array" ref="O242">_xlfn.SWITCH(HR_Data5[[#This Row],[Performance Score]],
"A",5,
"B",4,
"C",3,
"D",2,
"F",1)</f>
        <v>4</v>
      </c>
      <c r="P242" s="10"/>
    </row>
    <row r="243" spans="1:16" x14ac:dyDescent="0.3">
      <c r="A243" t="s">
        <v>56</v>
      </c>
      <c r="B243">
        <v>40</v>
      </c>
      <c r="C243" s="6">
        <v>70000</v>
      </c>
      <c r="D243" t="s">
        <v>18</v>
      </c>
      <c r="E243" t="s">
        <v>12</v>
      </c>
      <c r="F243" t="s">
        <v>20</v>
      </c>
      <c r="G243" s="7">
        <v>43881</v>
      </c>
      <c r="H243" t="s">
        <v>14</v>
      </c>
      <c r="I243" t="s">
        <v>15</v>
      </c>
      <c r="J243" t="s">
        <v>28</v>
      </c>
      <c r="K243" t="str">
        <f>IF(HR_Data5[[#This Row],[Age]]&lt;30,"Young",IF(HR_Data5[[#This Row],[Age]]&lt;=45,"Mid-Career","Senior"))</f>
        <v>Mid-Career</v>
      </c>
      <c r="L243" s="10">
        <f ca="1">DATEDIF(HR_Data5[[#This Row],[Joining Date]],TODAY(),"Y")</f>
        <v>6</v>
      </c>
      <c r="M243" s="10" t="str">
        <f>IF(HR_Data5[[#This Row],[Salary]]&lt;55000,"Low",IF(HR_Data5[[#This Row],[Salary]]&lt;=65000,"Medium","High"))</f>
        <v>High</v>
      </c>
      <c r="N243" s="10">
        <f>YEAR(HR_Data5[[#This Row],[Joining Date]])</f>
        <v>2020</v>
      </c>
      <c r="O243" s="10" cm="1">
        <f t="array" ref="O243">_xlfn.SWITCH(HR_Data5[[#This Row],[Performance Score]],
"A",5,
"B",4,
"C",3,
"D",2,
"F",1)</f>
        <v>2</v>
      </c>
      <c r="P243" s="10"/>
    </row>
    <row r="244" spans="1:16" x14ac:dyDescent="0.3">
      <c r="A244" t="s">
        <v>52</v>
      </c>
      <c r="B244">
        <v>36</v>
      </c>
      <c r="C244" s="6" t="s">
        <v>68</v>
      </c>
      <c r="D244" t="s">
        <v>11</v>
      </c>
      <c r="E244" t="s">
        <v>12</v>
      </c>
      <c r="F244" t="s">
        <v>20</v>
      </c>
      <c r="G244" s="7">
        <v>43195</v>
      </c>
      <c r="H244" t="s">
        <v>41</v>
      </c>
      <c r="I244" t="s">
        <v>15</v>
      </c>
      <c r="J244" t="s">
        <v>69</v>
      </c>
      <c r="K244" t="str">
        <f>IF(HR_Data5[[#This Row],[Age]]&lt;30,"Young",IF(HR_Data5[[#This Row],[Age]]&lt;=45,"Mid-Career","Senior"))</f>
        <v>Mid-Career</v>
      </c>
      <c r="L244" s="10">
        <f ca="1">DATEDIF(HR_Data5[[#This Row],[Joining Date]],TODAY(),"Y")</f>
        <v>7</v>
      </c>
      <c r="M244" s="10" t="str">
        <f>IF(HR_Data5[[#This Row],[Salary]]&lt;55000,"Low",IF(HR_Data5[[#This Row],[Salary]]&lt;=65000,"Medium","High"))</f>
        <v>High</v>
      </c>
      <c r="N244" s="10">
        <f>YEAR(HR_Data5[[#This Row],[Joining Date]])</f>
        <v>2018</v>
      </c>
      <c r="O244" s="10" cm="1">
        <f t="array" ref="O244">_xlfn.SWITCH(HR_Data5[[#This Row],[Performance Score]],
"A",5,
"B",4,
"C",3,
"D",2,
"F",1)</f>
        <v>4</v>
      </c>
      <c r="P244" s="10"/>
    </row>
    <row r="245" spans="1:16" x14ac:dyDescent="0.3">
      <c r="A245" t="s">
        <v>53</v>
      </c>
      <c r="B245">
        <v>50</v>
      </c>
      <c r="C245" s="6">
        <v>55000</v>
      </c>
      <c r="D245" t="s">
        <v>18</v>
      </c>
      <c r="E245" t="s">
        <v>37</v>
      </c>
      <c r="F245" t="s">
        <v>39</v>
      </c>
      <c r="G245" s="7">
        <v>43881</v>
      </c>
      <c r="H245" t="s">
        <v>14</v>
      </c>
      <c r="I245" t="s">
        <v>32</v>
      </c>
      <c r="J245" t="s">
        <v>23</v>
      </c>
      <c r="K245" t="str">
        <f>IF(HR_Data5[[#This Row],[Age]]&lt;30,"Young",IF(HR_Data5[[#This Row],[Age]]&lt;=45,"Mid-Career","Senior"))</f>
        <v>Senior</v>
      </c>
      <c r="L245" s="10">
        <f ca="1">DATEDIF(HR_Data5[[#This Row],[Joining Date]],TODAY(),"Y")</f>
        <v>6</v>
      </c>
      <c r="M245" s="10" t="str">
        <f>IF(HR_Data5[[#This Row],[Salary]]&lt;55000,"Low",IF(HR_Data5[[#This Row],[Salary]]&lt;=65000,"Medium","High"))</f>
        <v>Medium</v>
      </c>
      <c r="N245" s="10">
        <f>YEAR(HR_Data5[[#This Row],[Joining Date]])</f>
        <v>2020</v>
      </c>
      <c r="O245" s="10" cm="1">
        <f t="array" ref="O245">_xlfn.SWITCH(HR_Data5[[#This Row],[Performance Score]],
"A",5,
"B",4,
"C",3,
"D",2,
"F",1)</f>
        <v>2</v>
      </c>
      <c r="P245" s="10"/>
    </row>
    <row r="246" spans="1:16" x14ac:dyDescent="0.3">
      <c r="A246" t="s">
        <v>57</v>
      </c>
      <c r="B246">
        <v>30</v>
      </c>
      <c r="C246" s="6">
        <v>60000</v>
      </c>
      <c r="D246" t="s">
        <v>11</v>
      </c>
      <c r="E246" t="s">
        <v>26</v>
      </c>
      <c r="F246" t="s">
        <v>20</v>
      </c>
      <c r="G246" s="7">
        <v>43549</v>
      </c>
      <c r="H246" t="s">
        <v>41</v>
      </c>
      <c r="I246" t="s">
        <v>22</v>
      </c>
      <c r="J246" t="s">
        <v>23</v>
      </c>
      <c r="K246" t="str">
        <f>IF(HR_Data5[[#This Row],[Age]]&lt;30,"Young",IF(HR_Data5[[#This Row],[Age]]&lt;=45,"Mid-Career","Senior"))</f>
        <v>Mid-Career</v>
      </c>
      <c r="L246" s="10">
        <f ca="1">DATEDIF(HR_Data5[[#This Row],[Joining Date]],TODAY(),"Y")</f>
        <v>6</v>
      </c>
      <c r="M246" s="10" t="str">
        <f>IF(HR_Data5[[#This Row],[Salary]]&lt;55000,"Low",IF(HR_Data5[[#This Row],[Salary]]&lt;=65000,"Medium","High"))</f>
        <v>Medium</v>
      </c>
      <c r="N246" s="10">
        <f>YEAR(HR_Data5[[#This Row],[Joining Date]])</f>
        <v>2019</v>
      </c>
      <c r="O246" s="10" cm="1">
        <f t="array" ref="O246">_xlfn.SWITCH(HR_Data5[[#This Row],[Performance Score]],
"A",5,
"B",4,
"C",3,
"D",2,
"F",1)</f>
        <v>4</v>
      </c>
      <c r="P246" s="10"/>
    </row>
    <row r="247" spans="1:16" x14ac:dyDescent="0.3">
      <c r="A247" t="s">
        <v>53</v>
      </c>
      <c r="B247">
        <v>50</v>
      </c>
      <c r="C247" s="6" t="s">
        <v>68</v>
      </c>
      <c r="D247" t="s">
        <v>11</v>
      </c>
      <c r="E247" t="s">
        <v>12</v>
      </c>
      <c r="F247" t="s">
        <v>20</v>
      </c>
      <c r="G247" s="7">
        <v>43881</v>
      </c>
      <c r="H247" t="s">
        <v>14</v>
      </c>
      <c r="I247" t="s">
        <v>32</v>
      </c>
      <c r="J247" t="s">
        <v>23</v>
      </c>
      <c r="K247" t="str">
        <f>IF(HR_Data5[[#This Row],[Age]]&lt;30,"Young",IF(HR_Data5[[#This Row],[Age]]&lt;=45,"Mid-Career","Senior"))</f>
        <v>Senior</v>
      </c>
      <c r="L247" s="10">
        <f ca="1">DATEDIF(HR_Data5[[#This Row],[Joining Date]],TODAY(),"Y")</f>
        <v>6</v>
      </c>
      <c r="M247" s="10" t="str">
        <f>IF(HR_Data5[[#This Row],[Salary]]&lt;55000,"Low",IF(HR_Data5[[#This Row],[Salary]]&lt;=65000,"Medium","High"))</f>
        <v>High</v>
      </c>
      <c r="N247" s="10">
        <f>YEAR(HR_Data5[[#This Row],[Joining Date]])</f>
        <v>2020</v>
      </c>
      <c r="O247" s="10" cm="1">
        <f t="array" ref="O247">_xlfn.SWITCH(HR_Data5[[#This Row],[Performance Score]],
"A",5,
"B",4,
"C",3,
"D",2,
"F",1)</f>
        <v>2</v>
      </c>
      <c r="P247" s="10"/>
    </row>
    <row r="248" spans="1:16" x14ac:dyDescent="0.3">
      <c r="A248" t="s">
        <v>59</v>
      </c>
      <c r="B248">
        <v>30</v>
      </c>
      <c r="C248" s="6">
        <v>65000</v>
      </c>
      <c r="D248" t="s">
        <v>18</v>
      </c>
      <c r="E248" t="s">
        <v>12</v>
      </c>
      <c r="F248" t="s">
        <v>20</v>
      </c>
      <c r="G248" s="7">
        <v>43549</v>
      </c>
      <c r="H248" t="s">
        <v>27</v>
      </c>
      <c r="I248" t="s">
        <v>69</v>
      </c>
      <c r="J248" t="s">
        <v>28</v>
      </c>
      <c r="K248" t="str">
        <f>IF(HR_Data5[[#This Row],[Age]]&lt;30,"Young",IF(HR_Data5[[#This Row],[Age]]&lt;=45,"Mid-Career","Senior"))</f>
        <v>Mid-Career</v>
      </c>
      <c r="L248" s="10">
        <f ca="1">DATEDIF(HR_Data5[[#This Row],[Joining Date]],TODAY(),"Y")</f>
        <v>6</v>
      </c>
      <c r="M248" s="10" t="str">
        <f>IF(HR_Data5[[#This Row],[Salary]]&lt;55000,"Low",IF(HR_Data5[[#This Row],[Salary]]&lt;=65000,"Medium","High"))</f>
        <v>Medium</v>
      </c>
      <c r="N248" s="10">
        <f>YEAR(HR_Data5[[#This Row],[Joining Date]])</f>
        <v>2019</v>
      </c>
      <c r="O248" s="10" cm="1">
        <f t="array" ref="O248">_xlfn.SWITCH(HR_Data5[[#This Row],[Performance Score]],
"A",5,
"B",4,
"C",3,
"D",2,
"F",1)</f>
        <v>3</v>
      </c>
      <c r="P248" s="10"/>
    </row>
    <row r="249" spans="1:16" x14ac:dyDescent="0.3">
      <c r="A249" t="s">
        <v>53</v>
      </c>
      <c r="B249">
        <v>36</v>
      </c>
      <c r="C249" s="6">
        <v>70000</v>
      </c>
      <c r="D249" t="s">
        <v>18</v>
      </c>
      <c r="E249" t="s">
        <v>19</v>
      </c>
      <c r="F249" t="s">
        <v>13</v>
      </c>
      <c r="G249" s="7">
        <v>43881</v>
      </c>
      <c r="H249" t="s">
        <v>31</v>
      </c>
      <c r="I249" t="s">
        <v>69</v>
      </c>
      <c r="J249" t="s">
        <v>23</v>
      </c>
      <c r="K249" t="str">
        <f>IF(HR_Data5[[#This Row],[Age]]&lt;30,"Young",IF(HR_Data5[[#This Row],[Age]]&lt;=45,"Mid-Career","Senior"))</f>
        <v>Mid-Career</v>
      </c>
      <c r="L249" s="10">
        <f ca="1">DATEDIF(HR_Data5[[#This Row],[Joining Date]],TODAY(),"Y")</f>
        <v>6</v>
      </c>
      <c r="M249" s="10" t="str">
        <f>IF(HR_Data5[[#This Row],[Salary]]&lt;55000,"Low",IF(HR_Data5[[#This Row],[Salary]]&lt;=65000,"Medium","High"))</f>
        <v>High</v>
      </c>
      <c r="N249" s="10">
        <f>YEAR(HR_Data5[[#This Row],[Joining Date]])</f>
        <v>2020</v>
      </c>
      <c r="O249" s="10" cm="1">
        <f t="array" ref="O249">_xlfn.SWITCH(HR_Data5[[#This Row],[Performance Score]],
"A",5,
"B",4,
"C",3,
"D",2,
"F",1)</f>
        <v>5</v>
      </c>
      <c r="P249" s="10"/>
    </row>
    <row r="250" spans="1:16" x14ac:dyDescent="0.3">
      <c r="A250" t="s">
        <v>52</v>
      </c>
      <c r="B250">
        <v>50</v>
      </c>
      <c r="C250" s="6">
        <v>55000</v>
      </c>
      <c r="D250" t="s">
        <v>36</v>
      </c>
      <c r="E250" t="s">
        <v>30</v>
      </c>
      <c r="F250" t="s">
        <v>39</v>
      </c>
      <c r="G250" s="7">
        <v>43549</v>
      </c>
      <c r="H250" t="s">
        <v>27</v>
      </c>
      <c r="I250" t="s">
        <v>69</v>
      </c>
      <c r="J250" t="s">
        <v>69</v>
      </c>
      <c r="K250" t="str">
        <f>IF(HR_Data5[[#This Row],[Age]]&lt;30,"Young",IF(HR_Data5[[#This Row],[Age]]&lt;=45,"Mid-Career","Senior"))</f>
        <v>Senior</v>
      </c>
      <c r="L250" s="10">
        <f ca="1">DATEDIF(HR_Data5[[#This Row],[Joining Date]],TODAY(),"Y")</f>
        <v>6</v>
      </c>
      <c r="M250" s="10" t="str">
        <f>IF(HR_Data5[[#This Row],[Salary]]&lt;55000,"Low",IF(HR_Data5[[#This Row],[Salary]]&lt;=65000,"Medium","High"))</f>
        <v>Medium</v>
      </c>
      <c r="N250" s="10">
        <f>YEAR(HR_Data5[[#This Row],[Joining Date]])</f>
        <v>2019</v>
      </c>
      <c r="O250" s="10" cm="1">
        <f t="array" ref="O250">_xlfn.SWITCH(HR_Data5[[#This Row],[Performance Score]],
"A",5,
"B",4,
"C",3,
"D",2,
"F",1)</f>
        <v>3</v>
      </c>
      <c r="P250" s="10"/>
    </row>
    <row r="251" spans="1:16" x14ac:dyDescent="0.3">
      <c r="A251" t="s">
        <v>59</v>
      </c>
      <c r="B251">
        <v>35</v>
      </c>
      <c r="C251" s="6">
        <v>60000</v>
      </c>
      <c r="D251" t="s">
        <v>36</v>
      </c>
      <c r="E251" t="s">
        <v>37</v>
      </c>
      <c r="F251" t="s">
        <v>44</v>
      </c>
      <c r="G251" s="7">
        <v>43195</v>
      </c>
      <c r="H251" t="s">
        <v>31</v>
      </c>
      <c r="I251" t="s">
        <v>69</v>
      </c>
      <c r="J251" t="s">
        <v>69</v>
      </c>
      <c r="K251" t="str">
        <f>IF(HR_Data5[[#This Row],[Age]]&lt;30,"Young",IF(HR_Data5[[#This Row],[Age]]&lt;=45,"Mid-Career","Senior"))</f>
        <v>Mid-Career</v>
      </c>
      <c r="L251" s="10">
        <f ca="1">DATEDIF(HR_Data5[[#This Row],[Joining Date]],TODAY(),"Y")</f>
        <v>7</v>
      </c>
      <c r="M251" s="10" t="str">
        <f>IF(HR_Data5[[#This Row],[Salary]]&lt;55000,"Low",IF(HR_Data5[[#This Row],[Salary]]&lt;=65000,"Medium","High"))</f>
        <v>Medium</v>
      </c>
      <c r="N251" s="10">
        <f>YEAR(HR_Data5[[#This Row],[Joining Date]])</f>
        <v>2018</v>
      </c>
      <c r="O251" s="10" cm="1">
        <f t="array" ref="O251">_xlfn.SWITCH(HR_Data5[[#This Row],[Performance Score]],
"A",5,
"B",4,
"C",3,
"D",2,
"F",1)</f>
        <v>5</v>
      </c>
      <c r="P251" s="10"/>
    </row>
    <row r="252" spans="1:16" x14ac:dyDescent="0.3">
      <c r="A252" t="s">
        <v>53</v>
      </c>
      <c r="B252">
        <v>25</v>
      </c>
      <c r="C252" s="6" t="s">
        <v>68</v>
      </c>
      <c r="D252" t="s">
        <v>18</v>
      </c>
      <c r="E252" t="s">
        <v>37</v>
      </c>
      <c r="F252" t="s">
        <v>13</v>
      </c>
      <c r="G252" s="7">
        <v>43800</v>
      </c>
      <c r="H252" t="s">
        <v>27</v>
      </c>
      <c r="I252" t="s">
        <v>22</v>
      </c>
      <c r="J252" t="s">
        <v>23</v>
      </c>
      <c r="K252" t="str">
        <f>IF(HR_Data5[[#This Row],[Age]]&lt;30,"Young",IF(HR_Data5[[#This Row],[Age]]&lt;=45,"Mid-Career","Senior"))</f>
        <v>Young</v>
      </c>
      <c r="L252" s="10">
        <f ca="1">DATEDIF(HR_Data5[[#This Row],[Joining Date]],TODAY(),"Y")</f>
        <v>6</v>
      </c>
      <c r="M252" s="10" t="str">
        <f>IF(HR_Data5[[#This Row],[Salary]]&lt;55000,"Low",IF(HR_Data5[[#This Row],[Salary]]&lt;=65000,"Medium","High"))</f>
        <v>High</v>
      </c>
      <c r="N252" s="10">
        <f>YEAR(HR_Data5[[#This Row],[Joining Date]])</f>
        <v>2019</v>
      </c>
      <c r="O252" s="10" cm="1">
        <f t="array" ref="O252">_xlfn.SWITCH(HR_Data5[[#This Row],[Performance Score]],
"A",5,
"B",4,
"C",3,
"D",2,
"F",1)</f>
        <v>3</v>
      </c>
      <c r="P252" s="10"/>
    </row>
    <row r="253" spans="1:16" x14ac:dyDescent="0.3">
      <c r="A253" t="s">
        <v>52</v>
      </c>
      <c r="B253">
        <v>35</v>
      </c>
      <c r="C253" s="6" t="s">
        <v>68</v>
      </c>
      <c r="D253" t="s">
        <v>11</v>
      </c>
      <c r="E253" t="s">
        <v>30</v>
      </c>
      <c r="F253" t="s">
        <v>43</v>
      </c>
      <c r="G253" s="7">
        <v>43549</v>
      </c>
      <c r="H253" t="s">
        <v>27</v>
      </c>
      <c r="I253" t="s">
        <v>22</v>
      </c>
      <c r="J253" t="s">
        <v>69</v>
      </c>
      <c r="K253" t="str">
        <f>IF(HR_Data5[[#This Row],[Age]]&lt;30,"Young",IF(HR_Data5[[#This Row],[Age]]&lt;=45,"Mid-Career","Senior"))</f>
        <v>Mid-Career</v>
      </c>
      <c r="L253" s="10">
        <f ca="1">DATEDIF(HR_Data5[[#This Row],[Joining Date]],TODAY(),"Y")</f>
        <v>6</v>
      </c>
      <c r="M253" s="10" t="str">
        <f>IF(HR_Data5[[#This Row],[Salary]]&lt;55000,"Low",IF(HR_Data5[[#This Row],[Salary]]&lt;=65000,"Medium","High"))</f>
        <v>High</v>
      </c>
      <c r="N253" s="10">
        <f>YEAR(HR_Data5[[#This Row],[Joining Date]])</f>
        <v>2019</v>
      </c>
      <c r="O253" s="10" cm="1">
        <f t="array" ref="O253">_xlfn.SWITCH(HR_Data5[[#This Row],[Performance Score]],
"A",5,
"B",4,
"C",3,
"D",2,
"F",1)</f>
        <v>3</v>
      </c>
      <c r="P253" s="10"/>
    </row>
    <row r="254" spans="1:16" x14ac:dyDescent="0.3">
      <c r="A254" t="s">
        <v>57</v>
      </c>
      <c r="B254">
        <v>40</v>
      </c>
      <c r="C254" s="6">
        <v>55000</v>
      </c>
      <c r="D254" t="s">
        <v>11</v>
      </c>
      <c r="E254" t="s">
        <v>12</v>
      </c>
      <c r="F254" t="s">
        <v>39</v>
      </c>
      <c r="G254" s="7">
        <v>43549</v>
      </c>
      <c r="H254" t="s">
        <v>41</v>
      </c>
      <c r="I254" t="s">
        <v>69</v>
      </c>
      <c r="J254" t="s">
        <v>69</v>
      </c>
      <c r="K254" t="str">
        <f>IF(HR_Data5[[#This Row],[Age]]&lt;30,"Young",IF(HR_Data5[[#This Row],[Age]]&lt;=45,"Mid-Career","Senior"))</f>
        <v>Mid-Career</v>
      </c>
      <c r="L254" s="10">
        <f ca="1">DATEDIF(HR_Data5[[#This Row],[Joining Date]],TODAY(),"Y")</f>
        <v>6</v>
      </c>
      <c r="M254" s="10" t="str">
        <f>IF(HR_Data5[[#This Row],[Salary]]&lt;55000,"Low",IF(HR_Data5[[#This Row],[Salary]]&lt;=65000,"Medium","High"))</f>
        <v>Medium</v>
      </c>
      <c r="N254" s="10">
        <f>YEAR(HR_Data5[[#This Row],[Joining Date]])</f>
        <v>2019</v>
      </c>
      <c r="O254" s="10" cm="1">
        <f t="array" ref="O254">_xlfn.SWITCH(HR_Data5[[#This Row],[Performance Score]],
"A",5,
"B",4,
"C",3,
"D",2,
"F",1)</f>
        <v>4</v>
      </c>
      <c r="P254" s="10"/>
    </row>
    <row r="255" spans="1:16" x14ac:dyDescent="0.3">
      <c r="A255" t="s">
        <v>53</v>
      </c>
      <c r="B255">
        <v>36</v>
      </c>
      <c r="C255" s="6">
        <v>65000</v>
      </c>
      <c r="D255" t="s">
        <v>11</v>
      </c>
      <c r="E255" t="s">
        <v>19</v>
      </c>
      <c r="F255" t="s">
        <v>39</v>
      </c>
      <c r="G255" s="7">
        <v>43195</v>
      </c>
      <c r="H255" t="s">
        <v>21</v>
      </c>
      <c r="I255" t="s">
        <v>15</v>
      </c>
      <c r="J255" t="s">
        <v>69</v>
      </c>
      <c r="K255" t="str">
        <f>IF(HR_Data5[[#This Row],[Age]]&lt;30,"Young",IF(HR_Data5[[#This Row],[Age]]&lt;=45,"Mid-Career","Senior"))</f>
        <v>Mid-Career</v>
      </c>
      <c r="L255" s="10">
        <f ca="1">DATEDIF(HR_Data5[[#This Row],[Joining Date]],TODAY(),"Y")</f>
        <v>7</v>
      </c>
      <c r="M255" s="10" t="str">
        <f>IF(HR_Data5[[#This Row],[Salary]]&lt;55000,"Low",IF(HR_Data5[[#This Row],[Salary]]&lt;=65000,"Medium","High"))</f>
        <v>Medium</v>
      </c>
      <c r="N255" s="10">
        <f>YEAR(HR_Data5[[#This Row],[Joining Date]])</f>
        <v>2018</v>
      </c>
      <c r="O255" s="10" cm="1">
        <f t="array" ref="O255">_xlfn.SWITCH(HR_Data5[[#This Row],[Performance Score]],
"A",5,
"B",4,
"C",3,
"D",2,
"F",1)</f>
        <v>1</v>
      </c>
      <c r="P255" s="10"/>
    </row>
    <row r="256" spans="1:16" x14ac:dyDescent="0.3">
      <c r="A256" t="s">
        <v>52</v>
      </c>
      <c r="B256">
        <v>35</v>
      </c>
      <c r="C256" s="6">
        <v>55000</v>
      </c>
      <c r="D256" t="s">
        <v>11</v>
      </c>
      <c r="E256" t="s">
        <v>19</v>
      </c>
      <c r="F256" t="s">
        <v>43</v>
      </c>
      <c r="G256" s="7">
        <v>43549</v>
      </c>
      <c r="H256" t="s">
        <v>14</v>
      </c>
      <c r="I256" t="s">
        <v>69</v>
      </c>
      <c r="J256" t="s">
        <v>23</v>
      </c>
      <c r="K256" t="str">
        <f>IF(HR_Data5[[#This Row],[Age]]&lt;30,"Young",IF(HR_Data5[[#This Row],[Age]]&lt;=45,"Mid-Career","Senior"))</f>
        <v>Mid-Career</v>
      </c>
      <c r="L256" s="10">
        <f ca="1">DATEDIF(HR_Data5[[#This Row],[Joining Date]],TODAY(),"Y")</f>
        <v>6</v>
      </c>
      <c r="M256" s="10" t="str">
        <f>IF(HR_Data5[[#This Row],[Salary]]&lt;55000,"Low",IF(HR_Data5[[#This Row],[Salary]]&lt;=65000,"Medium","High"))</f>
        <v>Medium</v>
      </c>
      <c r="N256" s="10">
        <f>YEAR(HR_Data5[[#This Row],[Joining Date]])</f>
        <v>2019</v>
      </c>
      <c r="O256" s="10" cm="1">
        <f t="array" ref="O256">_xlfn.SWITCH(HR_Data5[[#This Row],[Performance Score]],
"A",5,
"B",4,
"C",3,
"D",2,
"F",1)</f>
        <v>2</v>
      </c>
      <c r="P256" s="10"/>
    </row>
    <row r="257" spans="1:16" x14ac:dyDescent="0.3">
      <c r="A257" t="s">
        <v>56</v>
      </c>
      <c r="B257">
        <v>30</v>
      </c>
      <c r="C257" s="6" t="s">
        <v>68</v>
      </c>
      <c r="D257" t="s">
        <v>11</v>
      </c>
      <c r="E257" t="s">
        <v>37</v>
      </c>
      <c r="F257" t="s">
        <v>43</v>
      </c>
      <c r="G257" s="7">
        <v>43845</v>
      </c>
      <c r="H257" t="s">
        <v>14</v>
      </c>
      <c r="I257" t="s">
        <v>69</v>
      </c>
      <c r="J257" t="s">
        <v>45</v>
      </c>
      <c r="K257" t="str">
        <f>IF(HR_Data5[[#This Row],[Age]]&lt;30,"Young",IF(HR_Data5[[#This Row],[Age]]&lt;=45,"Mid-Career","Senior"))</f>
        <v>Mid-Career</v>
      </c>
      <c r="L257" s="10">
        <f ca="1">DATEDIF(HR_Data5[[#This Row],[Joining Date]],TODAY(),"Y")</f>
        <v>6</v>
      </c>
      <c r="M257" s="10" t="str">
        <f>IF(HR_Data5[[#This Row],[Salary]]&lt;55000,"Low",IF(HR_Data5[[#This Row],[Salary]]&lt;=65000,"Medium","High"))</f>
        <v>High</v>
      </c>
      <c r="N257" s="10">
        <f>YEAR(HR_Data5[[#This Row],[Joining Date]])</f>
        <v>2020</v>
      </c>
      <c r="O257" s="10" cm="1">
        <f t="array" ref="O257">_xlfn.SWITCH(HR_Data5[[#This Row],[Performance Score]],
"A",5,
"B",4,
"C",3,
"D",2,
"F",1)</f>
        <v>2</v>
      </c>
      <c r="P257" s="10"/>
    </row>
    <row r="258" spans="1:16" x14ac:dyDescent="0.3">
      <c r="A258" t="s">
        <v>60</v>
      </c>
      <c r="B258">
        <v>40</v>
      </c>
      <c r="C258" s="6">
        <v>50000</v>
      </c>
      <c r="D258" t="s">
        <v>36</v>
      </c>
      <c r="E258" t="s">
        <v>19</v>
      </c>
      <c r="F258" t="s">
        <v>43</v>
      </c>
      <c r="G258" s="7">
        <v>43195</v>
      </c>
      <c r="H258" t="s">
        <v>14</v>
      </c>
      <c r="I258" t="s">
        <v>15</v>
      </c>
      <c r="J258" t="s">
        <v>69</v>
      </c>
      <c r="K258" t="str">
        <f>IF(HR_Data5[[#This Row],[Age]]&lt;30,"Young",IF(HR_Data5[[#This Row],[Age]]&lt;=45,"Mid-Career","Senior"))</f>
        <v>Mid-Career</v>
      </c>
      <c r="L258" s="10">
        <f ca="1">DATEDIF(HR_Data5[[#This Row],[Joining Date]],TODAY(),"Y")</f>
        <v>7</v>
      </c>
      <c r="M258" s="10" t="str">
        <f>IF(HR_Data5[[#This Row],[Salary]]&lt;55000,"Low",IF(HR_Data5[[#This Row],[Salary]]&lt;=65000,"Medium","High"))</f>
        <v>Low</v>
      </c>
      <c r="N258" s="10">
        <f>YEAR(HR_Data5[[#This Row],[Joining Date]])</f>
        <v>2018</v>
      </c>
      <c r="O258" s="10" cm="1">
        <f t="array" ref="O258">_xlfn.SWITCH(HR_Data5[[#This Row],[Performance Score]],
"A",5,
"B",4,
"C",3,
"D",2,
"F",1)</f>
        <v>2</v>
      </c>
      <c r="P258" s="10"/>
    </row>
    <row r="259" spans="1:16" x14ac:dyDescent="0.3">
      <c r="A259" t="s">
        <v>56</v>
      </c>
      <c r="B259">
        <v>40</v>
      </c>
      <c r="C259" s="6">
        <v>60000</v>
      </c>
      <c r="D259" t="s">
        <v>18</v>
      </c>
      <c r="E259" t="s">
        <v>30</v>
      </c>
      <c r="F259" t="s">
        <v>44</v>
      </c>
      <c r="G259" s="7">
        <v>43845</v>
      </c>
      <c r="H259" t="s">
        <v>31</v>
      </c>
      <c r="I259" t="s">
        <v>32</v>
      </c>
      <c r="J259" t="s">
        <v>28</v>
      </c>
      <c r="K259" t="str">
        <f>IF(HR_Data5[[#This Row],[Age]]&lt;30,"Young",IF(HR_Data5[[#This Row],[Age]]&lt;=45,"Mid-Career","Senior"))</f>
        <v>Mid-Career</v>
      </c>
      <c r="L259" s="10">
        <f ca="1">DATEDIF(HR_Data5[[#This Row],[Joining Date]],TODAY(),"Y")</f>
        <v>6</v>
      </c>
      <c r="M259" s="10" t="str">
        <f>IF(HR_Data5[[#This Row],[Salary]]&lt;55000,"Low",IF(HR_Data5[[#This Row],[Salary]]&lt;=65000,"Medium","High"))</f>
        <v>Medium</v>
      </c>
      <c r="N259" s="10">
        <f>YEAR(HR_Data5[[#This Row],[Joining Date]])</f>
        <v>2020</v>
      </c>
      <c r="O259" s="10" cm="1">
        <f t="array" ref="O259">_xlfn.SWITCH(HR_Data5[[#This Row],[Performance Score]],
"A",5,
"B",4,
"C",3,
"D",2,
"F",1)</f>
        <v>5</v>
      </c>
      <c r="P259" s="10"/>
    </row>
    <row r="260" spans="1:16" x14ac:dyDescent="0.3">
      <c r="A260" t="s">
        <v>60</v>
      </c>
      <c r="B260">
        <v>35</v>
      </c>
      <c r="C260" s="6">
        <v>55000</v>
      </c>
      <c r="D260" t="s">
        <v>36</v>
      </c>
      <c r="E260" t="s">
        <v>12</v>
      </c>
      <c r="F260" t="s">
        <v>20</v>
      </c>
      <c r="G260" s="7">
        <v>43195</v>
      </c>
      <c r="H260" t="s">
        <v>14</v>
      </c>
      <c r="I260" t="s">
        <v>32</v>
      </c>
      <c r="J260" t="s">
        <v>23</v>
      </c>
      <c r="K260" t="str">
        <f>IF(HR_Data5[[#This Row],[Age]]&lt;30,"Young",IF(HR_Data5[[#This Row],[Age]]&lt;=45,"Mid-Career","Senior"))</f>
        <v>Mid-Career</v>
      </c>
      <c r="L260" s="10">
        <f ca="1">DATEDIF(HR_Data5[[#This Row],[Joining Date]],TODAY(),"Y")</f>
        <v>7</v>
      </c>
      <c r="M260" s="10" t="str">
        <f>IF(HR_Data5[[#This Row],[Salary]]&lt;55000,"Low",IF(HR_Data5[[#This Row],[Salary]]&lt;=65000,"Medium","High"))</f>
        <v>Medium</v>
      </c>
      <c r="N260" s="10">
        <f>YEAR(HR_Data5[[#This Row],[Joining Date]])</f>
        <v>2018</v>
      </c>
      <c r="O260" s="10" cm="1">
        <f t="array" ref="O260">_xlfn.SWITCH(HR_Data5[[#This Row],[Performance Score]],
"A",5,
"B",4,
"C",3,
"D",2,
"F",1)</f>
        <v>2</v>
      </c>
      <c r="P260" s="10"/>
    </row>
    <row r="261" spans="1:16" x14ac:dyDescent="0.3">
      <c r="A261" t="s">
        <v>58</v>
      </c>
      <c r="B261">
        <v>35</v>
      </c>
      <c r="C261" s="6" t="s">
        <v>68</v>
      </c>
      <c r="D261" t="s">
        <v>11</v>
      </c>
      <c r="E261" t="s">
        <v>30</v>
      </c>
      <c r="F261" t="s">
        <v>39</v>
      </c>
      <c r="G261" s="7">
        <v>43549</v>
      </c>
      <c r="H261" t="s">
        <v>14</v>
      </c>
      <c r="I261" t="s">
        <v>22</v>
      </c>
      <c r="J261" t="s">
        <v>28</v>
      </c>
      <c r="K261" t="str">
        <f>IF(HR_Data5[[#This Row],[Age]]&lt;30,"Young",IF(HR_Data5[[#This Row],[Age]]&lt;=45,"Mid-Career","Senior"))</f>
        <v>Mid-Career</v>
      </c>
      <c r="L261" s="10">
        <f ca="1">DATEDIF(HR_Data5[[#This Row],[Joining Date]],TODAY(),"Y")</f>
        <v>6</v>
      </c>
      <c r="M261" s="10" t="str">
        <f>IF(HR_Data5[[#This Row],[Salary]]&lt;55000,"Low",IF(HR_Data5[[#This Row],[Salary]]&lt;=65000,"Medium","High"))</f>
        <v>High</v>
      </c>
      <c r="N261" s="10">
        <f>YEAR(HR_Data5[[#This Row],[Joining Date]])</f>
        <v>2019</v>
      </c>
      <c r="O261" s="10" cm="1">
        <f t="array" ref="O261">_xlfn.SWITCH(HR_Data5[[#This Row],[Performance Score]],
"A",5,
"B",4,
"C",3,
"D",2,
"F",1)</f>
        <v>2</v>
      </c>
      <c r="P261" s="10"/>
    </row>
    <row r="262" spans="1:16" x14ac:dyDescent="0.3">
      <c r="A262" t="s">
        <v>58</v>
      </c>
      <c r="B262">
        <v>36</v>
      </c>
      <c r="C262" s="6">
        <v>65000</v>
      </c>
      <c r="D262" t="s">
        <v>11</v>
      </c>
      <c r="E262" t="s">
        <v>26</v>
      </c>
      <c r="F262" t="s">
        <v>20</v>
      </c>
      <c r="G262" s="7">
        <v>43845</v>
      </c>
      <c r="H262" t="s">
        <v>41</v>
      </c>
      <c r="I262" t="s">
        <v>69</v>
      </c>
      <c r="J262" t="s">
        <v>45</v>
      </c>
      <c r="K262" t="str">
        <f>IF(HR_Data5[[#This Row],[Age]]&lt;30,"Young",IF(HR_Data5[[#This Row],[Age]]&lt;=45,"Mid-Career","Senior"))</f>
        <v>Mid-Career</v>
      </c>
      <c r="L262" s="10">
        <f ca="1">DATEDIF(HR_Data5[[#This Row],[Joining Date]],TODAY(),"Y")</f>
        <v>6</v>
      </c>
      <c r="M262" s="10" t="str">
        <f>IF(HR_Data5[[#This Row],[Salary]]&lt;55000,"Low",IF(HR_Data5[[#This Row],[Salary]]&lt;=65000,"Medium","High"))</f>
        <v>Medium</v>
      </c>
      <c r="N262" s="10">
        <f>YEAR(HR_Data5[[#This Row],[Joining Date]])</f>
        <v>2020</v>
      </c>
      <c r="O262" s="10" cm="1">
        <f t="array" ref="O262">_xlfn.SWITCH(HR_Data5[[#This Row],[Performance Score]],
"A",5,
"B",4,
"C",3,
"D",2,
"F",1)</f>
        <v>4</v>
      </c>
      <c r="P262" s="10"/>
    </row>
    <row r="263" spans="1:16" x14ac:dyDescent="0.3">
      <c r="A263" t="s">
        <v>58</v>
      </c>
      <c r="B263">
        <v>25</v>
      </c>
      <c r="C263" s="6" t="s">
        <v>68</v>
      </c>
      <c r="D263" t="s">
        <v>11</v>
      </c>
      <c r="E263" t="s">
        <v>37</v>
      </c>
      <c r="F263" t="s">
        <v>20</v>
      </c>
      <c r="G263" s="7">
        <v>43549</v>
      </c>
      <c r="H263" t="s">
        <v>27</v>
      </c>
      <c r="I263" t="s">
        <v>22</v>
      </c>
      <c r="J263" t="s">
        <v>28</v>
      </c>
      <c r="K263" t="str">
        <f>IF(HR_Data5[[#This Row],[Age]]&lt;30,"Young",IF(HR_Data5[[#This Row],[Age]]&lt;=45,"Mid-Career","Senior"))</f>
        <v>Young</v>
      </c>
      <c r="L263" s="10">
        <f ca="1">DATEDIF(HR_Data5[[#This Row],[Joining Date]],TODAY(),"Y")</f>
        <v>6</v>
      </c>
      <c r="M263" s="10" t="str">
        <f>IF(HR_Data5[[#This Row],[Salary]]&lt;55000,"Low",IF(HR_Data5[[#This Row],[Salary]]&lt;=65000,"Medium","High"))</f>
        <v>High</v>
      </c>
      <c r="N263" s="10">
        <f>YEAR(HR_Data5[[#This Row],[Joining Date]])</f>
        <v>2019</v>
      </c>
      <c r="O263" s="10" cm="1">
        <f t="array" ref="O263">_xlfn.SWITCH(HR_Data5[[#This Row],[Performance Score]],
"A",5,
"B",4,
"C",3,
"D",2,
"F",1)</f>
        <v>3</v>
      </c>
      <c r="P263" s="10"/>
    </row>
    <row r="264" spans="1:16" x14ac:dyDescent="0.3">
      <c r="A264" t="s">
        <v>57</v>
      </c>
      <c r="B264">
        <v>35</v>
      </c>
      <c r="C264" s="6">
        <v>65000</v>
      </c>
      <c r="D264" t="s">
        <v>11</v>
      </c>
      <c r="E264" t="s">
        <v>19</v>
      </c>
      <c r="F264" t="s">
        <v>43</v>
      </c>
      <c r="G264" s="7">
        <v>43195</v>
      </c>
      <c r="H264" t="s">
        <v>14</v>
      </c>
      <c r="I264" t="s">
        <v>32</v>
      </c>
      <c r="J264" t="s">
        <v>23</v>
      </c>
      <c r="K264" t="str">
        <f>IF(HR_Data5[[#This Row],[Age]]&lt;30,"Young",IF(HR_Data5[[#This Row],[Age]]&lt;=45,"Mid-Career","Senior"))</f>
        <v>Mid-Career</v>
      </c>
      <c r="L264" s="10">
        <f ca="1">DATEDIF(HR_Data5[[#This Row],[Joining Date]],TODAY(),"Y")</f>
        <v>7</v>
      </c>
      <c r="M264" s="10" t="str">
        <f>IF(HR_Data5[[#This Row],[Salary]]&lt;55000,"Low",IF(HR_Data5[[#This Row],[Salary]]&lt;=65000,"Medium","High"))</f>
        <v>Medium</v>
      </c>
      <c r="N264" s="10">
        <f>YEAR(HR_Data5[[#This Row],[Joining Date]])</f>
        <v>2018</v>
      </c>
      <c r="O264" s="10" cm="1">
        <f t="array" ref="O264">_xlfn.SWITCH(HR_Data5[[#This Row],[Performance Score]],
"A",5,
"B",4,
"C",3,
"D",2,
"F",1)</f>
        <v>2</v>
      </c>
      <c r="P264" s="10"/>
    </row>
    <row r="265" spans="1:16" x14ac:dyDescent="0.3">
      <c r="A265" t="s">
        <v>56</v>
      </c>
      <c r="B265">
        <v>35</v>
      </c>
      <c r="C265" s="6">
        <v>55000</v>
      </c>
      <c r="D265" t="s">
        <v>18</v>
      </c>
      <c r="E265" t="s">
        <v>26</v>
      </c>
      <c r="F265" t="s">
        <v>44</v>
      </c>
      <c r="G265" s="7">
        <v>43549</v>
      </c>
      <c r="H265" t="s">
        <v>21</v>
      </c>
      <c r="I265" t="s">
        <v>15</v>
      </c>
      <c r="J265" t="s">
        <v>23</v>
      </c>
      <c r="K265" t="str">
        <f>IF(HR_Data5[[#This Row],[Age]]&lt;30,"Young",IF(HR_Data5[[#This Row],[Age]]&lt;=45,"Mid-Career","Senior"))</f>
        <v>Mid-Career</v>
      </c>
      <c r="L265" s="10">
        <f ca="1">DATEDIF(HR_Data5[[#This Row],[Joining Date]],TODAY(),"Y")</f>
        <v>6</v>
      </c>
      <c r="M265" s="10" t="str">
        <f>IF(HR_Data5[[#This Row],[Salary]]&lt;55000,"Low",IF(HR_Data5[[#This Row],[Salary]]&lt;=65000,"Medium","High"))</f>
        <v>Medium</v>
      </c>
      <c r="N265" s="10">
        <f>YEAR(HR_Data5[[#This Row],[Joining Date]])</f>
        <v>2019</v>
      </c>
      <c r="O265" s="10" cm="1">
        <f t="array" ref="O265">_xlfn.SWITCH(HR_Data5[[#This Row],[Performance Score]],
"A",5,
"B",4,
"C",3,
"D",2,
"F",1)</f>
        <v>1</v>
      </c>
      <c r="P265" s="10"/>
    </row>
    <row r="266" spans="1:16" x14ac:dyDescent="0.3">
      <c r="A266" t="s">
        <v>60</v>
      </c>
      <c r="B266">
        <v>50</v>
      </c>
      <c r="C266" s="6">
        <v>65000</v>
      </c>
      <c r="D266" t="s">
        <v>11</v>
      </c>
      <c r="E266" t="s">
        <v>19</v>
      </c>
      <c r="F266" t="s">
        <v>13</v>
      </c>
      <c r="G266" s="7">
        <v>43845</v>
      </c>
      <c r="H266" t="s">
        <v>14</v>
      </c>
      <c r="I266" t="s">
        <v>22</v>
      </c>
      <c r="J266" t="s">
        <v>45</v>
      </c>
      <c r="K266" t="str">
        <f>IF(HR_Data5[[#This Row],[Age]]&lt;30,"Young",IF(HR_Data5[[#This Row],[Age]]&lt;=45,"Mid-Career","Senior"))</f>
        <v>Senior</v>
      </c>
      <c r="L266" s="10">
        <f ca="1">DATEDIF(HR_Data5[[#This Row],[Joining Date]],TODAY(),"Y")</f>
        <v>6</v>
      </c>
      <c r="M266" s="10" t="str">
        <f>IF(HR_Data5[[#This Row],[Salary]]&lt;55000,"Low",IF(HR_Data5[[#This Row],[Salary]]&lt;=65000,"Medium","High"))</f>
        <v>Medium</v>
      </c>
      <c r="N266" s="10">
        <f>YEAR(HR_Data5[[#This Row],[Joining Date]])</f>
        <v>2020</v>
      </c>
      <c r="O266" s="10" cm="1">
        <f t="array" ref="O266">_xlfn.SWITCH(HR_Data5[[#This Row],[Performance Score]],
"A",5,
"B",4,
"C",3,
"D",2,
"F",1)</f>
        <v>2</v>
      </c>
      <c r="P266" s="10"/>
    </row>
    <row r="267" spans="1:16" x14ac:dyDescent="0.3">
      <c r="A267" t="s">
        <v>52</v>
      </c>
      <c r="B267">
        <v>30</v>
      </c>
      <c r="C267" s="6">
        <v>70000</v>
      </c>
      <c r="D267" t="s">
        <v>18</v>
      </c>
      <c r="E267" t="s">
        <v>12</v>
      </c>
      <c r="F267" t="s">
        <v>44</v>
      </c>
      <c r="G267" s="7">
        <v>43845</v>
      </c>
      <c r="H267" t="s">
        <v>31</v>
      </c>
      <c r="I267" t="s">
        <v>69</v>
      </c>
      <c r="J267" t="s">
        <v>23</v>
      </c>
      <c r="K267" t="str">
        <f>IF(HR_Data5[[#This Row],[Age]]&lt;30,"Young",IF(HR_Data5[[#This Row],[Age]]&lt;=45,"Mid-Career","Senior"))</f>
        <v>Mid-Career</v>
      </c>
      <c r="L267" s="10">
        <f ca="1">DATEDIF(HR_Data5[[#This Row],[Joining Date]],TODAY(),"Y")</f>
        <v>6</v>
      </c>
      <c r="M267" s="10" t="str">
        <f>IF(HR_Data5[[#This Row],[Salary]]&lt;55000,"Low",IF(HR_Data5[[#This Row],[Salary]]&lt;=65000,"Medium","High"))</f>
        <v>High</v>
      </c>
      <c r="N267" s="10">
        <f>YEAR(HR_Data5[[#This Row],[Joining Date]])</f>
        <v>2020</v>
      </c>
      <c r="O267" s="10" cm="1">
        <f t="array" ref="O267">_xlfn.SWITCH(HR_Data5[[#This Row],[Performance Score]],
"A",5,
"B",4,
"C",3,
"D",2,
"F",1)</f>
        <v>5</v>
      </c>
      <c r="P267" s="10"/>
    </row>
    <row r="268" spans="1:16" x14ac:dyDescent="0.3">
      <c r="A268" t="s">
        <v>59</v>
      </c>
      <c r="B268">
        <v>50</v>
      </c>
      <c r="C268" s="6">
        <v>70000</v>
      </c>
      <c r="D268" t="s">
        <v>11</v>
      </c>
      <c r="E268" t="s">
        <v>12</v>
      </c>
      <c r="F268" t="s">
        <v>20</v>
      </c>
      <c r="G268" s="7">
        <v>43549</v>
      </c>
      <c r="H268" t="s">
        <v>31</v>
      </c>
      <c r="I268" t="s">
        <v>69</v>
      </c>
      <c r="J268" t="s">
        <v>45</v>
      </c>
      <c r="K268" t="str">
        <f>IF(HR_Data5[[#This Row],[Age]]&lt;30,"Young",IF(HR_Data5[[#This Row],[Age]]&lt;=45,"Mid-Career","Senior"))</f>
        <v>Senior</v>
      </c>
      <c r="L268" s="10">
        <f ca="1">DATEDIF(HR_Data5[[#This Row],[Joining Date]],TODAY(),"Y")</f>
        <v>6</v>
      </c>
      <c r="M268" s="10" t="str">
        <f>IF(HR_Data5[[#This Row],[Salary]]&lt;55000,"Low",IF(HR_Data5[[#This Row],[Salary]]&lt;=65000,"Medium","High"))</f>
        <v>High</v>
      </c>
      <c r="N268" s="10">
        <f>YEAR(HR_Data5[[#This Row],[Joining Date]])</f>
        <v>2019</v>
      </c>
      <c r="O268" s="10" cm="1">
        <f t="array" ref="O268">_xlfn.SWITCH(HR_Data5[[#This Row],[Performance Score]],
"A",5,
"B",4,
"C",3,
"D",2,
"F",1)</f>
        <v>5</v>
      </c>
      <c r="P268" s="10"/>
    </row>
    <row r="269" spans="1:16" x14ac:dyDescent="0.3">
      <c r="A269" t="s">
        <v>52</v>
      </c>
      <c r="B269">
        <v>50</v>
      </c>
      <c r="C269" s="6">
        <v>70000</v>
      </c>
      <c r="D269" t="s">
        <v>18</v>
      </c>
      <c r="E269" t="s">
        <v>12</v>
      </c>
      <c r="F269" t="s">
        <v>44</v>
      </c>
      <c r="G269" s="7">
        <v>43881</v>
      </c>
      <c r="H269" t="s">
        <v>31</v>
      </c>
      <c r="I269" t="s">
        <v>15</v>
      </c>
      <c r="J269" t="s">
        <v>45</v>
      </c>
      <c r="K269" t="str">
        <f>IF(HR_Data5[[#This Row],[Age]]&lt;30,"Young",IF(HR_Data5[[#This Row],[Age]]&lt;=45,"Mid-Career","Senior"))</f>
        <v>Senior</v>
      </c>
      <c r="L269" s="10">
        <f ca="1">DATEDIF(HR_Data5[[#This Row],[Joining Date]],TODAY(),"Y")</f>
        <v>6</v>
      </c>
      <c r="M269" s="10" t="str">
        <f>IF(HR_Data5[[#This Row],[Salary]]&lt;55000,"Low",IF(HR_Data5[[#This Row],[Salary]]&lt;=65000,"Medium","High"))</f>
        <v>High</v>
      </c>
      <c r="N269" s="10">
        <f>YEAR(HR_Data5[[#This Row],[Joining Date]])</f>
        <v>2020</v>
      </c>
      <c r="O269" s="10" cm="1">
        <f t="array" ref="O269">_xlfn.SWITCH(HR_Data5[[#This Row],[Performance Score]],
"A",5,
"B",4,
"C",3,
"D",2,
"F",1)</f>
        <v>5</v>
      </c>
      <c r="P269" s="10"/>
    </row>
    <row r="270" spans="1:16" x14ac:dyDescent="0.3">
      <c r="A270" t="s">
        <v>59</v>
      </c>
      <c r="B270">
        <v>40</v>
      </c>
      <c r="C270" s="6">
        <v>50000</v>
      </c>
      <c r="D270" t="s">
        <v>36</v>
      </c>
      <c r="E270" t="s">
        <v>19</v>
      </c>
      <c r="F270" t="s">
        <v>43</v>
      </c>
      <c r="G270" s="7">
        <v>43195</v>
      </c>
      <c r="H270" t="s">
        <v>14</v>
      </c>
      <c r="I270" t="s">
        <v>32</v>
      </c>
      <c r="J270" t="s">
        <v>23</v>
      </c>
      <c r="K270" t="str">
        <f>IF(HR_Data5[[#This Row],[Age]]&lt;30,"Young",IF(HR_Data5[[#This Row],[Age]]&lt;=45,"Mid-Career","Senior"))</f>
        <v>Mid-Career</v>
      </c>
      <c r="L270" s="10">
        <f ca="1">DATEDIF(HR_Data5[[#This Row],[Joining Date]],TODAY(),"Y")</f>
        <v>7</v>
      </c>
      <c r="M270" s="10" t="str">
        <f>IF(HR_Data5[[#This Row],[Salary]]&lt;55000,"Low",IF(HR_Data5[[#This Row],[Salary]]&lt;=65000,"Medium","High"))</f>
        <v>Low</v>
      </c>
      <c r="N270" s="10">
        <f>YEAR(HR_Data5[[#This Row],[Joining Date]])</f>
        <v>2018</v>
      </c>
      <c r="O270" s="10" cm="1">
        <f t="array" ref="O270">_xlfn.SWITCH(HR_Data5[[#This Row],[Performance Score]],
"A",5,
"B",4,
"C",3,
"D",2,
"F",1)</f>
        <v>2</v>
      </c>
      <c r="P270" s="10"/>
    </row>
    <row r="271" spans="1:16" x14ac:dyDescent="0.3">
      <c r="A271" t="s">
        <v>54</v>
      </c>
      <c r="B271">
        <v>25</v>
      </c>
      <c r="C271" s="6">
        <v>55000</v>
      </c>
      <c r="D271" t="s">
        <v>11</v>
      </c>
      <c r="E271" t="s">
        <v>26</v>
      </c>
      <c r="F271" t="s">
        <v>13</v>
      </c>
      <c r="G271" s="7">
        <v>43195</v>
      </c>
      <c r="H271" t="s">
        <v>41</v>
      </c>
      <c r="I271" t="s">
        <v>69</v>
      </c>
      <c r="J271" t="s">
        <v>69</v>
      </c>
      <c r="K271" t="str">
        <f>IF(HR_Data5[[#This Row],[Age]]&lt;30,"Young",IF(HR_Data5[[#This Row],[Age]]&lt;=45,"Mid-Career","Senior"))</f>
        <v>Young</v>
      </c>
      <c r="L271" s="10">
        <f ca="1">DATEDIF(HR_Data5[[#This Row],[Joining Date]],TODAY(),"Y")</f>
        <v>7</v>
      </c>
      <c r="M271" s="10" t="str">
        <f>IF(HR_Data5[[#This Row],[Salary]]&lt;55000,"Low",IF(HR_Data5[[#This Row],[Salary]]&lt;=65000,"Medium","High"))</f>
        <v>Medium</v>
      </c>
      <c r="N271" s="10">
        <f>YEAR(HR_Data5[[#This Row],[Joining Date]])</f>
        <v>2018</v>
      </c>
      <c r="O271" s="10" cm="1">
        <f t="array" ref="O271">_xlfn.SWITCH(HR_Data5[[#This Row],[Performance Score]],
"A",5,
"B",4,
"C",3,
"D",2,
"F",1)</f>
        <v>4</v>
      </c>
      <c r="P271" s="10"/>
    </row>
    <row r="272" spans="1:16" x14ac:dyDescent="0.3">
      <c r="A272" t="s">
        <v>52</v>
      </c>
      <c r="B272">
        <v>30</v>
      </c>
      <c r="C272" s="6" t="s">
        <v>68</v>
      </c>
      <c r="D272" t="s">
        <v>18</v>
      </c>
      <c r="E272" t="s">
        <v>12</v>
      </c>
      <c r="F272" t="s">
        <v>43</v>
      </c>
      <c r="G272" s="7">
        <v>43549</v>
      </c>
      <c r="H272" t="s">
        <v>21</v>
      </c>
      <c r="I272" t="s">
        <v>69</v>
      </c>
      <c r="J272" t="s">
        <v>45</v>
      </c>
      <c r="K272" t="str">
        <f>IF(HR_Data5[[#This Row],[Age]]&lt;30,"Young",IF(HR_Data5[[#This Row],[Age]]&lt;=45,"Mid-Career","Senior"))</f>
        <v>Mid-Career</v>
      </c>
      <c r="L272" s="10">
        <f ca="1">DATEDIF(HR_Data5[[#This Row],[Joining Date]],TODAY(),"Y")</f>
        <v>6</v>
      </c>
      <c r="M272" s="10" t="str">
        <f>IF(HR_Data5[[#This Row],[Salary]]&lt;55000,"Low",IF(HR_Data5[[#This Row],[Salary]]&lt;=65000,"Medium","High"))</f>
        <v>High</v>
      </c>
      <c r="N272" s="10">
        <f>YEAR(HR_Data5[[#This Row],[Joining Date]])</f>
        <v>2019</v>
      </c>
      <c r="O272" s="10" cm="1">
        <f t="array" ref="O272">_xlfn.SWITCH(HR_Data5[[#This Row],[Performance Score]],
"A",5,
"B",4,
"C",3,
"D",2,
"F",1)</f>
        <v>1</v>
      </c>
      <c r="P272" s="10"/>
    </row>
    <row r="273" spans="1:16" x14ac:dyDescent="0.3">
      <c r="A273" t="s">
        <v>53</v>
      </c>
      <c r="B273">
        <v>36</v>
      </c>
      <c r="C273" s="6" t="s">
        <v>68</v>
      </c>
      <c r="D273" t="s">
        <v>36</v>
      </c>
      <c r="E273" t="s">
        <v>26</v>
      </c>
      <c r="F273" t="s">
        <v>13</v>
      </c>
      <c r="G273" s="7">
        <v>43881</v>
      </c>
      <c r="H273" t="s">
        <v>14</v>
      </c>
      <c r="I273" t="s">
        <v>69</v>
      </c>
      <c r="J273" t="s">
        <v>23</v>
      </c>
      <c r="K273" t="str">
        <f>IF(HR_Data5[[#This Row],[Age]]&lt;30,"Young",IF(HR_Data5[[#This Row],[Age]]&lt;=45,"Mid-Career","Senior"))</f>
        <v>Mid-Career</v>
      </c>
      <c r="L273" s="10">
        <f ca="1">DATEDIF(HR_Data5[[#This Row],[Joining Date]],TODAY(),"Y")</f>
        <v>6</v>
      </c>
      <c r="M273" s="10" t="str">
        <f>IF(HR_Data5[[#This Row],[Salary]]&lt;55000,"Low",IF(HR_Data5[[#This Row],[Salary]]&lt;=65000,"Medium","High"))</f>
        <v>High</v>
      </c>
      <c r="N273" s="10">
        <f>YEAR(HR_Data5[[#This Row],[Joining Date]])</f>
        <v>2020</v>
      </c>
      <c r="O273" s="10" cm="1">
        <f t="array" ref="O273">_xlfn.SWITCH(HR_Data5[[#This Row],[Performance Score]],
"A",5,
"B",4,
"C",3,
"D",2,
"F",1)</f>
        <v>2</v>
      </c>
      <c r="P273" s="10"/>
    </row>
    <row r="274" spans="1:16" x14ac:dyDescent="0.3">
      <c r="A274" t="s">
        <v>53</v>
      </c>
      <c r="B274">
        <v>36</v>
      </c>
      <c r="C274" s="6">
        <v>50000</v>
      </c>
      <c r="D274" t="s">
        <v>11</v>
      </c>
      <c r="E274" t="s">
        <v>19</v>
      </c>
      <c r="F274" t="s">
        <v>20</v>
      </c>
      <c r="G274" s="7">
        <v>43845</v>
      </c>
      <c r="H274" t="s">
        <v>41</v>
      </c>
      <c r="I274" t="s">
        <v>22</v>
      </c>
      <c r="J274" t="s">
        <v>69</v>
      </c>
      <c r="K274" t="str">
        <f>IF(HR_Data5[[#This Row],[Age]]&lt;30,"Young",IF(HR_Data5[[#This Row],[Age]]&lt;=45,"Mid-Career","Senior"))</f>
        <v>Mid-Career</v>
      </c>
      <c r="L274" s="10">
        <f ca="1">DATEDIF(HR_Data5[[#This Row],[Joining Date]],TODAY(),"Y")</f>
        <v>6</v>
      </c>
      <c r="M274" s="10" t="str">
        <f>IF(HR_Data5[[#This Row],[Salary]]&lt;55000,"Low",IF(HR_Data5[[#This Row],[Salary]]&lt;=65000,"Medium","High"))</f>
        <v>Low</v>
      </c>
      <c r="N274" s="10">
        <f>YEAR(HR_Data5[[#This Row],[Joining Date]])</f>
        <v>2020</v>
      </c>
      <c r="O274" s="10" cm="1">
        <f t="array" ref="O274">_xlfn.SWITCH(HR_Data5[[#This Row],[Performance Score]],
"A",5,
"B",4,
"C",3,
"D",2,
"F",1)</f>
        <v>4</v>
      </c>
      <c r="P274" s="10"/>
    </row>
    <row r="275" spans="1:16" x14ac:dyDescent="0.3">
      <c r="A275" t="s">
        <v>51</v>
      </c>
      <c r="B275">
        <v>35</v>
      </c>
      <c r="C275" s="6">
        <v>65000</v>
      </c>
      <c r="D275" t="s">
        <v>11</v>
      </c>
      <c r="E275" t="s">
        <v>26</v>
      </c>
      <c r="F275" t="s">
        <v>13</v>
      </c>
      <c r="G275" s="7">
        <v>43800</v>
      </c>
      <c r="H275" t="s">
        <v>41</v>
      </c>
      <c r="I275" t="s">
        <v>32</v>
      </c>
      <c r="J275" t="s">
        <v>45</v>
      </c>
      <c r="K275" t="str">
        <f>IF(HR_Data5[[#This Row],[Age]]&lt;30,"Young",IF(HR_Data5[[#This Row],[Age]]&lt;=45,"Mid-Career","Senior"))</f>
        <v>Mid-Career</v>
      </c>
      <c r="L275" s="10">
        <f ca="1">DATEDIF(HR_Data5[[#This Row],[Joining Date]],TODAY(),"Y")</f>
        <v>6</v>
      </c>
      <c r="M275" s="10" t="str">
        <f>IF(HR_Data5[[#This Row],[Salary]]&lt;55000,"Low",IF(HR_Data5[[#This Row],[Salary]]&lt;=65000,"Medium","High"))</f>
        <v>Medium</v>
      </c>
      <c r="N275" s="10">
        <f>YEAR(HR_Data5[[#This Row],[Joining Date]])</f>
        <v>2019</v>
      </c>
      <c r="O275" s="10" cm="1">
        <f t="array" ref="O275">_xlfn.SWITCH(HR_Data5[[#This Row],[Performance Score]],
"A",5,
"B",4,
"C",3,
"D",2,
"F",1)</f>
        <v>4</v>
      </c>
      <c r="P275" s="10"/>
    </row>
    <row r="276" spans="1:16" x14ac:dyDescent="0.3">
      <c r="A276" t="s">
        <v>56</v>
      </c>
      <c r="B276">
        <v>35</v>
      </c>
      <c r="C276" s="6">
        <v>50000</v>
      </c>
      <c r="D276" t="s">
        <v>11</v>
      </c>
      <c r="E276" t="s">
        <v>19</v>
      </c>
      <c r="F276" t="s">
        <v>13</v>
      </c>
      <c r="G276" s="7">
        <v>43800</v>
      </c>
      <c r="H276" t="s">
        <v>14</v>
      </c>
      <c r="I276" t="s">
        <v>22</v>
      </c>
      <c r="J276" t="s">
        <v>69</v>
      </c>
      <c r="K276" t="str">
        <f>IF(HR_Data5[[#This Row],[Age]]&lt;30,"Young",IF(HR_Data5[[#This Row],[Age]]&lt;=45,"Mid-Career","Senior"))</f>
        <v>Mid-Career</v>
      </c>
      <c r="L276" s="10">
        <f ca="1">DATEDIF(HR_Data5[[#This Row],[Joining Date]],TODAY(),"Y")</f>
        <v>6</v>
      </c>
      <c r="M276" s="10" t="str">
        <f>IF(HR_Data5[[#This Row],[Salary]]&lt;55000,"Low",IF(HR_Data5[[#This Row],[Salary]]&lt;=65000,"Medium","High"))</f>
        <v>Low</v>
      </c>
      <c r="N276" s="10">
        <f>YEAR(HR_Data5[[#This Row],[Joining Date]])</f>
        <v>2019</v>
      </c>
      <c r="O276" s="10" cm="1">
        <f t="array" ref="O276">_xlfn.SWITCH(HR_Data5[[#This Row],[Performance Score]],
"A",5,
"B",4,
"C",3,
"D",2,
"F",1)</f>
        <v>2</v>
      </c>
      <c r="P276" s="10"/>
    </row>
    <row r="277" spans="1:16" x14ac:dyDescent="0.3">
      <c r="A277" t="s">
        <v>59</v>
      </c>
      <c r="B277">
        <v>36</v>
      </c>
      <c r="C277" s="6">
        <v>65000</v>
      </c>
      <c r="D277" t="s">
        <v>18</v>
      </c>
      <c r="E277" t="s">
        <v>19</v>
      </c>
      <c r="F277" t="s">
        <v>13</v>
      </c>
      <c r="G277" s="7">
        <v>43549</v>
      </c>
      <c r="H277" t="s">
        <v>14</v>
      </c>
      <c r="I277" t="s">
        <v>32</v>
      </c>
      <c r="J277" t="s">
        <v>69</v>
      </c>
      <c r="K277" t="str">
        <f>IF(HR_Data5[[#This Row],[Age]]&lt;30,"Young",IF(HR_Data5[[#This Row],[Age]]&lt;=45,"Mid-Career","Senior"))</f>
        <v>Mid-Career</v>
      </c>
      <c r="L277" s="10">
        <f ca="1">DATEDIF(HR_Data5[[#This Row],[Joining Date]],TODAY(),"Y")</f>
        <v>6</v>
      </c>
      <c r="M277" s="10" t="str">
        <f>IF(HR_Data5[[#This Row],[Salary]]&lt;55000,"Low",IF(HR_Data5[[#This Row],[Salary]]&lt;=65000,"Medium","High"))</f>
        <v>Medium</v>
      </c>
      <c r="N277" s="10">
        <f>YEAR(HR_Data5[[#This Row],[Joining Date]])</f>
        <v>2019</v>
      </c>
      <c r="O277" s="10" cm="1">
        <f t="array" ref="O277">_xlfn.SWITCH(HR_Data5[[#This Row],[Performance Score]],
"A",5,
"B",4,
"C",3,
"D",2,
"F",1)</f>
        <v>2</v>
      </c>
      <c r="P277" s="10"/>
    </row>
    <row r="278" spans="1:16" x14ac:dyDescent="0.3">
      <c r="A278" t="s">
        <v>59</v>
      </c>
      <c r="B278">
        <v>35</v>
      </c>
      <c r="C278" s="6">
        <v>65000</v>
      </c>
      <c r="D278" t="s">
        <v>18</v>
      </c>
      <c r="E278" t="s">
        <v>37</v>
      </c>
      <c r="F278" t="s">
        <v>44</v>
      </c>
      <c r="G278" s="7">
        <v>43881</v>
      </c>
      <c r="H278" t="s">
        <v>41</v>
      </c>
      <c r="I278" t="s">
        <v>69</v>
      </c>
      <c r="J278" t="s">
        <v>69</v>
      </c>
      <c r="K278" t="str">
        <f>IF(HR_Data5[[#This Row],[Age]]&lt;30,"Young",IF(HR_Data5[[#This Row],[Age]]&lt;=45,"Mid-Career","Senior"))</f>
        <v>Mid-Career</v>
      </c>
      <c r="L278" s="10">
        <f ca="1">DATEDIF(HR_Data5[[#This Row],[Joining Date]],TODAY(),"Y")</f>
        <v>6</v>
      </c>
      <c r="M278" s="10" t="str">
        <f>IF(HR_Data5[[#This Row],[Salary]]&lt;55000,"Low",IF(HR_Data5[[#This Row],[Salary]]&lt;=65000,"Medium","High"))</f>
        <v>Medium</v>
      </c>
      <c r="N278" s="10">
        <f>YEAR(HR_Data5[[#This Row],[Joining Date]])</f>
        <v>2020</v>
      </c>
      <c r="O278" s="10" cm="1">
        <f t="array" ref="O278">_xlfn.SWITCH(HR_Data5[[#This Row],[Performance Score]],
"A",5,
"B",4,
"C",3,
"D",2,
"F",1)</f>
        <v>4</v>
      </c>
      <c r="P278" s="10"/>
    </row>
    <row r="279" spans="1:16" x14ac:dyDescent="0.3">
      <c r="A279" t="s">
        <v>56</v>
      </c>
      <c r="B279">
        <v>25</v>
      </c>
      <c r="C279" s="6">
        <v>60000</v>
      </c>
      <c r="D279" t="s">
        <v>36</v>
      </c>
      <c r="E279" t="s">
        <v>19</v>
      </c>
      <c r="F279" t="s">
        <v>44</v>
      </c>
      <c r="G279" s="7">
        <v>43881</v>
      </c>
      <c r="H279" t="s">
        <v>41</v>
      </c>
      <c r="I279" t="s">
        <v>69</v>
      </c>
      <c r="J279" t="s">
        <v>69</v>
      </c>
      <c r="K279" t="str">
        <f>IF(HR_Data5[[#This Row],[Age]]&lt;30,"Young",IF(HR_Data5[[#This Row],[Age]]&lt;=45,"Mid-Career","Senior"))</f>
        <v>Young</v>
      </c>
      <c r="L279" s="10">
        <f ca="1">DATEDIF(HR_Data5[[#This Row],[Joining Date]],TODAY(),"Y")</f>
        <v>6</v>
      </c>
      <c r="M279" s="10" t="str">
        <f>IF(HR_Data5[[#This Row],[Salary]]&lt;55000,"Low",IF(HR_Data5[[#This Row],[Salary]]&lt;=65000,"Medium","High"))</f>
        <v>Medium</v>
      </c>
      <c r="N279" s="10">
        <f>YEAR(HR_Data5[[#This Row],[Joining Date]])</f>
        <v>2020</v>
      </c>
      <c r="O279" s="10" cm="1">
        <f t="array" ref="O279">_xlfn.SWITCH(HR_Data5[[#This Row],[Performance Score]],
"A",5,
"B",4,
"C",3,
"D",2,
"F",1)</f>
        <v>4</v>
      </c>
      <c r="P279" s="10"/>
    </row>
    <row r="280" spans="1:16" x14ac:dyDescent="0.3">
      <c r="A280" t="s">
        <v>57</v>
      </c>
      <c r="B280">
        <v>50</v>
      </c>
      <c r="C280" s="6" t="s">
        <v>68</v>
      </c>
      <c r="D280" t="s">
        <v>18</v>
      </c>
      <c r="E280" t="s">
        <v>19</v>
      </c>
      <c r="F280" t="s">
        <v>20</v>
      </c>
      <c r="G280" s="7">
        <v>43195</v>
      </c>
      <c r="H280" t="s">
        <v>41</v>
      </c>
      <c r="I280" t="s">
        <v>22</v>
      </c>
      <c r="J280" t="s">
        <v>45</v>
      </c>
      <c r="K280" t="str">
        <f>IF(HR_Data5[[#This Row],[Age]]&lt;30,"Young",IF(HR_Data5[[#This Row],[Age]]&lt;=45,"Mid-Career","Senior"))</f>
        <v>Senior</v>
      </c>
      <c r="L280" s="10">
        <f ca="1">DATEDIF(HR_Data5[[#This Row],[Joining Date]],TODAY(),"Y")</f>
        <v>7</v>
      </c>
      <c r="M280" s="10" t="str">
        <f>IF(HR_Data5[[#This Row],[Salary]]&lt;55000,"Low",IF(HR_Data5[[#This Row],[Salary]]&lt;=65000,"Medium","High"))</f>
        <v>High</v>
      </c>
      <c r="N280" s="10">
        <f>YEAR(HR_Data5[[#This Row],[Joining Date]])</f>
        <v>2018</v>
      </c>
      <c r="O280" s="10" cm="1">
        <f t="array" ref="O280">_xlfn.SWITCH(HR_Data5[[#This Row],[Performance Score]],
"A",5,
"B",4,
"C",3,
"D",2,
"F",1)</f>
        <v>4</v>
      </c>
      <c r="P280" s="10"/>
    </row>
    <row r="281" spans="1:16" x14ac:dyDescent="0.3">
      <c r="A281" t="s">
        <v>51</v>
      </c>
      <c r="B281">
        <v>35</v>
      </c>
      <c r="C281" s="6">
        <v>70000</v>
      </c>
      <c r="D281" t="s">
        <v>18</v>
      </c>
      <c r="E281" t="s">
        <v>30</v>
      </c>
      <c r="F281" t="s">
        <v>13</v>
      </c>
      <c r="G281" s="7">
        <v>43845</v>
      </c>
      <c r="H281" t="s">
        <v>14</v>
      </c>
      <c r="I281" t="s">
        <v>69</v>
      </c>
      <c r="J281" t="s">
        <v>23</v>
      </c>
      <c r="K281" t="str">
        <f>IF(HR_Data5[[#This Row],[Age]]&lt;30,"Young",IF(HR_Data5[[#This Row],[Age]]&lt;=45,"Mid-Career","Senior"))</f>
        <v>Mid-Career</v>
      </c>
      <c r="L281" s="10">
        <f ca="1">DATEDIF(HR_Data5[[#This Row],[Joining Date]],TODAY(),"Y")</f>
        <v>6</v>
      </c>
      <c r="M281" s="10" t="str">
        <f>IF(HR_Data5[[#This Row],[Salary]]&lt;55000,"Low",IF(HR_Data5[[#This Row],[Salary]]&lt;=65000,"Medium","High"))</f>
        <v>High</v>
      </c>
      <c r="N281" s="10">
        <f>YEAR(HR_Data5[[#This Row],[Joining Date]])</f>
        <v>2020</v>
      </c>
      <c r="O281" s="10" cm="1">
        <f t="array" ref="O281">_xlfn.SWITCH(HR_Data5[[#This Row],[Performance Score]],
"A",5,
"B",4,
"C",3,
"D",2,
"F",1)</f>
        <v>2</v>
      </c>
      <c r="P281" s="10"/>
    </row>
    <row r="282" spans="1:16" x14ac:dyDescent="0.3">
      <c r="A282" t="s">
        <v>57</v>
      </c>
      <c r="B282">
        <v>40</v>
      </c>
      <c r="C282" s="6">
        <v>65000</v>
      </c>
      <c r="D282" t="s">
        <v>11</v>
      </c>
      <c r="E282" t="s">
        <v>12</v>
      </c>
      <c r="F282" t="s">
        <v>39</v>
      </c>
      <c r="G282" s="7">
        <v>43881</v>
      </c>
      <c r="H282" t="s">
        <v>41</v>
      </c>
      <c r="I282" t="s">
        <v>32</v>
      </c>
      <c r="J282" t="s">
        <v>28</v>
      </c>
      <c r="K282" t="str">
        <f>IF(HR_Data5[[#This Row],[Age]]&lt;30,"Young",IF(HR_Data5[[#This Row],[Age]]&lt;=45,"Mid-Career","Senior"))</f>
        <v>Mid-Career</v>
      </c>
      <c r="L282" s="10">
        <f ca="1">DATEDIF(HR_Data5[[#This Row],[Joining Date]],TODAY(),"Y")</f>
        <v>6</v>
      </c>
      <c r="M282" s="10" t="str">
        <f>IF(HR_Data5[[#This Row],[Salary]]&lt;55000,"Low",IF(HR_Data5[[#This Row],[Salary]]&lt;=65000,"Medium","High"))</f>
        <v>Medium</v>
      </c>
      <c r="N282" s="10">
        <f>YEAR(HR_Data5[[#This Row],[Joining Date]])</f>
        <v>2020</v>
      </c>
      <c r="O282" s="10" cm="1">
        <f t="array" ref="O282">_xlfn.SWITCH(HR_Data5[[#This Row],[Performance Score]],
"A",5,
"B",4,
"C",3,
"D",2,
"F",1)</f>
        <v>4</v>
      </c>
      <c r="P282" s="10"/>
    </row>
    <row r="283" spans="1:16" x14ac:dyDescent="0.3">
      <c r="A283" t="s">
        <v>57</v>
      </c>
      <c r="B283">
        <v>35</v>
      </c>
      <c r="C283" s="6">
        <v>60000</v>
      </c>
      <c r="D283" t="s">
        <v>11</v>
      </c>
      <c r="E283" t="s">
        <v>37</v>
      </c>
      <c r="F283" t="s">
        <v>20</v>
      </c>
      <c r="G283" s="7">
        <v>43800</v>
      </c>
      <c r="H283" t="s">
        <v>31</v>
      </c>
      <c r="I283" t="s">
        <v>22</v>
      </c>
      <c r="J283" t="s">
        <v>23</v>
      </c>
      <c r="K283" t="str">
        <f>IF(HR_Data5[[#This Row],[Age]]&lt;30,"Young",IF(HR_Data5[[#This Row],[Age]]&lt;=45,"Mid-Career","Senior"))</f>
        <v>Mid-Career</v>
      </c>
      <c r="L283" s="10">
        <f ca="1">DATEDIF(HR_Data5[[#This Row],[Joining Date]],TODAY(),"Y")</f>
        <v>6</v>
      </c>
      <c r="M283" s="10" t="str">
        <f>IF(HR_Data5[[#This Row],[Salary]]&lt;55000,"Low",IF(HR_Data5[[#This Row],[Salary]]&lt;=65000,"Medium","High"))</f>
        <v>Medium</v>
      </c>
      <c r="N283" s="10">
        <f>YEAR(HR_Data5[[#This Row],[Joining Date]])</f>
        <v>2019</v>
      </c>
      <c r="O283" s="10" cm="1">
        <f t="array" ref="O283">_xlfn.SWITCH(HR_Data5[[#This Row],[Performance Score]],
"A",5,
"B",4,
"C",3,
"D",2,
"F",1)</f>
        <v>5</v>
      </c>
      <c r="P283" s="10"/>
    </row>
    <row r="284" spans="1:16" x14ac:dyDescent="0.3">
      <c r="A284" t="s">
        <v>57</v>
      </c>
      <c r="B284">
        <v>30</v>
      </c>
      <c r="C284" s="6" t="s">
        <v>68</v>
      </c>
      <c r="D284" t="s">
        <v>11</v>
      </c>
      <c r="E284" t="s">
        <v>37</v>
      </c>
      <c r="F284" t="s">
        <v>13</v>
      </c>
      <c r="G284" s="7">
        <v>43845</v>
      </c>
      <c r="H284" t="s">
        <v>14</v>
      </c>
      <c r="I284" t="s">
        <v>22</v>
      </c>
      <c r="J284" t="s">
        <v>28</v>
      </c>
      <c r="K284" t="str">
        <f>IF(HR_Data5[[#This Row],[Age]]&lt;30,"Young",IF(HR_Data5[[#This Row],[Age]]&lt;=45,"Mid-Career","Senior"))</f>
        <v>Mid-Career</v>
      </c>
      <c r="L284" s="10">
        <f ca="1">DATEDIF(HR_Data5[[#This Row],[Joining Date]],TODAY(),"Y")</f>
        <v>6</v>
      </c>
      <c r="M284" s="10" t="str">
        <f>IF(HR_Data5[[#This Row],[Salary]]&lt;55000,"Low",IF(HR_Data5[[#This Row],[Salary]]&lt;=65000,"Medium","High"))</f>
        <v>High</v>
      </c>
      <c r="N284" s="10">
        <f>YEAR(HR_Data5[[#This Row],[Joining Date]])</f>
        <v>2020</v>
      </c>
      <c r="O284" s="10" cm="1">
        <f t="array" ref="O284">_xlfn.SWITCH(HR_Data5[[#This Row],[Performance Score]],
"A",5,
"B",4,
"C",3,
"D",2,
"F",1)</f>
        <v>2</v>
      </c>
      <c r="P284" s="10"/>
    </row>
    <row r="285" spans="1:16" x14ac:dyDescent="0.3">
      <c r="A285" t="s">
        <v>56</v>
      </c>
      <c r="B285">
        <v>25</v>
      </c>
      <c r="C285" s="6">
        <v>70000</v>
      </c>
      <c r="D285" t="s">
        <v>11</v>
      </c>
      <c r="E285" t="s">
        <v>37</v>
      </c>
      <c r="F285" t="s">
        <v>13</v>
      </c>
      <c r="G285" s="7">
        <v>43845</v>
      </c>
      <c r="H285" t="s">
        <v>31</v>
      </c>
      <c r="I285" t="s">
        <v>69</v>
      </c>
      <c r="J285" t="s">
        <v>28</v>
      </c>
      <c r="K285" t="str">
        <f>IF(HR_Data5[[#This Row],[Age]]&lt;30,"Young",IF(HR_Data5[[#This Row],[Age]]&lt;=45,"Mid-Career","Senior"))</f>
        <v>Young</v>
      </c>
      <c r="L285" s="10">
        <f ca="1">DATEDIF(HR_Data5[[#This Row],[Joining Date]],TODAY(),"Y")</f>
        <v>6</v>
      </c>
      <c r="M285" s="10" t="str">
        <f>IF(HR_Data5[[#This Row],[Salary]]&lt;55000,"Low",IF(HR_Data5[[#This Row],[Salary]]&lt;=65000,"Medium","High"))</f>
        <v>High</v>
      </c>
      <c r="N285" s="10">
        <f>YEAR(HR_Data5[[#This Row],[Joining Date]])</f>
        <v>2020</v>
      </c>
      <c r="O285" s="10" cm="1">
        <f t="array" ref="O285">_xlfn.SWITCH(HR_Data5[[#This Row],[Performance Score]],
"A",5,
"B",4,
"C",3,
"D",2,
"F",1)</f>
        <v>5</v>
      </c>
      <c r="P285" s="10"/>
    </row>
    <row r="286" spans="1:16" x14ac:dyDescent="0.3">
      <c r="A286" t="s">
        <v>57</v>
      </c>
      <c r="B286">
        <v>30</v>
      </c>
      <c r="C286" s="6">
        <v>65000</v>
      </c>
      <c r="D286" t="s">
        <v>11</v>
      </c>
      <c r="E286" t="s">
        <v>30</v>
      </c>
      <c r="F286" t="s">
        <v>44</v>
      </c>
      <c r="G286" s="7">
        <v>43549</v>
      </c>
      <c r="H286" t="s">
        <v>27</v>
      </c>
      <c r="I286" t="s">
        <v>22</v>
      </c>
      <c r="J286" t="s">
        <v>45</v>
      </c>
      <c r="K286" t="str">
        <f>IF(HR_Data5[[#This Row],[Age]]&lt;30,"Young",IF(HR_Data5[[#This Row],[Age]]&lt;=45,"Mid-Career","Senior"))</f>
        <v>Mid-Career</v>
      </c>
      <c r="L286" s="10">
        <f ca="1">DATEDIF(HR_Data5[[#This Row],[Joining Date]],TODAY(),"Y")</f>
        <v>6</v>
      </c>
      <c r="M286" s="10" t="str">
        <f>IF(HR_Data5[[#This Row],[Salary]]&lt;55000,"Low",IF(HR_Data5[[#This Row],[Salary]]&lt;=65000,"Medium","High"))</f>
        <v>Medium</v>
      </c>
      <c r="N286" s="10">
        <f>YEAR(HR_Data5[[#This Row],[Joining Date]])</f>
        <v>2019</v>
      </c>
      <c r="O286" s="10" cm="1">
        <f t="array" ref="O286">_xlfn.SWITCH(HR_Data5[[#This Row],[Performance Score]],
"A",5,
"B",4,
"C",3,
"D",2,
"F",1)</f>
        <v>3</v>
      </c>
      <c r="P286" s="10"/>
    </row>
    <row r="287" spans="1:16" x14ac:dyDescent="0.3">
      <c r="A287" t="s">
        <v>53</v>
      </c>
      <c r="B287">
        <v>30</v>
      </c>
      <c r="C287" s="6">
        <v>65000</v>
      </c>
      <c r="D287" t="s">
        <v>11</v>
      </c>
      <c r="E287" t="s">
        <v>19</v>
      </c>
      <c r="F287" t="s">
        <v>20</v>
      </c>
      <c r="G287" s="7">
        <v>43881</v>
      </c>
      <c r="H287" t="s">
        <v>14</v>
      </c>
      <c r="I287" t="s">
        <v>69</v>
      </c>
      <c r="J287" t="s">
        <v>69</v>
      </c>
      <c r="K287" t="str">
        <f>IF(HR_Data5[[#This Row],[Age]]&lt;30,"Young",IF(HR_Data5[[#This Row],[Age]]&lt;=45,"Mid-Career","Senior"))</f>
        <v>Mid-Career</v>
      </c>
      <c r="L287" s="10">
        <f ca="1">DATEDIF(HR_Data5[[#This Row],[Joining Date]],TODAY(),"Y")</f>
        <v>6</v>
      </c>
      <c r="M287" s="10" t="str">
        <f>IF(HR_Data5[[#This Row],[Salary]]&lt;55000,"Low",IF(HR_Data5[[#This Row],[Salary]]&lt;=65000,"Medium","High"))</f>
        <v>Medium</v>
      </c>
      <c r="N287" s="10">
        <f>YEAR(HR_Data5[[#This Row],[Joining Date]])</f>
        <v>2020</v>
      </c>
      <c r="O287" s="10" cm="1">
        <f t="array" ref="O287">_xlfn.SWITCH(HR_Data5[[#This Row],[Performance Score]],
"A",5,
"B",4,
"C",3,
"D",2,
"F",1)</f>
        <v>2</v>
      </c>
      <c r="P287" s="10"/>
    </row>
    <row r="288" spans="1:16" x14ac:dyDescent="0.3">
      <c r="A288" t="s">
        <v>58</v>
      </c>
      <c r="B288">
        <v>40</v>
      </c>
      <c r="C288" s="6">
        <v>50000</v>
      </c>
      <c r="D288" t="s">
        <v>11</v>
      </c>
      <c r="E288" t="s">
        <v>12</v>
      </c>
      <c r="F288" t="s">
        <v>13</v>
      </c>
      <c r="G288" s="7">
        <v>43549</v>
      </c>
      <c r="H288" t="s">
        <v>27</v>
      </c>
      <c r="I288" t="s">
        <v>69</v>
      </c>
      <c r="J288" t="s">
        <v>23</v>
      </c>
      <c r="K288" t="str">
        <f>IF(HR_Data5[[#This Row],[Age]]&lt;30,"Young",IF(HR_Data5[[#This Row],[Age]]&lt;=45,"Mid-Career","Senior"))</f>
        <v>Mid-Career</v>
      </c>
      <c r="L288" s="10">
        <f ca="1">DATEDIF(HR_Data5[[#This Row],[Joining Date]],TODAY(),"Y")</f>
        <v>6</v>
      </c>
      <c r="M288" s="10" t="str">
        <f>IF(HR_Data5[[#This Row],[Salary]]&lt;55000,"Low",IF(HR_Data5[[#This Row],[Salary]]&lt;=65000,"Medium","High"))</f>
        <v>Low</v>
      </c>
      <c r="N288" s="10">
        <f>YEAR(HR_Data5[[#This Row],[Joining Date]])</f>
        <v>2019</v>
      </c>
      <c r="O288" s="10" cm="1">
        <f t="array" ref="O288">_xlfn.SWITCH(HR_Data5[[#This Row],[Performance Score]],
"A",5,
"B",4,
"C",3,
"D",2,
"F",1)</f>
        <v>3</v>
      </c>
      <c r="P288" s="10"/>
    </row>
    <row r="289" spans="1:16" x14ac:dyDescent="0.3">
      <c r="A289" t="s">
        <v>54</v>
      </c>
      <c r="B289">
        <v>25</v>
      </c>
      <c r="C289" s="6">
        <v>50000</v>
      </c>
      <c r="D289" t="s">
        <v>36</v>
      </c>
      <c r="E289" t="s">
        <v>26</v>
      </c>
      <c r="F289" t="s">
        <v>13</v>
      </c>
      <c r="G289" s="7">
        <v>43881</v>
      </c>
      <c r="H289" t="s">
        <v>41</v>
      </c>
      <c r="I289" t="s">
        <v>69</v>
      </c>
      <c r="J289" t="s">
        <v>69</v>
      </c>
      <c r="K289" t="str">
        <f>IF(HR_Data5[[#This Row],[Age]]&lt;30,"Young",IF(HR_Data5[[#This Row],[Age]]&lt;=45,"Mid-Career","Senior"))</f>
        <v>Young</v>
      </c>
      <c r="L289" s="10">
        <f ca="1">DATEDIF(HR_Data5[[#This Row],[Joining Date]],TODAY(),"Y")</f>
        <v>6</v>
      </c>
      <c r="M289" s="10" t="str">
        <f>IF(HR_Data5[[#This Row],[Salary]]&lt;55000,"Low",IF(HR_Data5[[#This Row],[Salary]]&lt;=65000,"Medium","High"))</f>
        <v>Low</v>
      </c>
      <c r="N289" s="10">
        <f>YEAR(HR_Data5[[#This Row],[Joining Date]])</f>
        <v>2020</v>
      </c>
      <c r="O289" s="10" cm="1">
        <f t="array" ref="O289">_xlfn.SWITCH(HR_Data5[[#This Row],[Performance Score]],
"A",5,
"B",4,
"C",3,
"D",2,
"F",1)</f>
        <v>4</v>
      </c>
      <c r="P289" s="10"/>
    </row>
    <row r="290" spans="1:16" x14ac:dyDescent="0.3">
      <c r="A290" t="s">
        <v>59</v>
      </c>
      <c r="B290">
        <v>25</v>
      </c>
      <c r="C290" s="6" t="s">
        <v>68</v>
      </c>
      <c r="D290" t="s">
        <v>36</v>
      </c>
      <c r="E290" t="s">
        <v>19</v>
      </c>
      <c r="F290" t="s">
        <v>20</v>
      </c>
      <c r="G290" s="7">
        <v>43195</v>
      </c>
      <c r="H290" t="s">
        <v>41</v>
      </c>
      <c r="I290" t="s">
        <v>32</v>
      </c>
      <c r="J290" t="s">
        <v>69</v>
      </c>
      <c r="K290" t="str">
        <f>IF(HR_Data5[[#This Row],[Age]]&lt;30,"Young",IF(HR_Data5[[#This Row],[Age]]&lt;=45,"Mid-Career","Senior"))</f>
        <v>Young</v>
      </c>
      <c r="L290" s="10">
        <f ca="1">DATEDIF(HR_Data5[[#This Row],[Joining Date]],TODAY(),"Y")</f>
        <v>7</v>
      </c>
      <c r="M290" s="10" t="str">
        <f>IF(HR_Data5[[#This Row],[Salary]]&lt;55000,"Low",IF(HR_Data5[[#This Row],[Salary]]&lt;=65000,"Medium","High"))</f>
        <v>High</v>
      </c>
      <c r="N290" s="10">
        <f>YEAR(HR_Data5[[#This Row],[Joining Date]])</f>
        <v>2018</v>
      </c>
      <c r="O290" s="10" cm="1">
        <f t="array" ref="O290">_xlfn.SWITCH(HR_Data5[[#This Row],[Performance Score]],
"A",5,
"B",4,
"C",3,
"D",2,
"F",1)</f>
        <v>4</v>
      </c>
      <c r="P290" s="10"/>
    </row>
    <row r="291" spans="1:16" x14ac:dyDescent="0.3">
      <c r="A291" t="s">
        <v>59</v>
      </c>
      <c r="B291">
        <v>25</v>
      </c>
      <c r="C291" s="6">
        <v>70000</v>
      </c>
      <c r="D291" t="s">
        <v>36</v>
      </c>
      <c r="E291" t="s">
        <v>30</v>
      </c>
      <c r="F291" t="s">
        <v>39</v>
      </c>
      <c r="G291" s="7">
        <v>43549</v>
      </c>
      <c r="H291" t="s">
        <v>21</v>
      </c>
      <c r="I291" t="s">
        <v>69</v>
      </c>
      <c r="J291" t="s">
        <v>45</v>
      </c>
      <c r="K291" t="str">
        <f>IF(HR_Data5[[#This Row],[Age]]&lt;30,"Young",IF(HR_Data5[[#This Row],[Age]]&lt;=45,"Mid-Career","Senior"))</f>
        <v>Young</v>
      </c>
      <c r="L291" s="10">
        <f ca="1">DATEDIF(HR_Data5[[#This Row],[Joining Date]],TODAY(),"Y")</f>
        <v>6</v>
      </c>
      <c r="M291" s="10" t="str">
        <f>IF(HR_Data5[[#This Row],[Salary]]&lt;55000,"Low",IF(HR_Data5[[#This Row],[Salary]]&lt;=65000,"Medium","High"))</f>
        <v>High</v>
      </c>
      <c r="N291" s="10">
        <f>YEAR(HR_Data5[[#This Row],[Joining Date]])</f>
        <v>2019</v>
      </c>
      <c r="O291" s="10" cm="1">
        <f t="array" ref="O291">_xlfn.SWITCH(HR_Data5[[#This Row],[Performance Score]],
"A",5,
"B",4,
"C",3,
"D",2,
"F",1)</f>
        <v>1</v>
      </c>
      <c r="P291" s="10"/>
    </row>
    <row r="292" spans="1:16" x14ac:dyDescent="0.3">
      <c r="A292" t="s">
        <v>54</v>
      </c>
      <c r="B292">
        <v>25</v>
      </c>
      <c r="C292" s="6">
        <v>65000</v>
      </c>
      <c r="D292" t="s">
        <v>36</v>
      </c>
      <c r="E292" t="s">
        <v>19</v>
      </c>
      <c r="F292" t="s">
        <v>20</v>
      </c>
      <c r="G292" s="7">
        <v>43549</v>
      </c>
      <c r="H292" t="s">
        <v>41</v>
      </c>
      <c r="I292" t="s">
        <v>69</v>
      </c>
      <c r="J292" t="s">
        <v>45</v>
      </c>
      <c r="K292" t="str">
        <f>IF(HR_Data5[[#This Row],[Age]]&lt;30,"Young",IF(HR_Data5[[#This Row],[Age]]&lt;=45,"Mid-Career","Senior"))</f>
        <v>Young</v>
      </c>
      <c r="L292" s="10">
        <f ca="1">DATEDIF(HR_Data5[[#This Row],[Joining Date]],TODAY(),"Y")</f>
        <v>6</v>
      </c>
      <c r="M292" s="10" t="str">
        <f>IF(HR_Data5[[#This Row],[Salary]]&lt;55000,"Low",IF(HR_Data5[[#This Row],[Salary]]&lt;=65000,"Medium","High"))</f>
        <v>Medium</v>
      </c>
      <c r="N292" s="10">
        <f>YEAR(HR_Data5[[#This Row],[Joining Date]])</f>
        <v>2019</v>
      </c>
      <c r="O292" s="10" cm="1">
        <f t="array" ref="O292">_xlfn.SWITCH(HR_Data5[[#This Row],[Performance Score]],
"A",5,
"B",4,
"C",3,
"D",2,
"F",1)</f>
        <v>4</v>
      </c>
      <c r="P292" s="10"/>
    </row>
    <row r="293" spans="1:16" x14ac:dyDescent="0.3">
      <c r="A293" t="s">
        <v>56</v>
      </c>
      <c r="B293">
        <v>25</v>
      </c>
      <c r="C293" s="6" t="s">
        <v>68</v>
      </c>
      <c r="D293" t="s">
        <v>11</v>
      </c>
      <c r="E293" t="s">
        <v>19</v>
      </c>
      <c r="F293" t="s">
        <v>20</v>
      </c>
      <c r="G293" s="7">
        <v>43800</v>
      </c>
      <c r="H293" t="s">
        <v>27</v>
      </c>
      <c r="I293" t="s">
        <v>15</v>
      </c>
      <c r="J293" t="s">
        <v>69</v>
      </c>
      <c r="K293" t="str">
        <f>IF(HR_Data5[[#This Row],[Age]]&lt;30,"Young",IF(HR_Data5[[#This Row],[Age]]&lt;=45,"Mid-Career","Senior"))</f>
        <v>Young</v>
      </c>
      <c r="L293" s="10">
        <f ca="1">DATEDIF(HR_Data5[[#This Row],[Joining Date]],TODAY(),"Y")</f>
        <v>6</v>
      </c>
      <c r="M293" s="10" t="str">
        <f>IF(HR_Data5[[#This Row],[Salary]]&lt;55000,"Low",IF(HR_Data5[[#This Row],[Salary]]&lt;=65000,"Medium","High"))</f>
        <v>High</v>
      </c>
      <c r="N293" s="10">
        <f>YEAR(HR_Data5[[#This Row],[Joining Date]])</f>
        <v>2019</v>
      </c>
      <c r="O293" s="10" cm="1">
        <f t="array" ref="O293">_xlfn.SWITCH(HR_Data5[[#This Row],[Performance Score]],
"A",5,
"B",4,
"C",3,
"D",2,
"F",1)</f>
        <v>3</v>
      </c>
      <c r="P293" s="10"/>
    </row>
    <row r="294" spans="1:16" x14ac:dyDescent="0.3">
      <c r="A294" t="s">
        <v>52</v>
      </c>
      <c r="B294">
        <v>40</v>
      </c>
      <c r="C294" s="6" t="s">
        <v>68</v>
      </c>
      <c r="D294" t="s">
        <v>36</v>
      </c>
      <c r="E294" t="s">
        <v>30</v>
      </c>
      <c r="F294" t="s">
        <v>39</v>
      </c>
      <c r="G294" s="7">
        <v>43549</v>
      </c>
      <c r="H294" t="s">
        <v>41</v>
      </c>
      <c r="I294" t="s">
        <v>15</v>
      </c>
      <c r="J294" t="s">
        <v>23</v>
      </c>
      <c r="K294" t="str">
        <f>IF(HR_Data5[[#This Row],[Age]]&lt;30,"Young",IF(HR_Data5[[#This Row],[Age]]&lt;=45,"Mid-Career","Senior"))</f>
        <v>Mid-Career</v>
      </c>
      <c r="L294" s="10">
        <f ca="1">DATEDIF(HR_Data5[[#This Row],[Joining Date]],TODAY(),"Y")</f>
        <v>6</v>
      </c>
      <c r="M294" s="10" t="str">
        <f>IF(HR_Data5[[#This Row],[Salary]]&lt;55000,"Low",IF(HR_Data5[[#This Row],[Salary]]&lt;=65000,"Medium","High"))</f>
        <v>High</v>
      </c>
      <c r="N294" s="10">
        <f>YEAR(HR_Data5[[#This Row],[Joining Date]])</f>
        <v>2019</v>
      </c>
      <c r="O294" s="10" cm="1">
        <f t="array" ref="O294">_xlfn.SWITCH(HR_Data5[[#This Row],[Performance Score]],
"A",5,
"B",4,
"C",3,
"D",2,
"F",1)</f>
        <v>4</v>
      </c>
      <c r="P294" s="10"/>
    </row>
    <row r="295" spans="1:16" x14ac:dyDescent="0.3">
      <c r="A295" t="s">
        <v>56</v>
      </c>
      <c r="B295">
        <v>35</v>
      </c>
      <c r="C295" s="6">
        <v>55000</v>
      </c>
      <c r="D295" t="s">
        <v>11</v>
      </c>
      <c r="E295" t="s">
        <v>37</v>
      </c>
      <c r="F295" t="s">
        <v>20</v>
      </c>
      <c r="G295" s="7">
        <v>43881</v>
      </c>
      <c r="H295" t="s">
        <v>14</v>
      </c>
      <c r="I295" t="s">
        <v>22</v>
      </c>
      <c r="J295" t="s">
        <v>69</v>
      </c>
      <c r="K295" t="str">
        <f>IF(HR_Data5[[#This Row],[Age]]&lt;30,"Young",IF(HR_Data5[[#This Row],[Age]]&lt;=45,"Mid-Career","Senior"))</f>
        <v>Mid-Career</v>
      </c>
      <c r="L295" s="10">
        <f ca="1">DATEDIF(HR_Data5[[#This Row],[Joining Date]],TODAY(),"Y")</f>
        <v>6</v>
      </c>
      <c r="M295" s="10" t="str">
        <f>IF(HR_Data5[[#This Row],[Salary]]&lt;55000,"Low",IF(HR_Data5[[#This Row],[Salary]]&lt;=65000,"Medium","High"))</f>
        <v>Medium</v>
      </c>
      <c r="N295" s="10">
        <f>YEAR(HR_Data5[[#This Row],[Joining Date]])</f>
        <v>2020</v>
      </c>
      <c r="O295" s="10" cm="1">
        <f t="array" ref="O295">_xlfn.SWITCH(HR_Data5[[#This Row],[Performance Score]],
"A",5,
"B",4,
"C",3,
"D",2,
"F",1)</f>
        <v>2</v>
      </c>
      <c r="P295" s="10"/>
    </row>
    <row r="296" spans="1:16" x14ac:dyDescent="0.3">
      <c r="A296" t="s">
        <v>59</v>
      </c>
      <c r="B296">
        <v>30</v>
      </c>
      <c r="C296" s="6">
        <v>50000</v>
      </c>
      <c r="D296" t="s">
        <v>36</v>
      </c>
      <c r="E296" t="s">
        <v>37</v>
      </c>
      <c r="F296" t="s">
        <v>13</v>
      </c>
      <c r="G296" s="7">
        <v>43800</v>
      </c>
      <c r="H296" t="s">
        <v>41</v>
      </c>
      <c r="I296" t="s">
        <v>22</v>
      </c>
      <c r="J296" t="s">
        <v>23</v>
      </c>
      <c r="K296" t="str">
        <f>IF(HR_Data5[[#This Row],[Age]]&lt;30,"Young",IF(HR_Data5[[#This Row],[Age]]&lt;=45,"Mid-Career","Senior"))</f>
        <v>Mid-Career</v>
      </c>
      <c r="L296" s="10">
        <f ca="1">DATEDIF(HR_Data5[[#This Row],[Joining Date]],TODAY(),"Y")</f>
        <v>6</v>
      </c>
      <c r="M296" s="10" t="str">
        <f>IF(HR_Data5[[#This Row],[Salary]]&lt;55000,"Low",IF(HR_Data5[[#This Row],[Salary]]&lt;=65000,"Medium","High"))</f>
        <v>Low</v>
      </c>
      <c r="N296" s="10">
        <f>YEAR(HR_Data5[[#This Row],[Joining Date]])</f>
        <v>2019</v>
      </c>
      <c r="O296" s="10" cm="1">
        <f t="array" ref="O296">_xlfn.SWITCH(HR_Data5[[#This Row],[Performance Score]],
"A",5,
"B",4,
"C",3,
"D",2,
"F",1)</f>
        <v>4</v>
      </c>
      <c r="P296" s="10"/>
    </row>
    <row r="297" spans="1:16" x14ac:dyDescent="0.3">
      <c r="A297" t="s">
        <v>59</v>
      </c>
      <c r="B297">
        <v>25</v>
      </c>
      <c r="C297" s="6">
        <v>70000</v>
      </c>
      <c r="D297" t="s">
        <v>18</v>
      </c>
      <c r="E297" t="s">
        <v>12</v>
      </c>
      <c r="F297" t="s">
        <v>20</v>
      </c>
      <c r="G297" s="7">
        <v>43549</v>
      </c>
      <c r="H297" t="s">
        <v>21</v>
      </c>
      <c r="I297" t="s">
        <v>15</v>
      </c>
      <c r="J297" t="s">
        <v>28</v>
      </c>
      <c r="K297" t="str">
        <f>IF(HR_Data5[[#This Row],[Age]]&lt;30,"Young",IF(HR_Data5[[#This Row],[Age]]&lt;=45,"Mid-Career","Senior"))</f>
        <v>Young</v>
      </c>
      <c r="L297" s="10">
        <f ca="1">DATEDIF(HR_Data5[[#This Row],[Joining Date]],TODAY(),"Y")</f>
        <v>6</v>
      </c>
      <c r="M297" s="10" t="str">
        <f>IF(HR_Data5[[#This Row],[Salary]]&lt;55000,"Low",IF(HR_Data5[[#This Row],[Salary]]&lt;=65000,"Medium","High"))</f>
        <v>High</v>
      </c>
      <c r="N297" s="10">
        <f>YEAR(HR_Data5[[#This Row],[Joining Date]])</f>
        <v>2019</v>
      </c>
      <c r="O297" s="10" cm="1">
        <f t="array" ref="O297">_xlfn.SWITCH(HR_Data5[[#This Row],[Performance Score]],
"A",5,
"B",4,
"C",3,
"D",2,
"F",1)</f>
        <v>1</v>
      </c>
      <c r="P297" s="10"/>
    </row>
    <row r="298" spans="1:16" x14ac:dyDescent="0.3">
      <c r="A298" t="s">
        <v>54</v>
      </c>
      <c r="B298">
        <v>35</v>
      </c>
      <c r="C298" s="6">
        <v>65000</v>
      </c>
      <c r="D298" t="s">
        <v>36</v>
      </c>
      <c r="E298" t="s">
        <v>12</v>
      </c>
      <c r="F298" t="s">
        <v>39</v>
      </c>
      <c r="G298" s="7">
        <v>43549</v>
      </c>
      <c r="H298" t="s">
        <v>41</v>
      </c>
      <c r="I298" t="s">
        <v>69</v>
      </c>
      <c r="J298" t="s">
        <v>45</v>
      </c>
      <c r="K298" t="str">
        <f>IF(HR_Data5[[#This Row],[Age]]&lt;30,"Young",IF(HR_Data5[[#This Row],[Age]]&lt;=45,"Mid-Career","Senior"))</f>
        <v>Mid-Career</v>
      </c>
      <c r="L298" s="10">
        <f ca="1">DATEDIF(HR_Data5[[#This Row],[Joining Date]],TODAY(),"Y")</f>
        <v>6</v>
      </c>
      <c r="M298" s="10" t="str">
        <f>IF(HR_Data5[[#This Row],[Salary]]&lt;55000,"Low",IF(HR_Data5[[#This Row],[Salary]]&lt;=65000,"Medium","High"))</f>
        <v>Medium</v>
      </c>
      <c r="N298" s="10">
        <f>YEAR(HR_Data5[[#This Row],[Joining Date]])</f>
        <v>2019</v>
      </c>
      <c r="O298" s="10" cm="1">
        <f t="array" ref="O298">_xlfn.SWITCH(HR_Data5[[#This Row],[Performance Score]],
"A",5,
"B",4,
"C",3,
"D",2,
"F",1)</f>
        <v>4</v>
      </c>
      <c r="P298" s="10"/>
    </row>
    <row r="299" spans="1:16" x14ac:dyDescent="0.3">
      <c r="A299" t="s">
        <v>57</v>
      </c>
      <c r="B299">
        <v>35</v>
      </c>
      <c r="C299" s="6" t="s">
        <v>68</v>
      </c>
      <c r="D299" t="s">
        <v>36</v>
      </c>
      <c r="E299" t="s">
        <v>37</v>
      </c>
      <c r="F299" t="s">
        <v>43</v>
      </c>
      <c r="G299" s="7">
        <v>43195</v>
      </c>
      <c r="H299" t="s">
        <v>27</v>
      </c>
      <c r="I299" t="s">
        <v>22</v>
      </c>
      <c r="J299" t="s">
        <v>23</v>
      </c>
      <c r="K299" t="str">
        <f>IF(HR_Data5[[#This Row],[Age]]&lt;30,"Young",IF(HR_Data5[[#This Row],[Age]]&lt;=45,"Mid-Career","Senior"))</f>
        <v>Mid-Career</v>
      </c>
      <c r="L299" s="10">
        <f ca="1">DATEDIF(HR_Data5[[#This Row],[Joining Date]],TODAY(),"Y")</f>
        <v>7</v>
      </c>
      <c r="M299" s="10" t="str">
        <f>IF(HR_Data5[[#This Row],[Salary]]&lt;55000,"Low",IF(HR_Data5[[#This Row],[Salary]]&lt;=65000,"Medium","High"))</f>
        <v>High</v>
      </c>
      <c r="N299" s="10">
        <f>YEAR(HR_Data5[[#This Row],[Joining Date]])</f>
        <v>2018</v>
      </c>
      <c r="O299" s="10" cm="1">
        <f t="array" ref="O299">_xlfn.SWITCH(HR_Data5[[#This Row],[Performance Score]],
"A",5,
"B",4,
"C",3,
"D",2,
"F",1)</f>
        <v>3</v>
      </c>
      <c r="P299" s="10"/>
    </row>
    <row r="300" spans="1:16" x14ac:dyDescent="0.3">
      <c r="A300" t="s">
        <v>56</v>
      </c>
      <c r="B300">
        <v>30</v>
      </c>
      <c r="C300" s="6">
        <v>65000</v>
      </c>
      <c r="D300" t="s">
        <v>11</v>
      </c>
      <c r="E300" t="s">
        <v>26</v>
      </c>
      <c r="F300" t="s">
        <v>20</v>
      </c>
      <c r="G300" s="7">
        <v>43549</v>
      </c>
      <c r="H300" t="s">
        <v>27</v>
      </c>
      <c r="I300" t="s">
        <v>69</v>
      </c>
      <c r="J300" t="s">
        <v>69</v>
      </c>
      <c r="K300" t="str">
        <f>IF(HR_Data5[[#This Row],[Age]]&lt;30,"Young",IF(HR_Data5[[#This Row],[Age]]&lt;=45,"Mid-Career","Senior"))</f>
        <v>Mid-Career</v>
      </c>
      <c r="L300" s="10">
        <f ca="1">DATEDIF(HR_Data5[[#This Row],[Joining Date]],TODAY(),"Y")</f>
        <v>6</v>
      </c>
      <c r="M300" s="10" t="str">
        <f>IF(HR_Data5[[#This Row],[Salary]]&lt;55000,"Low",IF(HR_Data5[[#This Row],[Salary]]&lt;=65000,"Medium","High"))</f>
        <v>Medium</v>
      </c>
      <c r="N300" s="10">
        <f>YEAR(HR_Data5[[#This Row],[Joining Date]])</f>
        <v>2019</v>
      </c>
      <c r="O300" s="10" cm="1">
        <f t="array" ref="O300">_xlfn.SWITCH(HR_Data5[[#This Row],[Performance Score]],
"A",5,
"B",4,
"C",3,
"D",2,
"F",1)</f>
        <v>3</v>
      </c>
      <c r="P300" s="10"/>
    </row>
    <row r="301" spans="1:16" x14ac:dyDescent="0.3">
      <c r="A301" t="s">
        <v>60</v>
      </c>
      <c r="B301">
        <v>40</v>
      </c>
      <c r="C301" s="6">
        <v>55000</v>
      </c>
      <c r="D301" t="s">
        <v>36</v>
      </c>
      <c r="E301" t="s">
        <v>19</v>
      </c>
      <c r="F301" t="s">
        <v>44</v>
      </c>
      <c r="G301" s="7">
        <v>43845</v>
      </c>
      <c r="H301" t="s">
        <v>41</v>
      </c>
      <c r="I301" t="s">
        <v>69</v>
      </c>
      <c r="J301" t="s">
        <v>69</v>
      </c>
      <c r="K301" t="str">
        <f>IF(HR_Data5[[#This Row],[Age]]&lt;30,"Young",IF(HR_Data5[[#This Row],[Age]]&lt;=45,"Mid-Career","Senior"))</f>
        <v>Mid-Career</v>
      </c>
      <c r="L301" s="10">
        <f ca="1">DATEDIF(HR_Data5[[#This Row],[Joining Date]],TODAY(),"Y")</f>
        <v>6</v>
      </c>
      <c r="M301" s="10" t="str">
        <f>IF(HR_Data5[[#This Row],[Salary]]&lt;55000,"Low",IF(HR_Data5[[#This Row],[Salary]]&lt;=65000,"Medium","High"))</f>
        <v>Medium</v>
      </c>
      <c r="N301" s="10">
        <f>YEAR(HR_Data5[[#This Row],[Joining Date]])</f>
        <v>2020</v>
      </c>
      <c r="O301" s="10" cm="1">
        <f t="array" ref="O301">_xlfn.SWITCH(HR_Data5[[#This Row],[Performance Score]],
"A",5,
"B",4,
"C",3,
"D",2,
"F",1)</f>
        <v>4</v>
      </c>
      <c r="P301" s="10"/>
    </row>
    <row r="302" spans="1:16" x14ac:dyDescent="0.3">
      <c r="A302" t="s">
        <v>54</v>
      </c>
      <c r="B302">
        <v>36</v>
      </c>
      <c r="C302" s="6">
        <v>70000</v>
      </c>
      <c r="D302" t="s">
        <v>18</v>
      </c>
      <c r="E302" t="s">
        <v>26</v>
      </c>
      <c r="F302" t="s">
        <v>13</v>
      </c>
      <c r="G302" s="7">
        <v>43800</v>
      </c>
      <c r="H302" t="s">
        <v>27</v>
      </c>
      <c r="I302" t="s">
        <v>69</v>
      </c>
      <c r="J302" t="s">
        <v>45</v>
      </c>
      <c r="K302" t="str">
        <f>IF(HR_Data5[[#This Row],[Age]]&lt;30,"Young",IF(HR_Data5[[#This Row],[Age]]&lt;=45,"Mid-Career","Senior"))</f>
        <v>Mid-Career</v>
      </c>
      <c r="L302" s="10">
        <f ca="1">DATEDIF(HR_Data5[[#This Row],[Joining Date]],TODAY(),"Y")</f>
        <v>6</v>
      </c>
      <c r="M302" s="10" t="str">
        <f>IF(HR_Data5[[#This Row],[Salary]]&lt;55000,"Low",IF(HR_Data5[[#This Row],[Salary]]&lt;=65000,"Medium","High"))</f>
        <v>High</v>
      </c>
      <c r="N302" s="10">
        <f>YEAR(HR_Data5[[#This Row],[Joining Date]])</f>
        <v>2019</v>
      </c>
      <c r="O302" s="10" cm="1">
        <f t="array" ref="O302">_xlfn.SWITCH(HR_Data5[[#This Row],[Performance Score]],
"A",5,
"B",4,
"C",3,
"D",2,
"F",1)</f>
        <v>3</v>
      </c>
      <c r="P302" s="10"/>
    </row>
    <row r="303" spans="1:16" x14ac:dyDescent="0.3">
      <c r="A303" t="s">
        <v>53</v>
      </c>
      <c r="B303">
        <v>36</v>
      </c>
      <c r="C303" s="6" t="s">
        <v>68</v>
      </c>
      <c r="D303" t="s">
        <v>11</v>
      </c>
      <c r="E303" t="s">
        <v>19</v>
      </c>
      <c r="F303" t="s">
        <v>13</v>
      </c>
      <c r="G303" s="7">
        <v>43845</v>
      </c>
      <c r="H303" t="s">
        <v>27</v>
      </c>
      <c r="I303" t="s">
        <v>22</v>
      </c>
      <c r="J303" t="s">
        <v>69</v>
      </c>
      <c r="K303" t="str">
        <f>IF(HR_Data5[[#This Row],[Age]]&lt;30,"Young",IF(HR_Data5[[#This Row],[Age]]&lt;=45,"Mid-Career","Senior"))</f>
        <v>Mid-Career</v>
      </c>
      <c r="L303" s="10">
        <f ca="1">DATEDIF(HR_Data5[[#This Row],[Joining Date]],TODAY(),"Y")</f>
        <v>6</v>
      </c>
      <c r="M303" s="10" t="str">
        <f>IF(HR_Data5[[#This Row],[Salary]]&lt;55000,"Low",IF(HR_Data5[[#This Row],[Salary]]&lt;=65000,"Medium","High"))</f>
        <v>High</v>
      </c>
      <c r="N303" s="10">
        <f>YEAR(HR_Data5[[#This Row],[Joining Date]])</f>
        <v>2020</v>
      </c>
      <c r="O303" s="10" cm="1">
        <f t="array" ref="O303">_xlfn.SWITCH(HR_Data5[[#This Row],[Performance Score]],
"A",5,
"B",4,
"C",3,
"D",2,
"F",1)</f>
        <v>3</v>
      </c>
      <c r="P303" s="10"/>
    </row>
    <row r="304" spans="1:16" x14ac:dyDescent="0.3">
      <c r="A304" t="s">
        <v>59</v>
      </c>
      <c r="B304">
        <v>35</v>
      </c>
      <c r="C304" s="6">
        <v>65000</v>
      </c>
      <c r="D304" t="s">
        <v>11</v>
      </c>
      <c r="E304" t="s">
        <v>37</v>
      </c>
      <c r="F304" t="s">
        <v>44</v>
      </c>
      <c r="G304" s="7">
        <v>43800</v>
      </c>
      <c r="H304" t="s">
        <v>21</v>
      </c>
      <c r="I304" t="s">
        <v>69</v>
      </c>
      <c r="J304" t="s">
        <v>69</v>
      </c>
      <c r="K304" t="str">
        <f>IF(HR_Data5[[#This Row],[Age]]&lt;30,"Young",IF(HR_Data5[[#This Row],[Age]]&lt;=45,"Mid-Career","Senior"))</f>
        <v>Mid-Career</v>
      </c>
      <c r="L304" s="10">
        <f ca="1">DATEDIF(HR_Data5[[#This Row],[Joining Date]],TODAY(),"Y")</f>
        <v>6</v>
      </c>
      <c r="M304" s="10" t="str">
        <f>IF(HR_Data5[[#This Row],[Salary]]&lt;55000,"Low",IF(HR_Data5[[#This Row],[Salary]]&lt;=65000,"Medium","High"))</f>
        <v>Medium</v>
      </c>
      <c r="N304" s="10">
        <f>YEAR(HR_Data5[[#This Row],[Joining Date]])</f>
        <v>2019</v>
      </c>
      <c r="O304" s="10" cm="1">
        <f t="array" ref="O304">_xlfn.SWITCH(HR_Data5[[#This Row],[Performance Score]],
"A",5,
"B",4,
"C",3,
"D",2,
"F",1)</f>
        <v>1</v>
      </c>
      <c r="P304" s="10"/>
    </row>
    <row r="305" spans="1:16" x14ac:dyDescent="0.3">
      <c r="A305" t="s">
        <v>54</v>
      </c>
      <c r="B305">
        <v>50</v>
      </c>
      <c r="C305" s="6">
        <v>50000</v>
      </c>
      <c r="D305" t="s">
        <v>36</v>
      </c>
      <c r="E305" t="s">
        <v>12</v>
      </c>
      <c r="F305" t="s">
        <v>44</v>
      </c>
      <c r="G305" s="7">
        <v>43195</v>
      </c>
      <c r="H305" t="s">
        <v>14</v>
      </c>
      <c r="I305" t="s">
        <v>22</v>
      </c>
      <c r="J305" t="s">
        <v>23</v>
      </c>
      <c r="K305" t="str">
        <f>IF(HR_Data5[[#This Row],[Age]]&lt;30,"Young",IF(HR_Data5[[#This Row],[Age]]&lt;=45,"Mid-Career","Senior"))</f>
        <v>Senior</v>
      </c>
      <c r="L305" s="10">
        <f ca="1">DATEDIF(HR_Data5[[#This Row],[Joining Date]],TODAY(),"Y")</f>
        <v>7</v>
      </c>
      <c r="M305" s="10" t="str">
        <f>IF(HR_Data5[[#This Row],[Salary]]&lt;55000,"Low",IF(HR_Data5[[#This Row],[Salary]]&lt;=65000,"Medium","High"))</f>
        <v>Low</v>
      </c>
      <c r="N305" s="10">
        <f>YEAR(HR_Data5[[#This Row],[Joining Date]])</f>
        <v>2018</v>
      </c>
      <c r="O305" s="10" cm="1">
        <f t="array" ref="O305">_xlfn.SWITCH(HR_Data5[[#This Row],[Performance Score]],
"A",5,
"B",4,
"C",3,
"D",2,
"F",1)</f>
        <v>2</v>
      </c>
      <c r="P305" s="10"/>
    </row>
    <row r="306" spans="1:16" x14ac:dyDescent="0.3">
      <c r="A306" t="s">
        <v>56</v>
      </c>
      <c r="B306">
        <v>50</v>
      </c>
      <c r="C306" s="6">
        <v>55000</v>
      </c>
      <c r="D306" t="s">
        <v>11</v>
      </c>
      <c r="E306" t="s">
        <v>12</v>
      </c>
      <c r="F306" t="s">
        <v>20</v>
      </c>
      <c r="G306" s="7">
        <v>43549</v>
      </c>
      <c r="H306" t="s">
        <v>21</v>
      </c>
      <c r="I306" t="s">
        <v>22</v>
      </c>
      <c r="J306" t="s">
        <v>69</v>
      </c>
      <c r="K306" t="str">
        <f>IF(HR_Data5[[#This Row],[Age]]&lt;30,"Young",IF(HR_Data5[[#This Row],[Age]]&lt;=45,"Mid-Career","Senior"))</f>
        <v>Senior</v>
      </c>
      <c r="L306" s="10">
        <f ca="1">DATEDIF(HR_Data5[[#This Row],[Joining Date]],TODAY(),"Y")</f>
        <v>6</v>
      </c>
      <c r="M306" s="10" t="str">
        <f>IF(HR_Data5[[#This Row],[Salary]]&lt;55000,"Low",IF(HR_Data5[[#This Row],[Salary]]&lt;=65000,"Medium","High"))</f>
        <v>Medium</v>
      </c>
      <c r="N306" s="10">
        <f>YEAR(HR_Data5[[#This Row],[Joining Date]])</f>
        <v>2019</v>
      </c>
      <c r="O306" s="10" cm="1">
        <f t="array" ref="O306">_xlfn.SWITCH(HR_Data5[[#This Row],[Performance Score]],
"A",5,
"B",4,
"C",3,
"D",2,
"F",1)</f>
        <v>1</v>
      </c>
      <c r="P306" s="10"/>
    </row>
    <row r="307" spans="1:16" x14ac:dyDescent="0.3">
      <c r="A307" t="s">
        <v>59</v>
      </c>
      <c r="B307">
        <v>30</v>
      </c>
      <c r="C307" s="6">
        <v>70000</v>
      </c>
      <c r="D307" t="s">
        <v>11</v>
      </c>
      <c r="E307" t="s">
        <v>26</v>
      </c>
      <c r="F307" t="s">
        <v>44</v>
      </c>
      <c r="G307" s="7">
        <v>43549</v>
      </c>
      <c r="H307" t="s">
        <v>31</v>
      </c>
      <c r="I307" t="s">
        <v>69</v>
      </c>
      <c r="J307" t="s">
        <v>45</v>
      </c>
      <c r="K307" t="str">
        <f>IF(HR_Data5[[#This Row],[Age]]&lt;30,"Young",IF(HR_Data5[[#This Row],[Age]]&lt;=45,"Mid-Career","Senior"))</f>
        <v>Mid-Career</v>
      </c>
      <c r="L307" s="10">
        <f ca="1">DATEDIF(HR_Data5[[#This Row],[Joining Date]],TODAY(),"Y")</f>
        <v>6</v>
      </c>
      <c r="M307" s="10" t="str">
        <f>IF(HR_Data5[[#This Row],[Salary]]&lt;55000,"Low",IF(HR_Data5[[#This Row],[Salary]]&lt;=65000,"Medium","High"))</f>
        <v>High</v>
      </c>
      <c r="N307" s="10">
        <f>YEAR(HR_Data5[[#This Row],[Joining Date]])</f>
        <v>2019</v>
      </c>
      <c r="O307" s="10" cm="1">
        <f t="array" ref="O307">_xlfn.SWITCH(HR_Data5[[#This Row],[Performance Score]],
"A",5,
"B",4,
"C",3,
"D",2,
"F",1)</f>
        <v>5</v>
      </c>
      <c r="P307" s="10"/>
    </row>
    <row r="308" spans="1:16" x14ac:dyDescent="0.3">
      <c r="A308" t="s">
        <v>52</v>
      </c>
      <c r="B308">
        <v>36</v>
      </c>
      <c r="C308" s="6">
        <v>55000</v>
      </c>
      <c r="D308" t="s">
        <v>11</v>
      </c>
      <c r="E308" t="s">
        <v>12</v>
      </c>
      <c r="F308" t="s">
        <v>43</v>
      </c>
      <c r="G308" s="7">
        <v>43549</v>
      </c>
      <c r="H308" t="s">
        <v>21</v>
      </c>
      <c r="I308" t="s">
        <v>15</v>
      </c>
      <c r="J308" t="s">
        <v>23</v>
      </c>
      <c r="K308" t="str">
        <f>IF(HR_Data5[[#This Row],[Age]]&lt;30,"Young",IF(HR_Data5[[#This Row],[Age]]&lt;=45,"Mid-Career","Senior"))</f>
        <v>Mid-Career</v>
      </c>
      <c r="L308" s="10">
        <f ca="1">DATEDIF(HR_Data5[[#This Row],[Joining Date]],TODAY(),"Y")</f>
        <v>6</v>
      </c>
      <c r="M308" s="10" t="str">
        <f>IF(HR_Data5[[#This Row],[Salary]]&lt;55000,"Low",IF(HR_Data5[[#This Row],[Salary]]&lt;=65000,"Medium","High"))</f>
        <v>Medium</v>
      </c>
      <c r="N308" s="10">
        <f>YEAR(HR_Data5[[#This Row],[Joining Date]])</f>
        <v>2019</v>
      </c>
      <c r="O308" s="10" cm="1">
        <f t="array" ref="O308">_xlfn.SWITCH(HR_Data5[[#This Row],[Performance Score]],
"A",5,
"B",4,
"C",3,
"D",2,
"F",1)</f>
        <v>1</v>
      </c>
      <c r="P308" s="10"/>
    </row>
    <row r="309" spans="1:16" x14ac:dyDescent="0.3">
      <c r="A309" t="s">
        <v>54</v>
      </c>
      <c r="B309">
        <v>35</v>
      </c>
      <c r="C309" s="6">
        <v>50000</v>
      </c>
      <c r="D309" t="s">
        <v>11</v>
      </c>
      <c r="E309" t="s">
        <v>37</v>
      </c>
      <c r="F309" t="s">
        <v>39</v>
      </c>
      <c r="G309" s="7">
        <v>43800</v>
      </c>
      <c r="H309" t="s">
        <v>41</v>
      </c>
      <c r="I309" t="s">
        <v>69</v>
      </c>
      <c r="J309" t="s">
        <v>28</v>
      </c>
      <c r="K309" t="str">
        <f>IF(HR_Data5[[#This Row],[Age]]&lt;30,"Young",IF(HR_Data5[[#This Row],[Age]]&lt;=45,"Mid-Career","Senior"))</f>
        <v>Mid-Career</v>
      </c>
      <c r="L309" s="10">
        <f ca="1">DATEDIF(HR_Data5[[#This Row],[Joining Date]],TODAY(),"Y")</f>
        <v>6</v>
      </c>
      <c r="M309" s="10" t="str">
        <f>IF(HR_Data5[[#This Row],[Salary]]&lt;55000,"Low",IF(HR_Data5[[#This Row],[Salary]]&lt;=65000,"Medium","High"))</f>
        <v>Low</v>
      </c>
      <c r="N309" s="10">
        <f>YEAR(HR_Data5[[#This Row],[Joining Date]])</f>
        <v>2019</v>
      </c>
      <c r="O309" s="10" cm="1">
        <f t="array" ref="O309">_xlfn.SWITCH(HR_Data5[[#This Row],[Performance Score]],
"A",5,
"B",4,
"C",3,
"D",2,
"F",1)</f>
        <v>4</v>
      </c>
      <c r="P309" s="10"/>
    </row>
    <row r="310" spans="1:16" x14ac:dyDescent="0.3">
      <c r="A310" t="s">
        <v>51</v>
      </c>
      <c r="B310">
        <v>40</v>
      </c>
      <c r="C310" s="6">
        <v>70000</v>
      </c>
      <c r="D310" t="s">
        <v>11</v>
      </c>
      <c r="E310" t="s">
        <v>26</v>
      </c>
      <c r="F310" t="s">
        <v>44</v>
      </c>
      <c r="G310" s="7">
        <v>43549</v>
      </c>
      <c r="H310" t="s">
        <v>14</v>
      </c>
      <c r="I310" t="s">
        <v>69</v>
      </c>
      <c r="J310" t="s">
        <v>69</v>
      </c>
      <c r="K310" t="str">
        <f>IF(HR_Data5[[#This Row],[Age]]&lt;30,"Young",IF(HR_Data5[[#This Row],[Age]]&lt;=45,"Mid-Career","Senior"))</f>
        <v>Mid-Career</v>
      </c>
      <c r="L310" s="10">
        <f ca="1">DATEDIF(HR_Data5[[#This Row],[Joining Date]],TODAY(),"Y")</f>
        <v>6</v>
      </c>
      <c r="M310" s="10" t="str">
        <f>IF(HR_Data5[[#This Row],[Salary]]&lt;55000,"Low",IF(HR_Data5[[#This Row],[Salary]]&lt;=65000,"Medium","High"))</f>
        <v>High</v>
      </c>
      <c r="N310" s="10">
        <f>YEAR(HR_Data5[[#This Row],[Joining Date]])</f>
        <v>2019</v>
      </c>
      <c r="O310" s="10" cm="1">
        <f t="array" ref="O310">_xlfn.SWITCH(HR_Data5[[#This Row],[Performance Score]],
"A",5,
"B",4,
"C",3,
"D",2,
"F",1)</f>
        <v>2</v>
      </c>
      <c r="P310" s="10"/>
    </row>
    <row r="311" spans="1:16" x14ac:dyDescent="0.3">
      <c r="A311" t="s">
        <v>59</v>
      </c>
      <c r="B311">
        <v>36</v>
      </c>
      <c r="C311" s="6">
        <v>55000</v>
      </c>
      <c r="D311" t="s">
        <v>11</v>
      </c>
      <c r="E311" t="s">
        <v>19</v>
      </c>
      <c r="F311" t="s">
        <v>44</v>
      </c>
      <c r="G311" s="7">
        <v>43845</v>
      </c>
      <c r="H311" t="s">
        <v>41</v>
      </c>
      <c r="I311" t="s">
        <v>32</v>
      </c>
      <c r="J311" t="s">
        <v>69</v>
      </c>
      <c r="K311" t="str">
        <f>IF(HR_Data5[[#This Row],[Age]]&lt;30,"Young",IF(HR_Data5[[#This Row],[Age]]&lt;=45,"Mid-Career","Senior"))</f>
        <v>Mid-Career</v>
      </c>
      <c r="L311" s="10">
        <f ca="1">DATEDIF(HR_Data5[[#This Row],[Joining Date]],TODAY(),"Y")</f>
        <v>6</v>
      </c>
      <c r="M311" s="10" t="str">
        <f>IF(HR_Data5[[#This Row],[Salary]]&lt;55000,"Low",IF(HR_Data5[[#This Row],[Salary]]&lt;=65000,"Medium","High"))</f>
        <v>Medium</v>
      </c>
      <c r="N311" s="10">
        <f>YEAR(HR_Data5[[#This Row],[Joining Date]])</f>
        <v>2020</v>
      </c>
      <c r="O311" s="10" cm="1">
        <f t="array" ref="O311">_xlfn.SWITCH(HR_Data5[[#This Row],[Performance Score]],
"A",5,
"B",4,
"C",3,
"D",2,
"F",1)</f>
        <v>4</v>
      </c>
      <c r="P311" s="10"/>
    </row>
    <row r="312" spans="1:16" x14ac:dyDescent="0.3">
      <c r="A312" t="s">
        <v>56</v>
      </c>
      <c r="B312">
        <v>35</v>
      </c>
      <c r="C312" s="6">
        <v>60000</v>
      </c>
      <c r="D312" t="s">
        <v>18</v>
      </c>
      <c r="E312" t="s">
        <v>12</v>
      </c>
      <c r="F312" t="s">
        <v>43</v>
      </c>
      <c r="G312" s="7">
        <v>43549</v>
      </c>
      <c r="H312" t="s">
        <v>31</v>
      </c>
      <c r="I312" t="s">
        <v>69</v>
      </c>
      <c r="J312" t="s">
        <v>23</v>
      </c>
      <c r="K312" t="str">
        <f>IF(HR_Data5[[#This Row],[Age]]&lt;30,"Young",IF(HR_Data5[[#This Row],[Age]]&lt;=45,"Mid-Career","Senior"))</f>
        <v>Mid-Career</v>
      </c>
      <c r="L312" s="10">
        <f ca="1">DATEDIF(HR_Data5[[#This Row],[Joining Date]],TODAY(),"Y")</f>
        <v>6</v>
      </c>
      <c r="M312" s="10" t="str">
        <f>IF(HR_Data5[[#This Row],[Salary]]&lt;55000,"Low",IF(HR_Data5[[#This Row],[Salary]]&lt;=65000,"Medium","High"))</f>
        <v>Medium</v>
      </c>
      <c r="N312" s="10">
        <f>YEAR(HR_Data5[[#This Row],[Joining Date]])</f>
        <v>2019</v>
      </c>
      <c r="O312" s="10" cm="1">
        <f t="array" ref="O312">_xlfn.SWITCH(HR_Data5[[#This Row],[Performance Score]],
"A",5,
"B",4,
"C",3,
"D",2,
"F",1)</f>
        <v>5</v>
      </c>
      <c r="P312" s="10"/>
    </row>
    <row r="313" spans="1:16" x14ac:dyDescent="0.3">
      <c r="A313" t="s">
        <v>58</v>
      </c>
      <c r="B313">
        <v>35</v>
      </c>
      <c r="C313" s="6">
        <v>50000</v>
      </c>
      <c r="D313" t="s">
        <v>36</v>
      </c>
      <c r="E313" t="s">
        <v>30</v>
      </c>
      <c r="F313" t="s">
        <v>13</v>
      </c>
      <c r="G313" s="7">
        <v>43195</v>
      </c>
      <c r="H313" t="s">
        <v>14</v>
      </c>
      <c r="I313" t="s">
        <v>22</v>
      </c>
      <c r="J313" t="s">
        <v>69</v>
      </c>
      <c r="K313" t="str">
        <f>IF(HR_Data5[[#This Row],[Age]]&lt;30,"Young",IF(HR_Data5[[#This Row],[Age]]&lt;=45,"Mid-Career","Senior"))</f>
        <v>Mid-Career</v>
      </c>
      <c r="L313" s="10">
        <f ca="1">DATEDIF(HR_Data5[[#This Row],[Joining Date]],TODAY(),"Y")</f>
        <v>7</v>
      </c>
      <c r="M313" s="10" t="str">
        <f>IF(HR_Data5[[#This Row],[Salary]]&lt;55000,"Low",IF(HR_Data5[[#This Row],[Salary]]&lt;=65000,"Medium","High"))</f>
        <v>Low</v>
      </c>
      <c r="N313" s="10">
        <f>YEAR(HR_Data5[[#This Row],[Joining Date]])</f>
        <v>2018</v>
      </c>
      <c r="O313" s="10" cm="1">
        <f t="array" ref="O313">_xlfn.SWITCH(HR_Data5[[#This Row],[Performance Score]],
"A",5,
"B",4,
"C",3,
"D",2,
"F",1)</f>
        <v>2</v>
      </c>
      <c r="P313" s="10"/>
    </row>
    <row r="314" spans="1:16" x14ac:dyDescent="0.3">
      <c r="A314" t="s">
        <v>60</v>
      </c>
      <c r="B314">
        <v>25</v>
      </c>
      <c r="C314" s="6">
        <v>50000</v>
      </c>
      <c r="D314" t="s">
        <v>18</v>
      </c>
      <c r="E314" t="s">
        <v>12</v>
      </c>
      <c r="F314" t="s">
        <v>13</v>
      </c>
      <c r="G314" s="7">
        <v>43845</v>
      </c>
      <c r="H314" t="s">
        <v>27</v>
      </c>
      <c r="I314" t="s">
        <v>22</v>
      </c>
      <c r="J314" t="s">
        <v>69</v>
      </c>
      <c r="K314" t="str">
        <f>IF(HR_Data5[[#This Row],[Age]]&lt;30,"Young",IF(HR_Data5[[#This Row],[Age]]&lt;=45,"Mid-Career","Senior"))</f>
        <v>Young</v>
      </c>
      <c r="L314" s="10">
        <f ca="1">DATEDIF(HR_Data5[[#This Row],[Joining Date]],TODAY(),"Y")</f>
        <v>6</v>
      </c>
      <c r="M314" s="10" t="str">
        <f>IF(HR_Data5[[#This Row],[Salary]]&lt;55000,"Low",IF(HR_Data5[[#This Row],[Salary]]&lt;=65000,"Medium","High"))</f>
        <v>Low</v>
      </c>
      <c r="N314" s="10">
        <f>YEAR(HR_Data5[[#This Row],[Joining Date]])</f>
        <v>2020</v>
      </c>
      <c r="O314" s="10" cm="1">
        <f t="array" ref="O314">_xlfn.SWITCH(HR_Data5[[#This Row],[Performance Score]],
"A",5,
"B",4,
"C",3,
"D",2,
"F",1)</f>
        <v>3</v>
      </c>
      <c r="P314" s="10"/>
    </row>
    <row r="315" spans="1:16" x14ac:dyDescent="0.3">
      <c r="A315" t="s">
        <v>55</v>
      </c>
      <c r="B315">
        <v>40</v>
      </c>
      <c r="C315" s="6">
        <v>50000</v>
      </c>
      <c r="D315" t="s">
        <v>11</v>
      </c>
      <c r="E315" t="s">
        <v>19</v>
      </c>
      <c r="F315" t="s">
        <v>20</v>
      </c>
      <c r="G315" s="7">
        <v>43549</v>
      </c>
      <c r="H315" t="s">
        <v>21</v>
      </c>
      <c r="I315" t="s">
        <v>69</v>
      </c>
      <c r="J315" t="s">
        <v>45</v>
      </c>
      <c r="K315" t="str">
        <f>IF(HR_Data5[[#This Row],[Age]]&lt;30,"Young",IF(HR_Data5[[#This Row],[Age]]&lt;=45,"Mid-Career","Senior"))</f>
        <v>Mid-Career</v>
      </c>
      <c r="L315" s="10">
        <f ca="1">DATEDIF(HR_Data5[[#This Row],[Joining Date]],TODAY(),"Y")</f>
        <v>6</v>
      </c>
      <c r="M315" s="10" t="str">
        <f>IF(HR_Data5[[#This Row],[Salary]]&lt;55000,"Low",IF(HR_Data5[[#This Row],[Salary]]&lt;=65000,"Medium","High"))</f>
        <v>Low</v>
      </c>
      <c r="N315" s="10">
        <f>YEAR(HR_Data5[[#This Row],[Joining Date]])</f>
        <v>2019</v>
      </c>
      <c r="O315" s="10" cm="1">
        <f t="array" ref="O315">_xlfn.SWITCH(HR_Data5[[#This Row],[Performance Score]],
"A",5,
"B",4,
"C",3,
"D",2,
"F",1)</f>
        <v>1</v>
      </c>
      <c r="P315" s="10"/>
    </row>
    <row r="316" spans="1:16" x14ac:dyDescent="0.3">
      <c r="A316" t="s">
        <v>57</v>
      </c>
      <c r="B316">
        <v>25</v>
      </c>
      <c r="C316" s="6">
        <v>60000</v>
      </c>
      <c r="D316" t="s">
        <v>11</v>
      </c>
      <c r="E316" t="s">
        <v>26</v>
      </c>
      <c r="F316" t="s">
        <v>43</v>
      </c>
      <c r="G316" s="7">
        <v>43549</v>
      </c>
      <c r="H316" t="s">
        <v>41</v>
      </c>
      <c r="I316" t="s">
        <v>32</v>
      </c>
      <c r="J316" t="s">
        <v>69</v>
      </c>
      <c r="K316" t="str">
        <f>IF(HR_Data5[[#This Row],[Age]]&lt;30,"Young",IF(HR_Data5[[#This Row],[Age]]&lt;=45,"Mid-Career","Senior"))</f>
        <v>Young</v>
      </c>
      <c r="L316" s="10">
        <f ca="1">DATEDIF(HR_Data5[[#This Row],[Joining Date]],TODAY(),"Y")</f>
        <v>6</v>
      </c>
      <c r="M316" s="10" t="str">
        <f>IF(HR_Data5[[#This Row],[Salary]]&lt;55000,"Low",IF(HR_Data5[[#This Row],[Salary]]&lt;=65000,"Medium","High"))</f>
        <v>Medium</v>
      </c>
      <c r="N316" s="10">
        <f>YEAR(HR_Data5[[#This Row],[Joining Date]])</f>
        <v>2019</v>
      </c>
      <c r="O316" s="10" cm="1">
        <f t="array" ref="O316">_xlfn.SWITCH(HR_Data5[[#This Row],[Performance Score]],
"A",5,
"B",4,
"C",3,
"D",2,
"F",1)</f>
        <v>4</v>
      </c>
      <c r="P316" s="10"/>
    </row>
    <row r="317" spans="1:16" x14ac:dyDescent="0.3">
      <c r="A317" t="s">
        <v>55</v>
      </c>
      <c r="B317">
        <v>30</v>
      </c>
      <c r="C317" s="6">
        <v>60000</v>
      </c>
      <c r="D317" t="s">
        <v>36</v>
      </c>
      <c r="E317" t="s">
        <v>19</v>
      </c>
      <c r="F317" t="s">
        <v>39</v>
      </c>
      <c r="G317" s="7">
        <v>43881</v>
      </c>
      <c r="H317" t="s">
        <v>31</v>
      </c>
      <c r="I317" t="s">
        <v>69</v>
      </c>
      <c r="J317" t="s">
        <v>28</v>
      </c>
      <c r="K317" t="str">
        <f>IF(HR_Data5[[#This Row],[Age]]&lt;30,"Young",IF(HR_Data5[[#This Row],[Age]]&lt;=45,"Mid-Career","Senior"))</f>
        <v>Mid-Career</v>
      </c>
      <c r="L317" s="10">
        <f ca="1">DATEDIF(HR_Data5[[#This Row],[Joining Date]],TODAY(),"Y")</f>
        <v>6</v>
      </c>
      <c r="M317" s="10" t="str">
        <f>IF(HR_Data5[[#This Row],[Salary]]&lt;55000,"Low",IF(HR_Data5[[#This Row],[Salary]]&lt;=65000,"Medium","High"))</f>
        <v>Medium</v>
      </c>
      <c r="N317" s="10">
        <f>YEAR(HR_Data5[[#This Row],[Joining Date]])</f>
        <v>2020</v>
      </c>
      <c r="O317" s="10" cm="1">
        <f t="array" ref="O317">_xlfn.SWITCH(HR_Data5[[#This Row],[Performance Score]],
"A",5,
"B",4,
"C",3,
"D",2,
"F",1)</f>
        <v>5</v>
      </c>
      <c r="P317" s="10"/>
    </row>
    <row r="318" spans="1:16" x14ac:dyDescent="0.3">
      <c r="A318" t="s">
        <v>56</v>
      </c>
      <c r="B318">
        <v>25</v>
      </c>
      <c r="C318" s="6">
        <v>65000</v>
      </c>
      <c r="D318" t="s">
        <v>18</v>
      </c>
      <c r="E318" t="s">
        <v>30</v>
      </c>
      <c r="F318" t="s">
        <v>39</v>
      </c>
      <c r="G318" s="7">
        <v>43800</v>
      </c>
      <c r="H318" t="s">
        <v>27</v>
      </c>
      <c r="I318" t="s">
        <v>32</v>
      </c>
      <c r="J318" t="s">
        <v>69</v>
      </c>
      <c r="K318" t="str">
        <f>IF(HR_Data5[[#This Row],[Age]]&lt;30,"Young",IF(HR_Data5[[#This Row],[Age]]&lt;=45,"Mid-Career","Senior"))</f>
        <v>Young</v>
      </c>
      <c r="L318" s="10">
        <f ca="1">DATEDIF(HR_Data5[[#This Row],[Joining Date]],TODAY(),"Y")</f>
        <v>6</v>
      </c>
      <c r="M318" s="10" t="str">
        <f>IF(HR_Data5[[#This Row],[Salary]]&lt;55000,"Low",IF(HR_Data5[[#This Row],[Salary]]&lt;=65000,"Medium","High"))</f>
        <v>Medium</v>
      </c>
      <c r="N318" s="10">
        <f>YEAR(HR_Data5[[#This Row],[Joining Date]])</f>
        <v>2019</v>
      </c>
      <c r="O318" s="10" cm="1">
        <f t="array" ref="O318">_xlfn.SWITCH(HR_Data5[[#This Row],[Performance Score]],
"A",5,
"B",4,
"C",3,
"D",2,
"F",1)</f>
        <v>3</v>
      </c>
      <c r="P318" s="10"/>
    </row>
    <row r="319" spans="1:16" x14ac:dyDescent="0.3">
      <c r="A319" t="s">
        <v>53</v>
      </c>
      <c r="B319">
        <v>25</v>
      </c>
      <c r="C319" s="6" t="s">
        <v>68</v>
      </c>
      <c r="D319" t="s">
        <v>36</v>
      </c>
      <c r="E319" t="s">
        <v>37</v>
      </c>
      <c r="F319" t="s">
        <v>43</v>
      </c>
      <c r="G319" s="7">
        <v>43845</v>
      </c>
      <c r="H319" t="s">
        <v>21</v>
      </c>
      <c r="I319" t="s">
        <v>32</v>
      </c>
      <c r="J319" t="s">
        <v>69</v>
      </c>
      <c r="K319" t="str">
        <f>IF(HR_Data5[[#This Row],[Age]]&lt;30,"Young",IF(HR_Data5[[#This Row],[Age]]&lt;=45,"Mid-Career","Senior"))</f>
        <v>Young</v>
      </c>
      <c r="L319" s="10">
        <f ca="1">DATEDIF(HR_Data5[[#This Row],[Joining Date]],TODAY(),"Y")</f>
        <v>6</v>
      </c>
      <c r="M319" s="10" t="str">
        <f>IF(HR_Data5[[#This Row],[Salary]]&lt;55000,"Low",IF(HR_Data5[[#This Row],[Salary]]&lt;=65000,"Medium","High"))</f>
        <v>High</v>
      </c>
      <c r="N319" s="10">
        <f>YEAR(HR_Data5[[#This Row],[Joining Date]])</f>
        <v>2020</v>
      </c>
      <c r="O319" s="10" cm="1">
        <f t="array" ref="O319">_xlfn.SWITCH(HR_Data5[[#This Row],[Performance Score]],
"A",5,
"B",4,
"C",3,
"D",2,
"F",1)</f>
        <v>1</v>
      </c>
      <c r="P319" s="10"/>
    </row>
    <row r="320" spans="1:16" x14ac:dyDescent="0.3">
      <c r="A320" t="s">
        <v>53</v>
      </c>
      <c r="B320">
        <v>36</v>
      </c>
      <c r="C320" s="6">
        <v>55000</v>
      </c>
      <c r="D320" t="s">
        <v>18</v>
      </c>
      <c r="E320" t="s">
        <v>12</v>
      </c>
      <c r="F320" t="s">
        <v>39</v>
      </c>
      <c r="G320" s="7">
        <v>43881</v>
      </c>
      <c r="H320" t="s">
        <v>27</v>
      </c>
      <c r="I320" t="s">
        <v>69</v>
      </c>
      <c r="J320" t="s">
        <v>69</v>
      </c>
      <c r="K320" t="str">
        <f>IF(HR_Data5[[#This Row],[Age]]&lt;30,"Young",IF(HR_Data5[[#This Row],[Age]]&lt;=45,"Mid-Career","Senior"))</f>
        <v>Mid-Career</v>
      </c>
      <c r="L320" s="10">
        <f ca="1">DATEDIF(HR_Data5[[#This Row],[Joining Date]],TODAY(),"Y")</f>
        <v>6</v>
      </c>
      <c r="M320" s="10" t="str">
        <f>IF(HR_Data5[[#This Row],[Salary]]&lt;55000,"Low",IF(HR_Data5[[#This Row],[Salary]]&lt;=65000,"Medium","High"))</f>
        <v>Medium</v>
      </c>
      <c r="N320" s="10">
        <f>YEAR(HR_Data5[[#This Row],[Joining Date]])</f>
        <v>2020</v>
      </c>
      <c r="O320" s="10" cm="1">
        <f t="array" ref="O320">_xlfn.SWITCH(HR_Data5[[#This Row],[Performance Score]],
"A",5,
"B",4,
"C",3,
"D",2,
"F",1)</f>
        <v>3</v>
      </c>
      <c r="P320" s="10"/>
    </row>
    <row r="321" spans="1:16" x14ac:dyDescent="0.3">
      <c r="A321" t="s">
        <v>58</v>
      </c>
      <c r="B321">
        <v>50</v>
      </c>
      <c r="C321" s="6">
        <v>65000</v>
      </c>
      <c r="D321" t="s">
        <v>11</v>
      </c>
      <c r="E321" t="s">
        <v>26</v>
      </c>
      <c r="F321" t="s">
        <v>13</v>
      </c>
      <c r="G321" s="7">
        <v>43195</v>
      </c>
      <c r="H321" t="s">
        <v>21</v>
      </c>
      <c r="I321" t="s">
        <v>22</v>
      </c>
      <c r="J321" t="s">
        <v>23</v>
      </c>
      <c r="K321" t="str">
        <f>IF(HR_Data5[[#This Row],[Age]]&lt;30,"Young",IF(HR_Data5[[#This Row],[Age]]&lt;=45,"Mid-Career","Senior"))</f>
        <v>Senior</v>
      </c>
      <c r="L321" s="10">
        <f ca="1">DATEDIF(HR_Data5[[#This Row],[Joining Date]],TODAY(),"Y")</f>
        <v>7</v>
      </c>
      <c r="M321" s="10" t="str">
        <f>IF(HR_Data5[[#This Row],[Salary]]&lt;55000,"Low",IF(HR_Data5[[#This Row],[Salary]]&lt;=65000,"Medium","High"))</f>
        <v>Medium</v>
      </c>
      <c r="N321" s="10">
        <f>YEAR(HR_Data5[[#This Row],[Joining Date]])</f>
        <v>2018</v>
      </c>
      <c r="O321" s="10" cm="1">
        <f t="array" ref="O321">_xlfn.SWITCH(HR_Data5[[#This Row],[Performance Score]],
"A",5,
"B",4,
"C",3,
"D",2,
"F",1)</f>
        <v>1</v>
      </c>
      <c r="P321" s="10"/>
    </row>
    <row r="322" spans="1:16" x14ac:dyDescent="0.3">
      <c r="A322" t="s">
        <v>57</v>
      </c>
      <c r="B322">
        <v>35</v>
      </c>
      <c r="C322" s="6">
        <v>55000</v>
      </c>
      <c r="D322" t="s">
        <v>36</v>
      </c>
      <c r="E322" t="s">
        <v>37</v>
      </c>
      <c r="F322" t="s">
        <v>39</v>
      </c>
      <c r="G322" s="7">
        <v>43800</v>
      </c>
      <c r="H322" t="s">
        <v>14</v>
      </c>
      <c r="I322" t="s">
        <v>22</v>
      </c>
      <c r="J322" t="s">
        <v>69</v>
      </c>
      <c r="K322" t="str">
        <f>IF(HR_Data5[[#This Row],[Age]]&lt;30,"Young",IF(HR_Data5[[#This Row],[Age]]&lt;=45,"Mid-Career","Senior"))</f>
        <v>Mid-Career</v>
      </c>
      <c r="L322" s="10">
        <f ca="1">DATEDIF(HR_Data5[[#This Row],[Joining Date]],TODAY(),"Y")</f>
        <v>6</v>
      </c>
      <c r="M322" s="10" t="str">
        <f>IF(HR_Data5[[#This Row],[Salary]]&lt;55000,"Low",IF(HR_Data5[[#This Row],[Salary]]&lt;=65000,"Medium","High"))</f>
        <v>Medium</v>
      </c>
      <c r="N322" s="10">
        <f>YEAR(HR_Data5[[#This Row],[Joining Date]])</f>
        <v>2019</v>
      </c>
      <c r="O322" s="10" cm="1">
        <f t="array" ref="O322">_xlfn.SWITCH(HR_Data5[[#This Row],[Performance Score]],
"A",5,
"B",4,
"C",3,
"D",2,
"F",1)</f>
        <v>2</v>
      </c>
      <c r="P322" s="10"/>
    </row>
    <row r="323" spans="1:16" x14ac:dyDescent="0.3">
      <c r="A323" t="s">
        <v>51</v>
      </c>
      <c r="B323">
        <v>40</v>
      </c>
      <c r="C323" s="6" t="s">
        <v>68</v>
      </c>
      <c r="D323" t="s">
        <v>36</v>
      </c>
      <c r="E323" t="s">
        <v>19</v>
      </c>
      <c r="F323" t="s">
        <v>39</v>
      </c>
      <c r="G323" s="7">
        <v>43845</v>
      </c>
      <c r="H323" t="s">
        <v>27</v>
      </c>
      <c r="I323" t="s">
        <v>32</v>
      </c>
      <c r="J323" t="s">
        <v>69</v>
      </c>
      <c r="K323" t="str">
        <f>IF(HR_Data5[[#This Row],[Age]]&lt;30,"Young",IF(HR_Data5[[#This Row],[Age]]&lt;=45,"Mid-Career","Senior"))</f>
        <v>Mid-Career</v>
      </c>
      <c r="L323" s="10">
        <f ca="1">DATEDIF(HR_Data5[[#This Row],[Joining Date]],TODAY(),"Y")</f>
        <v>6</v>
      </c>
      <c r="M323" s="10" t="str">
        <f>IF(HR_Data5[[#This Row],[Salary]]&lt;55000,"Low",IF(HR_Data5[[#This Row],[Salary]]&lt;=65000,"Medium","High"))</f>
        <v>High</v>
      </c>
      <c r="N323" s="10">
        <f>YEAR(HR_Data5[[#This Row],[Joining Date]])</f>
        <v>2020</v>
      </c>
      <c r="O323" s="10" cm="1">
        <f t="array" ref="O323">_xlfn.SWITCH(HR_Data5[[#This Row],[Performance Score]],
"A",5,
"B",4,
"C",3,
"D",2,
"F",1)</f>
        <v>3</v>
      </c>
      <c r="P323" s="10"/>
    </row>
    <row r="324" spans="1:16" x14ac:dyDescent="0.3">
      <c r="A324" t="s">
        <v>58</v>
      </c>
      <c r="B324">
        <v>25</v>
      </c>
      <c r="C324" s="6">
        <v>60000</v>
      </c>
      <c r="D324" t="s">
        <v>11</v>
      </c>
      <c r="E324" t="s">
        <v>26</v>
      </c>
      <c r="F324" t="s">
        <v>43</v>
      </c>
      <c r="G324" s="7">
        <v>43549</v>
      </c>
      <c r="H324" t="s">
        <v>27</v>
      </c>
      <c r="I324" t="s">
        <v>22</v>
      </c>
      <c r="J324" t="s">
        <v>23</v>
      </c>
      <c r="K324" t="str">
        <f>IF(HR_Data5[[#This Row],[Age]]&lt;30,"Young",IF(HR_Data5[[#This Row],[Age]]&lt;=45,"Mid-Career","Senior"))</f>
        <v>Young</v>
      </c>
      <c r="L324" s="10">
        <f ca="1">DATEDIF(HR_Data5[[#This Row],[Joining Date]],TODAY(),"Y")</f>
        <v>6</v>
      </c>
      <c r="M324" s="10" t="str">
        <f>IF(HR_Data5[[#This Row],[Salary]]&lt;55000,"Low",IF(HR_Data5[[#This Row],[Salary]]&lt;=65000,"Medium","High"))</f>
        <v>Medium</v>
      </c>
      <c r="N324" s="10">
        <f>YEAR(HR_Data5[[#This Row],[Joining Date]])</f>
        <v>2019</v>
      </c>
      <c r="O324" s="10" cm="1">
        <f t="array" ref="O324">_xlfn.SWITCH(HR_Data5[[#This Row],[Performance Score]],
"A",5,
"B",4,
"C",3,
"D",2,
"F",1)</f>
        <v>3</v>
      </c>
      <c r="P324" s="10"/>
    </row>
    <row r="325" spans="1:16" x14ac:dyDescent="0.3">
      <c r="A325" t="s">
        <v>55</v>
      </c>
      <c r="B325">
        <v>40</v>
      </c>
      <c r="C325" s="6" t="s">
        <v>68</v>
      </c>
      <c r="D325" t="s">
        <v>36</v>
      </c>
      <c r="E325" t="s">
        <v>37</v>
      </c>
      <c r="F325" t="s">
        <v>43</v>
      </c>
      <c r="G325" s="7">
        <v>43845</v>
      </c>
      <c r="H325" t="s">
        <v>27</v>
      </c>
      <c r="I325" t="s">
        <v>15</v>
      </c>
      <c r="J325" t="s">
        <v>45</v>
      </c>
      <c r="K325" t="str">
        <f>IF(HR_Data5[[#This Row],[Age]]&lt;30,"Young",IF(HR_Data5[[#This Row],[Age]]&lt;=45,"Mid-Career","Senior"))</f>
        <v>Mid-Career</v>
      </c>
      <c r="L325" s="10">
        <f ca="1">DATEDIF(HR_Data5[[#This Row],[Joining Date]],TODAY(),"Y")</f>
        <v>6</v>
      </c>
      <c r="M325" s="10" t="str">
        <f>IF(HR_Data5[[#This Row],[Salary]]&lt;55000,"Low",IF(HR_Data5[[#This Row],[Salary]]&lt;=65000,"Medium","High"))</f>
        <v>High</v>
      </c>
      <c r="N325" s="10">
        <f>YEAR(HR_Data5[[#This Row],[Joining Date]])</f>
        <v>2020</v>
      </c>
      <c r="O325" s="10" cm="1">
        <f t="array" ref="O325">_xlfn.SWITCH(HR_Data5[[#This Row],[Performance Score]],
"A",5,
"B",4,
"C",3,
"D",2,
"F",1)</f>
        <v>3</v>
      </c>
      <c r="P325" s="10"/>
    </row>
    <row r="326" spans="1:16" x14ac:dyDescent="0.3">
      <c r="A326" t="s">
        <v>58</v>
      </c>
      <c r="B326">
        <v>50</v>
      </c>
      <c r="C326" s="6">
        <v>60000</v>
      </c>
      <c r="D326" t="s">
        <v>18</v>
      </c>
      <c r="E326" t="s">
        <v>26</v>
      </c>
      <c r="F326" t="s">
        <v>39</v>
      </c>
      <c r="G326" s="7">
        <v>43549</v>
      </c>
      <c r="H326" t="s">
        <v>14</v>
      </c>
      <c r="I326" t="s">
        <v>32</v>
      </c>
      <c r="J326" t="s">
        <v>23</v>
      </c>
      <c r="K326" t="str">
        <f>IF(HR_Data5[[#This Row],[Age]]&lt;30,"Young",IF(HR_Data5[[#This Row],[Age]]&lt;=45,"Mid-Career","Senior"))</f>
        <v>Senior</v>
      </c>
      <c r="L326" s="10">
        <f ca="1">DATEDIF(HR_Data5[[#This Row],[Joining Date]],TODAY(),"Y")</f>
        <v>6</v>
      </c>
      <c r="M326" s="10" t="str">
        <f>IF(HR_Data5[[#This Row],[Salary]]&lt;55000,"Low",IF(HR_Data5[[#This Row],[Salary]]&lt;=65000,"Medium","High"))</f>
        <v>Medium</v>
      </c>
      <c r="N326" s="10">
        <f>YEAR(HR_Data5[[#This Row],[Joining Date]])</f>
        <v>2019</v>
      </c>
      <c r="O326" s="10" cm="1">
        <f t="array" ref="O326">_xlfn.SWITCH(HR_Data5[[#This Row],[Performance Score]],
"A",5,
"B",4,
"C",3,
"D",2,
"F",1)</f>
        <v>2</v>
      </c>
      <c r="P326" s="10"/>
    </row>
    <row r="327" spans="1:16" x14ac:dyDescent="0.3">
      <c r="A327" t="s">
        <v>55</v>
      </c>
      <c r="B327">
        <v>50</v>
      </c>
      <c r="C327" s="6" t="s">
        <v>68</v>
      </c>
      <c r="D327" t="s">
        <v>18</v>
      </c>
      <c r="E327" t="s">
        <v>30</v>
      </c>
      <c r="F327" t="s">
        <v>44</v>
      </c>
      <c r="G327" s="7">
        <v>43800</v>
      </c>
      <c r="H327" t="s">
        <v>31</v>
      </c>
      <c r="I327" t="s">
        <v>22</v>
      </c>
      <c r="J327" t="s">
        <v>28</v>
      </c>
      <c r="K327" t="str">
        <f>IF(HR_Data5[[#This Row],[Age]]&lt;30,"Young",IF(HR_Data5[[#This Row],[Age]]&lt;=45,"Mid-Career","Senior"))</f>
        <v>Senior</v>
      </c>
      <c r="L327" s="10">
        <f ca="1">DATEDIF(HR_Data5[[#This Row],[Joining Date]],TODAY(),"Y")</f>
        <v>6</v>
      </c>
      <c r="M327" s="10" t="str">
        <f>IF(HR_Data5[[#This Row],[Salary]]&lt;55000,"Low",IF(HR_Data5[[#This Row],[Salary]]&lt;=65000,"Medium","High"))</f>
        <v>High</v>
      </c>
      <c r="N327" s="10">
        <f>YEAR(HR_Data5[[#This Row],[Joining Date]])</f>
        <v>2019</v>
      </c>
      <c r="O327" s="10" cm="1">
        <f t="array" ref="O327">_xlfn.SWITCH(HR_Data5[[#This Row],[Performance Score]],
"A",5,
"B",4,
"C",3,
"D",2,
"F",1)</f>
        <v>5</v>
      </c>
      <c r="P327" s="10"/>
    </row>
    <row r="328" spans="1:16" x14ac:dyDescent="0.3">
      <c r="A328" t="s">
        <v>59</v>
      </c>
      <c r="B328">
        <v>25</v>
      </c>
      <c r="C328" s="6">
        <v>65000</v>
      </c>
      <c r="D328" t="s">
        <v>18</v>
      </c>
      <c r="E328" t="s">
        <v>30</v>
      </c>
      <c r="F328" t="s">
        <v>43</v>
      </c>
      <c r="G328" s="7">
        <v>43549</v>
      </c>
      <c r="H328" t="s">
        <v>21</v>
      </c>
      <c r="I328" t="s">
        <v>15</v>
      </c>
      <c r="J328" t="s">
        <v>23</v>
      </c>
      <c r="K328" t="str">
        <f>IF(HR_Data5[[#This Row],[Age]]&lt;30,"Young",IF(HR_Data5[[#This Row],[Age]]&lt;=45,"Mid-Career","Senior"))</f>
        <v>Young</v>
      </c>
      <c r="L328" s="10">
        <f ca="1">DATEDIF(HR_Data5[[#This Row],[Joining Date]],TODAY(),"Y")</f>
        <v>6</v>
      </c>
      <c r="M328" s="10" t="str">
        <f>IF(HR_Data5[[#This Row],[Salary]]&lt;55000,"Low",IF(HR_Data5[[#This Row],[Salary]]&lt;=65000,"Medium","High"))</f>
        <v>Medium</v>
      </c>
      <c r="N328" s="10">
        <f>YEAR(HR_Data5[[#This Row],[Joining Date]])</f>
        <v>2019</v>
      </c>
      <c r="O328" s="10" cm="1">
        <f t="array" ref="O328">_xlfn.SWITCH(HR_Data5[[#This Row],[Performance Score]],
"A",5,
"B",4,
"C",3,
"D",2,
"F",1)</f>
        <v>1</v>
      </c>
      <c r="P328" s="10"/>
    </row>
    <row r="329" spans="1:16" x14ac:dyDescent="0.3">
      <c r="A329" t="s">
        <v>53</v>
      </c>
      <c r="B329">
        <v>30</v>
      </c>
      <c r="C329" s="6">
        <v>70000</v>
      </c>
      <c r="D329" t="s">
        <v>18</v>
      </c>
      <c r="E329" t="s">
        <v>12</v>
      </c>
      <c r="F329" t="s">
        <v>20</v>
      </c>
      <c r="G329" s="7">
        <v>43195</v>
      </c>
      <c r="H329" t="s">
        <v>27</v>
      </c>
      <c r="I329" t="s">
        <v>69</v>
      </c>
      <c r="J329" t="s">
        <v>45</v>
      </c>
      <c r="K329" t="str">
        <f>IF(HR_Data5[[#This Row],[Age]]&lt;30,"Young",IF(HR_Data5[[#This Row],[Age]]&lt;=45,"Mid-Career","Senior"))</f>
        <v>Mid-Career</v>
      </c>
      <c r="L329" s="10">
        <f ca="1">DATEDIF(HR_Data5[[#This Row],[Joining Date]],TODAY(),"Y")</f>
        <v>7</v>
      </c>
      <c r="M329" s="10" t="str">
        <f>IF(HR_Data5[[#This Row],[Salary]]&lt;55000,"Low",IF(HR_Data5[[#This Row],[Salary]]&lt;=65000,"Medium","High"))</f>
        <v>High</v>
      </c>
      <c r="N329" s="10">
        <f>YEAR(HR_Data5[[#This Row],[Joining Date]])</f>
        <v>2018</v>
      </c>
      <c r="O329" s="10" cm="1">
        <f t="array" ref="O329">_xlfn.SWITCH(HR_Data5[[#This Row],[Performance Score]],
"A",5,
"B",4,
"C",3,
"D",2,
"F",1)</f>
        <v>3</v>
      </c>
      <c r="P329" s="10"/>
    </row>
    <row r="330" spans="1:16" x14ac:dyDescent="0.3">
      <c r="A330" t="s">
        <v>59</v>
      </c>
      <c r="B330">
        <v>25</v>
      </c>
      <c r="C330" s="6">
        <v>65000</v>
      </c>
      <c r="D330" t="s">
        <v>11</v>
      </c>
      <c r="E330" t="s">
        <v>12</v>
      </c>
      <c r="F330" t="s">
        <v>20</v>
      </c>
      <c r="G330" s="7">
        <v>43549</v>
      </c>
      <c r="H330" t="s">
        <v>14</v>
      </c>
      <c r="I330" t="s">
        <v>22</v>
      </c>
      <c r="J330" t="s">
        <v>69</v>
      </c>
      <c r="K330" t="str">
        <f>IF(HR_Data5[[#This Row],[Age]]&lt;30,"Young",IF(HR_Data5[[#This Row],[Age]]&lt;=45,"Mid-Career","Senior"))</f>
        <v>Young</v>
      </c>
      <c r="L330" s="10">
        <f ca="1">DATEDIF(HR_Data5[[#This Row],[Joining Date]],TODAY(),"Y")</f>
        <v>6</v>
      </c>
      <c r="M330" s="10" t="str">
        <f>IF(HR_Data5[[#This Row],[Salary]]&lt;55000,"Low",IF(HR_Data5[[#This Row],[Salary]]&lt;=65000,"Medium","High"))</f>
        <v>Medium</v>
      </c>
      <c r="N330" s="10">
        <f>YEAR(HR_Data5[[#This Row],[Joining Date]])</f>
        <v>2019</v>
      </c>
      <c r="O330" s="10" cm="1">
        <f t="array" ref="O330">_xlfn.SWITCH(HR_Data5[[#This Row],[Performance Score]],
"A",5,
"B",4,
"C",3,
"D",2,
"F",1)</f>
        <v>2</v>
      </c>
      <c r="P330" s="10"/>
    </row>
    <row r="331" spans="1:16" x14ac:dyDescent="0.3">
      <c r="A331" t="s">
        <v>60</v>
      </c>
      <c r="B331">
        <v>36</v>
      </c>
      <c r="C331" s="6">
        <v>55000</v>
      </c>
      <c r="D331" t="s">
        <v>36</v>
      </c>
      <c r="E331" t="s">
        <v>30</v>
      </c>
      <c r="F331" t="s">
        <v>13</v>
      </c>
      <c r="G331" s="7">
        <v>43195</v>
      </c>
      <c r="H331" t="s">
        <v>31</v>
      </c>
      <c r="I331" t="s">
        <v>15</v>
      </c>
      <c r="J331" t="s">
        <v>23</v>
      </c>
      <c r="K331" t="str">
        <f>IF(HR_Data5[[#This Row],[Age]]&lt;30,"Young",IF(HR_Data5[[#This Row],[Age]]&lt;=45,"Mid-Career","Senior"))</f>
        <v>Mid-Career</v>
      </c>
      <c r="L331" s="10">
        <f ca="1">DATEDIF(HR_Data5[[#This Row],[Joining Date]],TODAY(),"Y")</f>
        <v>7</v>
      </c>
      <c r="M331" s="10" t="str">
        <f>IF(HR_Data5[[#This Row],[Salary]]&lt;55000,"Low",IF(HR_Data5[[#This Row],[Salary]]&lt;=65000,"Medium","High"))</f>
        <v>Medium</v>
      </c>
      <c r="N331" s="10">
        <f>YEAR(HR_Data5[[#This Row],[Joining Date]])</f>
        <v>2018</v>
      </c>
      <c r="O331" s="10" cm="1">
        <f t="array" ref="O331">_xlfn.SWITCH(HR_Data5[[#This Row],[Performance Score]],
"A",5,
"B",4,
"C",3,
"D",2,
"F",1)</f>
        <v>5</v>
      </c>
      <c r="P331" s="10"/>
    </row>
    <row r="332" spans="1:16" x14ac:dyDescent="0.3">
      <c r="A332" t="s">
        <v>57</v>
      </c>
      <c r="B332">
        <v>35</v>
      </c>
      <c r="C332" s="6">
        <v>65000</v>
      </c>
      <c r="D332" t="s">
        <v>18</v>
      </c>
      <c r="E332" t="s">
        <v>26</v>
      </c>
      <c r="F332" t="s">
        <v>39</v>
      </c>
      <c r="G332" s="7">
        <v>43800</v>
      </c>
      <c r="H332" t="s">
        <v>21</v>
      </c>
      <c r="I332" t="s">
        <v>69</v>
      </c>
      <c r="J332" t="s">
        <v>23</v>
      </c>
      <c r="K332" t="str">
        <f>IF(HR_Data5[[#This Row],[Age]]&lt;30,"Young",IF(HR_Data5[[#This Row],[Age]]&lt;=45,"Mid-Career","Senior"))</f>
        <v>Mid-Career</v>
      </c>
      <c r="L332" s="10">
        <f ca="1">DATEDIF(HR_Data5[[#This Row],[Joining Date]],TODAY(),"Y")</f>
        <v>6</v>
      </c>
      <c r="M332" s="10" t="str">
        <f>IF(HR_Data5[[#This Row],[Salary]]&lt;55000,"Low",IF(HR_Data5[[#This Row],[Salary]]&lt;=65000,"Medium","High"))</f>
        <v>Medium</v>
      </c>
      <c r="N332" s="10">
        <f>YEAR(HR_Data5[[#This Row],[Joining Date]])</f>
        <v>2019</v>
      </c>
      <c r="O332" s="10" cm="1">
        <f t="array" ref="O332">_xlfn.SWITCH(HR_Data5[[#This Row],[Performance Score]],
"A",5,
"B",4,
"C",3,
"D",2,
"F",1)</f>
        <v>1</v>
      </c>
      <c r="P332" s="10"/>
    </row>
    <row r="333" spans="1:16" x14ac:dyDescent="0.3">
      <c r="A333" t="s">
        <v>51</v>
      </c>
      <c r="B333">
        <v>30</v>
      </c>
      <c r="C333" s="6">
        <v>50000</v>
      </c>
      <c r="D333" t="s">
        <v>11</v>
      </c>
      <c r="E333" t="s">
        <v>30</v>
      </c>
      <c r="F333" t="s">
        <v>44</v>
      </c>
      <c r="G333" s="7">
        <v>43800</v>
      </c>
      <c r="H333" t="s">
        <v>14</v>
      </c>
      <c r="I333" t="s">
        <v>69</v>
      </c>
      <c r="J333" t="s">
        <v>23</v>
      </c>
      <c r="K333" t="str">
        <f>IF(HR_Data5[[#This Row],[Age]]&lt;30,"Young",IF(HR_Data5[[#This Row],[Age]]&lt;=45,"Mid-Career","Senior"))</f>
        <v>Mid-Career</v>
      </c>
      <c r="L333" s="10">
        <f ca="1">DATEDIF(HR_Data5[[#This Row],[Joining Date]],TODAY(),"Y")</f>
        <v>6</v>
      </c>
      <c r="M333" s="10" t="str">
        <f>IF(HR_Data5[[#This Row],[Salary]]&lt;55000,"Low",IF(HR_Data5[[#This Row],[Salary]]&lt;=65000,"Medium","High"))</f>
        <v>Low</v>
      </c>
      <c r="N333" s="10">
        <f>YEAR(HR_Data5[[#This Row],[Joining Date]])</f>
        <v>2019</v>
      </c>
      <c r="O333" s="10" cm="1">
        <f t="array" ref="O333">_xlfn.SWITCH(HR_Data5[[#This Row],[Performance Score]],
"A",5,
"B",4,
"C",3,
"D",2,
"F",1)</f>
        <v>2</v>
      </c>
      <c r="P333" s="10"/>
    </row>
    <row r="334" spans="1:16" x14ac:dyDescent="0.3">
      <c r="A334" t="s">
        <v>55</v>
      </c>
      <c r="B334">
        <v>25</v>
      </c>
      <c r="C334" s="6">
        <v>55000</v>
      </c>
      <c r="D334" t="s">
        <v>36</v>
      </c>
      <c r="E334" t="s">
        <v>12</v>
      </c>
      <c r="F334" t="s">
        <v>13</v>
      </c>
      <c r="G334" s="7">
        <v>43845</v>
      </c>
      <c r="H334" t="s">
        <v>21</v>
      </c>
      <c r="I334" t="s">
        <v>15</v>
      </c>
      <c r="J334" t="s">
        <v>23</v>
      </c>
      <c r="K334" t="str">
        <f>IF(HR_Data5[[#This Row],[Age]]&lt;30,"Young",IF(HR_Data5[[#This Row],[Age]]&lt;=45,"Mid-Career","Senior"))</f>
        <v>Young</v>
      </c>
      <c r="L334" s="10">
        <f ca="1">DATEDIF(HR_Data5[[#This Row],[Joining Date]],TODAY(),"Y")</f>
        <v>6</v>
      </c>
      <c r="M334" s="10" t="str">
        <f>IF(HR_Data5[[#This Row],[Salary]]&lt;55000,"Low",IF(HR_Data5[[#This Row],[Salary]]&lt;=65000,"Medium","High"))</f>
        <v>Medium</v>
      </c>
      <c r="N334" s="10">
        <f>YEAR(HR_Data5[[#This Row],[Joining Date]])</f>
        <v>2020</v>
      </c>
      <c r="O334" s="10" cm="1">
        <f t="array" ref="O334">_xlfn.SWITCH(HR_Data5[[#This Row],[Performance Score]],
"A",5,
"B",4,
"C",3,
"D",2,
"F",1)</f>
        <v>1</v>
      </c>
      <c r="P334" s="10"/>
    </row>
    <row r="335" spans="1:16" x14ac:dyDescent="0.3">
      <c r="A335" t="s">
        <v>51</v>
      </c>
      <c r="B335">
        <v>40</v>
      </c>
      <c r="C335" s="6" t="s">
        <v>68</v>
      </c>
      <c r="D335" t="s">
        <v>36</v>
      </c>
      <c r="E335" t="s">
        <v>30</v>
      </c>
      <c r="F335" t="s">
        <v>39</v>
      </c>
      <c r="G335" s="7">
        <v>43195</v>
      </c>
      <c r="H335" t="s">
        <v>27</v>
      </c>
      <c r="I335" t="s">
        <v>32</v>
      </c>
      <c r="J335" t="s">
        <v>45</v>
      </c>
      <c r="K335" t="str">
        <f>IF(HR_Data5[[#This Row],[Age]]&lt;30,"Young",IF(HR_Data5[[#This Row],[Age]]&lt;=45,"Mid-Career","Senior"))</f>
        <v>Mid-Career</v>
      </c>
      <c r="L335" s="10">
        <f ca="1">DATEDIF(HR_Data5[[#This Row],[Joining Date]],TODAY(),"Y")</f>
        <v>7</v>
      </c>
      <c r="M335" s="10" t="str">
        <f>IF(HR_Data5[[#This Row],[Salary]]&lt;55000,"Low",IF(HR_Data5[[#This Row],[Salary]]&lt;=65000,"Medium","High"))</f>
        <v>High</v>
      </c>
      <c r="N335" s="10">
        <f>YEAR(HR_Data5[[#This Row],[Joining Date]])</f>
        <v>2018</v>
      </c>
      <c r="O335" s="10" cm="1">
        <f t="array" ref="O335">_xlfn.SWITCH(HR_Data5[[#This Row],[Performance Score]],
"A",5,
"B",4,
"C",3,
"D",2,
"F",1)</f>
        <v>3</v>
      </c>
      <c r="P335" s="10"/>
    </row>
    <row r="336" spans="1:16" x14ac:dyDescent="0.3">
      <c r="A336" t="s">
        <v>55</v>
      </c>
      <c r="B336">
        <v>30</v>
      </c>
      <c r="C336" s="6">
        <v>55000</v>
      </c>
      <c r="D336" t="s">
        <v>11</v>
      </c>
      <c r="E336" t="s">
        <v>30</v>
      </c>
      <c r="F336" t="s">
        <v>43</v>
      </c>
      <c r="G336" s="7">
        <v>43195</v>
      </c>
      <c r="H336" t="s">
        <v>31</v>
      </c>
      <c r="I336" t="s">
        <v>32</v>
      </c>
      <c r="J336" t="s">
        <v>69</v>
      </c>
      <c r="K336" t="str">
        <f>IF(HR_Data5[[#This Row],[Age]]&lt;30,"Young",IF(HR_Data5[[#This Row],[Age]]&lt;=45,"Mid-Career","Senior"))</f>
        <v>Mid-Career</v>
      </c>
      <c r="L336" s="10">
        <f ca="1">DATEDIF(HR_Data5[[#This Row],[Joining Date]],TODAY(),"Y")</f>
        <v>7</v>
      </c>
      <c r="M336" s="10" t="str">
        <f>IF(HR_Data5[[#This Row],[Salary]]&lt;55000,"Low",IF(HR_Data5[[#This Row],[Salary]]&lt;=65000,"Medium","High"))</f>
        <v>Medium</v>
      </c>
      <c r="N336" s="10">
        <f>YEAR(HR_Data5[[#This Row],[Joining Date]])</f>
        <v>2018</v>
      </c>
      <c r="O336" s="10" cm="1">
        <f t="array" ref="O336">_xlfn.SWITCH(HR_Data5[[#This Row],[Performance Score]],
"A",5,
"B",4,
"C",3,
"D",2,
"F",1)</f>
        <v>5</v>
      </c>
      <c r="P336" s="10"/>
    </row>
    <row r="337" spans="1:16" x14ac:dyDescent="0.3">
      <c r="A337" t="s">
        <v>56</v>
      </c>
      <c r="B337">
        <v>30</v>
      </c>
      <c r="C337" s="6">
        <v>70000</v>
      </c>
      <c r="D337" t="s">
        <v>11</v>
      </c>
      <c r="E337" t="s">
        <v>26</v>
      </c>
      <c r="F337" t="s">
        <v>20</v>
      </c>
      <c r="G337" s="7">
        <v>43881</v>
      </c>
      <c r="H337" t="s">
        <v>14</v>
      </c>
      <c r="I337" t="s">
        <v>22</v>
      </c>
      <c r="J337" t="s">
        <v>69</v>
      </c>
      <c r="K337" t="str">
        <f>IF(HR_Data5[[#This Row],[Age]]&lt;30,"Young",IF(HR_Data5[[#This Row],[Age]]&lt;=45,"Mid-Career","Senior"))</f>
        <v>Mid-Career</v>
      </c>
      <c r="L337" s="10">
        <f ca="1">DATEDIF(HR_Data5[[#This Row],[Joining Date]],TODAY(),"Y")</f>
        <v>6</v>
      </c>
      <c r="M337" s="10" t="str">
        <f>IF(HR_Data5[[#This Row],[Salary]]&lt;55000,"Low",IF(HR_Data5[[#This Row],[Salary]]&lt;=65000,"Medium","High"))</f>
        <v>High</v>
      </c>
      <c r="N337" s="10">
        <f>YEAR(HR_Data5[[#This Row],[Joining Date]])</f>
        <v>2020</v>
      </c>
      <c r="O337" s="10" cm="1">
        <f t="array" ref="O337">_xlfn.SWITCH(HR_Data5[[#This Row],[Performance Score]],
"A",5,
"B",4,
"C",3,
"D",2,
"F",1)</f>
        <v>2</v>
      </c>
      <c r="P337" s="10"/>
    </row>
    <row r="338" spans="1:16" x14ac:dyDescent="0.3">
      <c r="A338" t="s">
        <v>58</v>
      </c>
      <c r="B338">
        <v>25</v>
      </c>
      <c r="C338" s="6">
        <v>60000</v>
      </c>
      <c r="D338" t="s">
        <v>18</v>
      </c>
      <c r="E338" t="s">
        <v>37</v>
      </c>
      <c r="F338" t="s">
        <v>44</v>
      </c>
      <c r="G338" s="7">
        <v>43881</v>
      </c>
      <c r="H338" t="s">
        <v>31</v>
      </c>
      <c r="I338" t="s">
        <v>69</v>
      </c>
      <c r="J338" t="s">
        <v>23</v>
      </c>
      <c r="K338" t="str">
        <f>IF(HR_Data5[[#This Row],[Age]]&lt;30,"Young",IF(HR_Data5[[#This Row],[Age]]&lt;=45,"Mid-Career","Senior"))</f>
        <v>Young</v>
      </c>
      <c r="L338" s="10">
        <f ca="1">DATEDIF(HR_Data5[[#This Row],[Joining Date]],TODAY(),"Y")</f>
        <v>6</v>
      </c>
      <c r="M338" s="10" t="str">
        <f>IF(HR_Data5[[#This Row],[Salary]]&lt;55000,"Low",IF(HR_Data5[[#This Row],[Salary]]&lt;=65000,"Medium","High"))</f>
        <v>Medium</v>
      </c>
      <c r="N338" s="10">
        <f>YEAR(HR_Data5[[#This Row],[Joining Date]])</f>
        <v>2020</v>
      </c>
      <c r="O338" s="10" cm="1">
        <f t="array" ref="O338">_xlfn.SWITCH(HR_Data5[[#This Row],[Performance Score]],
"A",5,
"B",4,
"C",3,
"D",2,
"F",1)</f>
        <v>5</v>
      </c>
      <c r="P338" s="10"/>
    </row>
    <row r="339" spans="1:16" x14ac:dyDescent="0.3">
      <c r="A339" t="s">
        <v>60</v>
      </c>
      <c r="B339">
        <v>30</v>
      </c>
      <c r="C339" s="6" t="s">
        <v>68</v>
      </c>
      <c r="D339" t="s">
        <v>36</v>
      </c>
      <c r="E339" t="s">
        <v>12</v>
      </c>
      <c r="F339" t="s">
        <v>20</v>
      </c>
      <c r="G339" s="7">
        <v>43881</v>
      </c>
      <c r="H339" t="s">
        <v>27</v>
      </c>
      <c r="I339" t="s">
        <v>32</v>
      </c>
      <c r="J339" t="s">
        <v>45</v>
      </c>
      <c r="K339" t="str">
        <f>IF(HR_Data5[[#This Row],[Age]]&lt;30,"Young",IF(HR_Data5[[#This Row],[Age]]&lt;=45,"Mid-Career","Senior"))</f>
        <v>Mid-Career</v>
      </c>
      <c r="L339" s="10">
        <f ca="1">DATEDIF(HR_Data5[[#This Row],[Joining Date]],TODAY(),"Y")</f>
        <v>6</v>
      </c>
      <c r="M339" s="10" t="str">
        <f>IF(HR_Data5[[#This Row],[Salary]]&lt;55000,"Low",IF(HR_Data5[[#This Row],[Salary]]&lt;=65000,"Medium","High"))</f>
        <v>High</v>
      </c>
      <c r="N339" s="10">
        <f>YEAR(HR_Data5[[#This Row],[Joining Date]])</f>
        <v>2020</v>
      </c>
      <c r="O339" s="10" cm="1">
        <f t="array" ref="O339">_xlfn.SWITCH(HR_Data5[[#This Row],[Performance Score]],
"A",5,
"B",4,
"C",3,
"D",2,
"F",1)</f>
        <v>3</v>
      </c>
      <c r="P339" s="10"/>
    </row>
    <row r="340" spans="1:16" x14ac:dyDescent="0.3">
      <c r="A340" t="s">
        <v>53</v>
      </c>
      <c r="B340">
        <v>40</v>
      </c>
      <c r="C340" s="6">
        <v>55000</v>
      </c>
      <c r="D340" t="s">
        <v>36</v>
      </c>
      <c r="E340" t="s">
        <v>26</v>
      </c>
      <c r="F340" t="s">
        <v>43</v>
      </c>
      <c r="G340" s="7">
        <v>43549</v>
      </c>
      <c r="H340" t="s">
        <v>31</v>
      </c>
      <c r="I340" t="s">
        <v>32</v>
      </c>
      <c r="J340" t="s">
        <v>45</v>
      </c>
      <c r="K340" t="str">
        <f>IF(HR_Data5[[#This Row],[Age]]&lt;30,"Young",IF(HR_Data5[[#This Row],[Age]]&lt;=45,"Mid-Career","Senior"))</f>
        <v>Mid-Career</v>
      </c>
      <c r="L340" s="10">
        <f ca="1">DATEDIF(HR_Data5[[#This Row],[Joining Date]],TODAY(),"Y")</f>
        <v>6</v>
      </c>
      <c r="M340" s="10" t="str">
        <f>IF(HR_Data5[[#This Row],[Salary]]&lt;55000,"Low",IF(HR_Data5[[#This Row],[Salary]]&lt;=65000,"Medium","High"))</f>
        <v>Medium</v>
      </c>
      <c r="N340" s="10">
        <f>YEAR(HR_Data5[[#This Row],[Joining Date]])</f>
        <v>2019</v>
      </c>
      <c r="O340" s="10" cm="1">
        <f t="array" ref="O340">_xlfn.SWITCH(HR_Data5[[#This Row],[Performance Score]],
"A",5,
"B",4,
"C",3,
"D",2,
"F",1)</f>
        <v>5</v>
      </c>
      <c r="P340" s="10"/>
    </row>
    <row r="341" spans="1:16" x14ac:dyDescent="0.3">
      <c r="A341" t="s">
        <v>55</v>
      </c>
      <c r="B341">
        <v>50</v>
      </c>
      <c r="C341" s="6" t="s">
        <v>68</v>
      </c>
      <c r="D341" t="s">
        <v>11</v>
      </c>
      <c r="E341" t="s">
        <v>30</v>
      </c>
      <c r="F341" t="s">
        <v>39</v>
      </c>
      <c r="G341" s="7">
        <v>43881</v>
      </c>
      <c r="H341" t="s">
        <v>31</v>
      </c>
      <c r="I341" t="s">
        <v>69</v>
      </c>
      <c r="J341" t="s">
        <v>23</v>
      </c>
      <c r="K341" t="str">
        <f>IF(HR_Data5[[#This Row],[Age]]&lt;30,"Young",IF(HR_Data5[[#This Row],[Age]]&lt;=45,"Mid-Career","Senior"))</f>
        <v>Senior</v>
      </c>
      <c r="L341" s="10">
        <f ca="1">DATEDIF(HR_Data5[[#This Row],[Joining Date]],TODAY(),"Y")</f>
        <v>6</v>
      </c>
      <c r="M341" s="10" t="str">
        <f>IF(HR_Data5[[#This Row],[Salary]]&lt;55000,"Low",IF(HR_Data5[[#This Row],[Salary]]&lt;=65000,"Medium","High"))</f>
        <v>High</v>
      </c>
      <c r="N341" s="10">
        <f>YEAR(HR_Data5[[#This Row],[Joining Date]])</f>
        <v>2020</v>
      </c>
      <c r="O341" s="10" cm="1">
        <f t="array" ref="O341">_xlfn.SWITCH(HR_Data5[[#This Row],[Performance Score]],
"A",5,
"B",4,
"C",3,
"D",2,
"F",1)</f>
        <v>5</v>
      </c>
      <c r="P341" s="10"/>
    </row>
    <row r="342" spans="1:16" x14ac:dyDescent="0.3">
      <c r="A342" t="s">
        <v>51</v>
      </c>
      <c r="B342">
        <v>30</v>
      </c>
      <c r="C342" s="6" t="s">
        <v>68</v>
      </c>
      <c r="D342" t="s">
        <v>36</v>
      </c>
      <c r="E342" t="s">
        <v>30</v>
      </c>
      <c r="F342" t="s">
        <v>43</v>
      </c>
      <c r="G342" s="7">
        <v>43195</v>
      </c>
      <c r="H342" t="s">
        <v>41</v>
      </c>
      <c r="I342" t="s">
        <v>69</v>
      </c>
      <c r="J342" t="s">
        <v>28</v>
      </c>
      <c r="K342" t="str">
        <f>IF(HR_Data5[[#This Row],[Age]]&lt;30,"Young",IF(HR_Data5[[#This Row],[Age]]&lt;=45,"Mid-Career","Senior"))</f>
        <v>Mid-Career</v>
      </c>
      <c r="L342" s="10">
        <f ca="1">DATEDIF(HR_Data5[[#This Row],[Joining Date]],TODAY(),"Y")</f>
        <v>7</v>
      </c>
      <c r="M342" s="10" t="str">
        <f>IF(HR_Data5[[#This Row],[Salary]]&lt;55000,"Low",IF(HR_Data5[[#This Row],[Salary]]&lt;=65000,"Medium","High"))</f>
        <v>High</v>
      </c>
      <c r="N342" s="10">
        <f>YEAR(HR_Data5[[#This Row],[Joining Date]])</f>
        <v>2018</v>
      </c>
      <c r="O342" s="10" cm="1">
        <f t="array" ref="O342">_xlfn.SWITCH(HR_Data5[[#This Row],[Performance Score]],
"A",5,
"B",4,
"C",3,
"D",2,
"F",1)</f>
        <v>4</v>
      </c>
      <c r="P342" s="10"/>
    </row>
    <row r="343" spans="1:16" x14ac:dyDescent="0.3">
      <c r="A343" t="s">
        <v>60</v>
      </c>
      <c r="B343">
        <v>50</v>
      </c>
      <c r="C343" s="6" t="s">
        <v>68</v>
      </c>
      <c r="D343" t="s">
        <v>18</v>
      </c>
      <c r="E343" t="s">
        <v>37</v>
      </c>
      <c r="F343" t="s">
        <v>43</v>
      </c>
      <c r="G343" s="7">
        <v>43549</v>
      </c>
      <c r="H343" t="s">
        <v>31</v>
      </c>
      <c r="I343" t="s">
        <v>32</v>
      </c>
      <c r="J343" t="s">
        <v>23</v>
      </c>
      <c r="K343" t="str">
        <f>IF(HR_Data5[[#This Row],[Age]]&lt;30,"Young",IF(HR_Data5[[#This Row],[Age]]&lt;=45,"Mid-Career","Senior"))</f>
        <v>Senior</v>
      </c>
      <c r="L343" s="10">
        <f ca="1">DATEDIF(HR_Data5[[#This Row],[Joining Date]],TODAY(),"Y")</f>
        <v>6</v>
      </c>
      <c r="M343" s="10" t="str">
        <f>IF(HR_Data5[[#This Row],[Salary]]&lt;55000,"Low",IF(HR_Data5[[#This Row],[Salary]]&lt;=65000,"Medium","High"))</f>
        <v>High</v>
      </c>
      <c r="N343" s="10">
        <f>YEAR(HR_Data5[[#This Row],[Joining Date]])</f>
        <v>2019</v>
      </c>
      <c r="O343" s="10" cm="1">
        <f t="array" ref="O343">_xlfn.SWITCH(HR_Data5[[#This Row],[Performance Score]],
"A",5,
"B",4,
"C",3,
"D",2,
"F",1)</f>
        <v>5</v>
      </c>
      <c r="P343" s="10"/>
    </row>
    <row r="344" spans="1:16" x14ac:dyDescent="0.3">
      <c r="A344" t="s">
        <v>52</v>
      </c>
      <c r="B344">
        <v>40</v>
      </c>
      <c r="C344" s="6">
        <v>60000</v>
      </c>
      <c r="D344" t="s">
        <v>36</v>
      </c>
      <c r="E344" t="s">
        <v>12</v>
      </c>
      <c r="F344" t="s">
        <v>20</v>
      </c>
      <c r="G344" s="7">
        <v>43800</v>
      </c>
      <c r="H344" t="s">
        <v>21</v>
      </c>
      <c r="I344" t="s">
        <v>15</v>
      </c>
      <c r="J344" t="s">
        <v>28</v>
      </c>
      <c r="K344" t="str">
        <f>IF(HR_Data5[[#This Row],[Age]]&lt;30,"Young",IF(HR_Data5[[#This Row],[Age]]&lt;=45,"Mid-Career","Senior"))</f>
        <v>Mid-Career</v>
      </c>
      <c r="L344" s="10">
        <f ca="1">DATEDIF(HR_Data5[[#This Row],[Joining Date]],TODAY(),"Y")</f>
        <v>6</v>
      </c>
      <c r="M344" s="10" t="str">
        <f>IF(HR_Data5[[#This Row],[Salary]]&lt;55000,"Low",IF(HR_Data5[[#This Row],[Salary]]&lt;=65000,"Medium","High"))</f>
        <v>Medium</v>
      </c>
      <c r="N344" s="10">
        <f>YEAR(HR_Data5[[#This Row],[Joining Date]])</f>
        <v>2019</v>
      </c>
      <c r="O344" s="10" cm="1">
        <f t="array" ref="O344">_xlfn.SWITCH(HR_Data5[[#This Row],[Performance Score]],
"A",5,
"B",4,
"C",3,
"D",2,
"F",1)</f>
        <v>1</v>
      </c>
      <c r="P344" s="10"/>
    </row>
    <row r="345" spans="1:16" x14ac:dyDescent="0.3">
      <c r="A345" t="s">
        <v>52</v>
      </c>
      <c r="B345">
        <v>25</v>
      </c>
      <c r="C345" s="6">
        <v>65000</v>
      </c>
      <c r="D345" t="s">
        <v>11</v>
      </c>
      <c r="E345" t="s">
        <v>12</v>
      </c>
      <c r="F345" t="s">
        <v>44</v>
      </c>
      <c r="G345" s="7">
        <v>43845</v>
      </c>
      <c r="H345" t="s">
        <v>14</v>
      </c>
      <c r="I345" t="s">
        <v>22</v>
      </c>
      <c r="J345" t="s">
        <v>23</v>
      </c>
      <c r="K345" t="str">
        <f>IF(HR_Data5[[#This Row],[Age]]&lt;30,"Young",IF(HR_Data5[[#This Row],[Age]]&lt;=45,"Mid-Career","Senior"))</f>
        <v>Young</v>
      </c>
      <c r="L345" s="10">
        <f ca="1">DATEDIF(HR_Data5[[#This Row],[Joining Date]],TODAY(),"Y")</f>
        <v>6</v>
      </c>
      <c r="M345" s="10" t="str">
        <f>IF(HR_Data5[[#This Row],[Salary]]&lt;55000,"Low",IF(HR_Data5[[#This Row],[Salary]]&lt;=65000,"Medium","High"))</f>
        <v>Medium</v>
      </c>
      <c r="N345" s="10">
        <f>YEAR(HR_Data5[[#This Row],[Joining Date]])</f>
        <v>2020</v>
      </c>
      <c r="O345" s="10" cm="1">
        <f t="array" ref="O345">_xlfn.SWITCH(HR_Data5[[#This Row],[Performance Score]],
"A",5,
"B",4,
"C",3,
"D",2,
"F",1)</f>
        <v>2</v>
      </c>
      <c r="P345" s="10"/>
    </row>
    <row r="346" spans="1:16" x14ac:dyDescent="0.3">
      <c r="A346" t="s">
        <v>59</v>
      </c>
      <c r="B346">
        <v>35</v>
      </c>
      <c r="C346" s="6" t="s">
        <v>68</v>
      </c>
      <c r="D346" t="s">
        <v>11</v>
      </c>
      <c r="E346" t="s">
        <v>19</v>
      </c>
      <c r="F346" t="s">
        <v>43</v>
      </c>
      <c r="G346" s="7">
        <v>43881</v>
      </c>
      <c r="H346" t="s">
        <v>41</v>
      </c>
      <c r="I346" t="s">
        <v>32</v>
      </c>
      <c r="J346" t="s">
        <v>28</v>
      </c>
      <c r="K346" t="str">
        <f>IF(HR_Data5[[#This Row],[Age]]&lt;30,"Young",IF(HR_Data5[[#This Row],[Age]]&lt;=45,"Mid-Career","Senior"))</f>
        <v>Mid-Career</v>
      </c>
      <c r="L346" s="10">
        <f ca="1">DATEDIF(HR_Data5[[#This Row],[Joining Date]],TODAY(),"Y")</f>
        <v>6</v>
      </c>
      <c r="M346" s="10" t="str">
        <f>IF(HR_Data5[[#This Row],[Salary]]&lt;55000,"Low",IF(HR_Data5[[#This Row],[Salary]]&lt;=65000,"Medium","High"))</f>
        <v>High</v>
      </c>
      <c r="N346" s="10">
        <f>YEAR(HR_Data5[[#This Row],[Joining Date]])</f>
        <v>2020</v>
      </c>
      <c r="O346" s="10" cm="1">
        <f t="array" ref="O346">_xlfn.SWITCH(HR_Data5[[#This Row],[Performance Score]],
"A",5,
"B",4,
"C",3,
"D",2,
"F",1)</f>
        <v>4</v>
      </c>
      <c r="P346" s="10"/>
    </row>
    <row r="347" spans="1:16" x14ac:dyDescent="0.3">
      <c r="A347" t="s">
        <v>53</v>
      </c>
      <c r="B347">
        <v>30</v>
      </c>
      <c r="C347" s="6">
        <v>50000</v>
      </c>
      <c r="D347" t="s">
        <v>18</v>
      </c>
      <c r="E347" t="s">
        <v>12</v>
      </c>
      <c r="F347" t="s">
        <v>20</v>
      </c>
      <c r="G347" s="7">
        <v>43800</v>
      </c>
      <c r="H347" t="s">
        <v>14</v>
      </c>
      <c r="I347" t="s">
        <v>32</v>
      </c>
      <c r="J347" t="s">
        <v>28</v>
      </c>
      <c r="K347" t="str">
        <f>IF(HR_Data5[[#This Row],[Age]]&lt;30,"Young",IF(HR_Data5[[#This Row],[Age]]&lt;=45,"Mid-Career","Senior"))</f>
        <v>Mid-Career</v>
      </c>
      <c r="L347" s="10">
        <f ca="1">DATEDIF(HR_Data5[[#This Row],[Joining Date]],TODAY(),"Y")</f>
        <v>6</v>
      </c>
      <c r="M347" s="10" t="str">
        <f>IF(HR_Data5[[#This Row],[Salary]]&lt;55000,"Low",IF(HR_Data5[[#This Row],[Salary]]&lt;=65000,"Medium","High"))</f>
        <v>Low</v>
      </c>
      <c r="N347" s="10">
        <f>YEAR(HR_Data5[[#This Row],[Joining Date]])</f>
        <v>2019</v>
      </c>
      <c r="O347" s="10" cm="1">
        <f t="array" ref="O347">_xlfn.SWITCH(HR_Data5[[#This Row],[Performance Score]],
"A",5,
"B",4,
"C",3,
"D",2,
"F",1)</f>
        <v>2</v>
      </c>
      <c r="P347" s="10"/>
    </row>
    <row r="348" spans="1:16" x14ac:dyDescent="0.3">
      <c r="A348" t="s">
        <v>56</v>
      </c>
      <c r="B348">
        <v>35</v>
      </c>
      <c r="C348" s="6">
        <v>70000</v>
      </c>
      <c r="D348" t="s">
        <v>18</v>
      </c>
      <c r="E348" t="s">
        <v>37</v>
      </c>
      <c r="F348" t="s">
        <v>44</v>
      </c>
      <c r="G348" s="7">
        <v>43195</v>
      </c>
      <c r="H348" t="s">
        <v>14</v>
      </c>
      <c r="I348" t="s">
        <v>69</v>
      </c>
      <c r="J348" t="s">
        <v>23</v>
      </c>
      <c r="K348" t="str">
        <f>IF(HR_Data5[[#This Row],[Age]]&lt;30,"Young",IF(HR_Data5[[#This Row],[Age]]&lt;=45,"Mid-Career","Senior"))</f>
        <v>Mid-Career</v>
      </c>
      <c r="L348" s="10">
        <f ca="1">DATEDIF(HR_Data5[[#This Row],[Joining Date]],TODAY(),"Y")</f>
        <v>7</v>
      </c>
      <c r="M348" s="10" t="str">
        <f>IF(HR_Data5[[#This Row],[Salary]]&lt;55000,"Low",IF(HR_Data5[[#This Row],[Salary]]&lt;=65000,"Medium","High"))</f>
        <v>High</v>
      </c>
      <c r="N348" s="10">
        <f>YEAR(HR_Data5[[#This Row],[Joining Date]])</f>
        <v>2018</v>
      </c>
      <c r="O348" s="10" cm="1">
        <f t="array" ref="O348">_xlfn.SWITCH(HR_Data5[[#This Row],[Performance Score]],
"A",5,
"B",4,
"C",3,
"D",2,
"F",1)</f>
        <v>2</v>
      </c>
      <c r="P348" s="10"/>
    </row>
    <row r="349" spans="1:16" x14ac:dyDescent="0.3">
      <c r="A349" t="s">
        <v>51</v>
      </c>
      <c r="B349">
        <v>40</v>
      </c>
      <c r="C349" s="6">
        <v>60000</v>
      </c>
      <c r="D349" t="s">
        <v>36</v>
      </c>
      <c r="E349" t="s">
        <v>19</v>
      </c>
      <c r="F349" t="s">
        <v>39</v>
      </c>
      <c r="G349" s="7">
        <v>43845</v>
      </c>
      <c r="H349" t="s">
        <v>27</v>
      </c>
      <c r="I349" t="s">
        <v>15</v>
      </c>
      <c r="J349" t="s">
        <v>28</v>
      </c>
      <c r="K349" t="str">
        <f>IF(HR_Data5[[#This Row],[Age]]&lt;30,"Young",IF(HR_Data5[[#This Row],[Age]]&lt;=45,"Mid-Career","Senior"))</f>
        <v>Mid-Career</v>
      </c>
      <c r="L349" s="10">
        <f ca="1">DATEDIF(HR_Data5[[#This Row],[Joining Date]],TODAY(),"Y")</f>
        <v>6</v>
      </c>
      <c r="M349" s="10" t="str">
        <f>IF(HR_Data5[[#This Row],[Salary]]&lt;55000,"Low",IF(HR_Data5[[#This Row],[Salary]]&lt;=65000,"Medium","High"))</f>
        <v>Medium</v>
      </c>
      <c r="N349" s="10">
        <f>YEAR(HR_Data5[[#This Row],[Joining Date]])</f>
        <v>2020</v>
      </c>
      <c r="O349" s="10" cm="1">
        <f t="array" ref="O349">_xlfn.SWITCH(HR_Data5[[#This Row],[Performance Score]],
"A",5,
"B",4,
"C",3,
"D",2,
"F",1)</f>
        <v>3</v>
      </c>
      <c r="P349" s="10"/>
    </row>
    <row r="350" spans="1:16" x14ac:dyDescent="0.3">
      <c r="A350" t="s">
        <v>58</v>
      </c>
      <c r="B350">
        <v>30</v>
      </c>
      <c r="C350" s="6">
        <v>55000</v>
      </c>
      <c r="D350" t="s">
        <v>36</v>
      </c>
      <c r="E350" t="s">
        <v>19</v>
      </c>
      <c r="F350" t="s">
        <v>39</v>
      </c>
      <c r="G350" s="7">
        <v>43800</v>
      </c>
      <c r="H350" t="s">
        <v>27</v>
      </c>
      <c r="I350" t="s">
        <v>22</v>
      </c>
      <c r="J350" t="s">
        <v>69</v>
      </c>
      <c r="K350" t="str">
        <f>IF(HR_Data5[[#This Row],[Age]]&lt;30,"Young",IF(HR_Data5[[#This Row],[Age]]&lt;=45,"Mid-Career","Senior"))</f>
        <v>Mid-Career</v>
      </c>
      <c r="L350" s="10">
        <f ca="1">DATEDIF(HR_Data5[[#This Row],[Joining Date]],TODAY(),"Y")</f>
        <v>6</v>
      </c>
      <c r="M350" s="10" t="str">
        <f>IF(HR_Data5[[#This Row],[Salary]]&lt;55000,"Low",IF(HR_Data5[[#This Row],[Salary]]&lt;=65000,"Medium","High"))</f>
        <v>Medium</v>
      </c>
      <c r="N350" s="10">
        <f>YEAR(HR_Data5[[#This Row],[Joining Date]])</f>
        <v>2019</v>
      </c>
      <c r="O350" s="10" cm="1">
        <f t="array" ref="O350">_xlfn.SWITCH(HR_Data5[[#This Row],[Performance Score]],
"A",5,
"B",4,
"C",3,
"D",2,
"F",1)</f>
        <v>3</v>
      </c>
      <c r="P350" s="10"/>
    </row>
    <row r="351" spans="1:16" x14ac:dyDescent="0.3">
      <c r="A351" t="s">
        <v>58</v>
      </c>
      <c r="B351">
        <v>50</v>
      </c>
      <c r="C351" s="6">
        <v>60000</v>
      </c>
      <c r="D351" t="s">
        <v>11</v>
      </c>
      <c r="E351" t="s">
        <v>30</v>
      </c>
      <c r="F351" t="s">
        <v>13</v>
      </c>
      <c r="G351" s="7">
        <v>43845</v>
      </c>
      <c r="H351" t="s">
        <v>41</v>
      </c>
      <c r="I351" t="s">
        <v>32</v>
      </c>
      <c r="J351" t="s">
        <v>69</v>
      </c>
      <c r="K351" t="str">
        <f>IF(HR_Data5[[#This Row],[Age]]&lt;30,"Young",IF(HR_Data5[[#This Row],[Age]]&lt;=45,"Mid-Career","Senior"))</f>
        <v>Senior</v>
      </c>
      <c r="L351" s="10">
        <f ca="1">DATEDIF(HR_Data5[[#This Row],[Joining Date]],TODAY(),"Y")</f>
        <v>6</v>
      </c>
      <c r="M351" s="10" t="str">
        <f>IF(HR_Data5[[#This Row],[Salary]]&lt;55000,"Low",IF(HR_Data5[[#This Row],[Salary]]&lt;=65000,"Medium","High"))</f>
        <v>Medium</v>
      </c>
      <c r="N351" s="10">
        <f>YEAR(HR_Data5[[#This Row],[Joining Date]])</f>
        <v>2020</v>
      </c>
      <c r="O351" s="10" cm="1">
        <f t="array" ref="O351">_xlfn.SWITCH(HR_Data5[[#This Row],[Performance Score]],
"A",5,
"B",4,
"C",3,
"D",2,
"F",1)</f>
        <v>4</v>
      </c>
      <c r="P351" s="10"/>
    </row>
    <row r="352" spans="1:16" x14ac:dyDescent="0.3">
      <c r="A352" t="s">
        <v>51</v>
      </c>
      <c r="B352">
        <v>36</v>
      </c>
      <c r="C352" s="6">
        <v>55000</v>
      </c>
      <c r="D352" t="s">
        <v>18</v>
      </c>
      <c r="E352" t="s">
        <v>30</v>
      </c>
      <c r="F352" t="s">
        <v>20</v>
      </c>
      <c r="G352" s="7">
        <v>43881</v>
      </c>
      <c r="H352" t="s">
        <v>27</v>
      </c>
      <c r="I352" t="s">
        <v>22</v>
      </c>
      <c r="J352" t="s">
        <v>45</v>
      </c>
      <c r="K352" t="str">
        <f>IF(HR_Data5[[#This Row],[Age]]&lt;30,"Young",IF(HR_Data5[[#This Row],[Age]]&lt;=45,"Mid-Career","Senior"))</f>
        <v>Mid-Career</v>
      </c>
      <c r="L352" s="10">
        <f ca="1">DATEDIF(HR_Data5[[#This Row],[Joining Date]],TODAY(),"Y")</f>
        <v>6</v>
      </c>
      <c r="M352" s="10" t="str">
        <f>IF(HR_Data5[[#This Row],[Salary]]&lt;55000,"Low",IF(HR_Data5[[#This Row],[Salary]]&lt;=65000,"Medium","High"))</f>
        <v>Medium</v>
      </c>
      <c r="N352" s="10">
        <f>YEAR(HR_Data5[[#This Row],[Joining Date]])</f>
        <v>2020</v>
      </c>
      <c r="O352" s="10" cm="1">
        <f t="array" ref="O352">_xlfn.SWITCH(HR_Data5[[#This Row],[Performance Score]],
"A",5,
"B",4,
"C",3,
"D",2,
"F",1)</f>
        <v>3</v>
      </c>
      <c r="P352" s="10"/>
    </row>
    <row r="353" spans="1:16" x14ac:dyDescent="0.3">
      <c r="A353" t="s">
        <v>57</v>
      </c>
      <c r="B353">
        <v>35</v>
      </c>
      <c r="C353" s="6">
        <v>60000</v>
      </c>
      <c r="D353" t="s">
        <v>18</v>
      </c>
      <c r="E353" t="s">
        <v>12</v>
      </c>
      <c r="F353" t="s">
        <v>44</v>
      </c>
      <c r="G353" s="7">
        <v>43195</v>
      </c>
      <c r="H353" t="s">
        <v>27</v>
      </c>
      <c r="I353" t="s">
        <v>69</v>
      </c>
      <c r="J353" t="s">
        <v>28</v>
      </c>
      <c r="K353" t="str">
        <f>IF(HR_Data5[[#This Row],[Age]]&lt;30,"Young",IF(HR_Data5[[#This Row],[Age]]&lt;=45,"Mid-Career","Senior"))</f>
        <v>Mid-Career</v>
      </c>
      <c r="L353" s="10">
        <f ca="1">DATEDIF(HR_Data5[[#This Row],[Joining Date]],TODAY(),"Y")</f>
        <v>7</v>
      </c>
      <c r="M353" s="10" t="str">
        <f>IF(HR_Data5[[#This Row],[Salary]]&lt;55000,"Low",IF(HR_Data5[[#This Row],[Salary]]&lt;=65000,"Medium","High"))</f>
        <v>Medium</v>
      </c>
      <c r="N353" s="10">
        <f>YEAR(HR_Data5[[#This Row],[Joining Date]])</f>
        <v>2018</v>
      </c>
      <c r="O353" s="10" cm="1">
        <f t="array" ref="O353">_xlfn.SWITCH(HR_Data5[[#This Row],[Performance Score]],
"A",5,
"B",4,
"C",3,
"D",2,
"F",1)</f>
        <v>3</v>
      </c>
      <c r="P353" s="10"/>
    </row>
    <row r="354" spans="1:16" x14ac:dyDescent="0.3">
      <c r="A354" t="s">
        <v>56</v>
      </c>
      <c r="B354">
        <v>30</v>
      </c>
      <c r="C354" s="6">
        <v>55000</v>
      </c>
      <c r="D354" t="s">
        <v>18</v>
      </c>
      <c r="E354" t="s">
        <v>19</v>
      </c>
      <c r="F354" t="s">
        <v>43</v>
      </c>
      <c r="G354" s="7">
        <v>43845</v>
      </c>
      <c r="H354" t="s">
        <v>27</v>
      </c>
      <c r="I354" t="s">
        <v>32</v>
      </c>
      <c r="J354" t="s">
        <v>28</v>
      </c>
      <c r="K354" t="str">
        <f>IF(HR_Data5[[#This Row],[Age]]&lt;30,"Young",IF(HR_Data5[[#This Row],[Age]]&lt;=45,"Mid-Career","Senior"))</f>
        <v>Mid-Career</v>
      </c>
      <c r="L354" s="10">
        <f ca="1">DATEDIF(HR_Data5[[#This Row],[Joining Date]],TODAY(),"Y")</f>
        <v>6</v>
      </c>
      <c r="M354" s="10" t="str">
        <f>IF(HR_Data5[[#This Row],[Salary]]&lt;55000,"Low",IF(HR_Data5[[#This Row],[Salary]]&lt;=65000,"Medium","High"))</f>
        <v>Medium</v>
      </c>
      <c r="N354" s="10">
        <f>YEAR(HR_Data5[[#This Row],[Joining Date]])</f>
        <v>2020</v>
      </c>
      <c r="O354" s="10" cm="1">
        <f t="array" ref="O354">_xlfn.SWITCH(HR_Data5[[#This Row],[Performance Score]],
"A",5,
"B",4,
"C",3,
"D",2,
"F",1)</f>
        <v>3</v>
      </c>
      <c r="P354" s="10"/>
    </row>
    <row r="355" spans="1:16" x14ac:dyDescent="0.3">
      <c r="A355" t="s">
        <v>60</v>
      </c>
      <c r="B355">
        <v>35</v>
      </c>
      <c r="C355" s="6" t="s">
        <v>68</v>
      </c>
      <c r="D355" t="s">
        <v>36</v>
      </c>
      <c r="E355" t="s">
        <v>30</v>
      </c>
      <c r="F355" t="s">
        <v>39</v>
      </c>
      <c r="G355" s="7">
        <v>43800</v>
      </c>
      <c r="H355" t="s">
        <v>14</v>
      </c>
      <c r="I355" t="s">
        <v>32</v>
      </c>
      <c r="J355" t="s">
        <v>45</v>
      </c>
      <c r="K355" t="str">
        <f>IF(HR_Data5[[#This Row],[Age]]&lt;30,"Young",IF(HR_Data5[[#This Row],[Age]]&lt;=45,"Mid-Career","Senior"))</f>
        <v>Mid-Career</v>
      </c>
      <c r="L355" s="10">
        <f ca="1">DATEDIF(HR_Data5[[#This Row],[Joining Date]],TODAY(),"Y")</f>
        <v>6</v>
      </c>
      <c r="M355" s="10" t="str">
        <f>IF(HR_Data5[[#This Row],[Salary]]&lt;55000,"Low",IF(HR_Data5[[#This Row],[Salary]]&lt;=65000,"Medium","High"))</f>
        <v>High</v>
      </c>
      <c r="N355" s="10">
        <f>YEAR(HR_Data5[[#This Row],[Joining Date]])</f>
        <v>2019</v>
      </c>
      <c r="O355" s="10" cm="1">
        <f t="array" ref="O355">_xlfn.SWITCH(HR_Data5[[#This Row],[Performance Score]],
"A",5,
"B",4,
"C",3,
"D",2,
"F",1)</f>
        <v>2</v>
      </c>
      <c r="P355" s="10"/>
    </row>
    <row r="356" spans="1:16" x14ac:dyDescent="0.3">
      <c r="A356" t="s">
        <v>55</v>
      </c>
      <c r="B356">
        <v>30</v>
      </c>
      <c r="C356" s="6">
        <v>65000</v>
      </c>
      <c r="D356" t="s">
        <v>18</v>
      </c>
      <c r="E356" t="s">
        <v>37</v>
      </c>
      <c r="F356" t="s">
        <v>44</v>
      </c>
      <c r="G356" s="7">
        <v>43881</v>
      </c>
      <c r="H356" t="s">
        <v>41</v>
      </c>
      <c r="I356" t="s">
        <v>69</v>
      </c>
      <c r="J356" t="s">
        <v>28</v>
      </c>
      <c r="K356" t="str">
        <f>IF(HR_Data5[[#This Row],[Age]]&lt;30,"Young",IF(HR_Data5[[#This Row],[Age]]&lt;=45,"Mid-Career","Senior"))</f>
        <v>Mid-Career</v>
      </c>
      <c r="L356" s="10">
        <f ca="1">DATEDIF(HR_Data5[[#This Row],[Joining Date]],TODAY(),"Y")</f>
        <v>6</v>
      </c>
      <c r="M356" s="10" t="str">
        <f>IF(HR_Data5[[#This Row],[Salary]]&lt;55000,"Low",IF(HR_Data5[[#This Row],[Salary]]&lt;=65000,"Medium","High"))</f>
        <v>Medium</v>
      </c>
      <c r="N356" s="10">
        <f>YEAR(HR_Data5[[#This Row],[Joining Date]])</f>
        <v>2020</v>
      </c>
      <c r="O356" s="10" cm="1">
        <f t="array" ref="O356">_xlfn.SWITCH(HR_Data5[[#This Row],[Performance Score]],
"A",5,
"B",4,
"C",3,
"D",2,
"F",1)</f>
        <v>4</v>
      </c>
      <c r="P356" s="10"/>
    </row>
    <row r="357" spans="1:16" x14ac:dyDescent="0.3">
      <c r="A357" t="s">
        <v>57</v>
      </c>
      <c r="B357">
        <v>25</v>
      </c>
      <c r="C357" s="6">
        <v>55000</v>
      </c>
      <c r="D357" t="s">
        <v>11</v>
      </c>
      <c r="E357" t="s">
        <v>30</v>
      </c>
      <c r="F357" t="s">
        <v>20</v>
      </c>
      <c r="G357" s="7">
        <v>43881</v>
      </c>
      <c r="H357" t="s">
        <v>14</v>
      </c>
      <c r="I357" t="s">
        <v>69</v>
      </c>
      <c r="J357" t="s">
        <v>45</v>
      </c>
      <c r="K357" t="str">
        <f>IF(HR_Data5[[#This Row],[Age]]&lt;30,"Young",IF(HR_Data5[[#This Row],[Age]]&lt;=45,"Mid-Career","Senior"))</f>
        <v>Young</v>
      </c>
      <c r="L357" s="10">
        <f ca="1">DATEDIF(HR_Data5[[#This Row],[Joining Date]],TODAY(),"Y")</f>
        <v>6</v>
      </c>
      <c r="M357" s="10" t="str">
        <f>IF(HR_Data5[[#This Row],[Salary]]&lt;55000,"Low",IF(HR_Data5[[#This Row],[Salary]]&lt;=65000,"Medium","High"))</f>
        <v>Medium</v>
      </c>
      <c r="N357" s="10">
        <f>YEAR(HR_Data5[[#This Row],[Joining Date]])</f>
        <v>2020</v>
      </c>
      <c r="O357" s="10" cm="1">
        <f t="array" ref="O357">_xlfn.SWITCH(HR_Data5[[#This Row],[Performance Score]],
"A",5,
"B",4,
"C",3,
"D",2,
"F",1)</f>
        <v>2</v>
      </c>
      <c r="P357" s="10"/>
    </row>
    <row r="358" spans="1:16" x14ac:dyDescent="0.3">
      <c r="A358" t="s">
        <v>55</v>
      </c>
      <c r="B358">
        <v>50</v>
      </c>
      <c r="C358" s="6">
        <v>55000</v>
      </c>
      <c r="D358" t="s">
        <v>11</v>
      </c>
      <c r="E358" t="s">
        <v>30</v>
      </c>
      <c r="F358" t="s">
        <v>13</v>
      </c>
      <c r="G358" s="7">
        <v>43800</v>
      </c>
      <c r="H358" t="s">
        <v>21</v>
      </c>
      <c r="I358" t="s">
        <v>32</v>
      </c>
      <c r="J358" t="s">
        <v>23</v>
      </c>
      <c r="K358" t="str">
        <f>IF(HR_Data5[[#This Row],[Age]]&lt;30,"Young",IF(HR_Data5[[#This Row],[Age]]&lt;=45,"Mid-Career","Senior"))</f>
        <v>Senior</v>
      </c>
      <c r="L358" s="10">
        <f ca="1">DATEDIF(HR_Data5[[#This Row],[Joining Date]],TODAY(),"Y")</f>
        <v>6</v>
      </c>
      <c r="M358" s="10" t="str">
        <f>IF(HR_Data5[[#This Row],[Salary]]&lt;55000,"Low",IF(HR_Data5[[#This Row],[Salary]]&lt;=65000,"Medium","High"))</f>
        <v>Medium</v>
      </c>
      <c r="N358" s="10">
        <f>YEAR(HR_Data5[[#This Row],[Joining Date]])</f>
        <v>2019</v>
      </c>
      <c r="O358" s="10" cm="1">
        <f t="array" ref="O358">_xlfn.SWITCH(HR_Data5[[#This Row],[Performance Score]],
"A",5,
"B",4,
"C",3,
"D",2,
"F",1)</f>
        <v>1</v>
      </c>
      <c r="P358" s="10"/>
    </row>
    <row r="359" spans="1:16" x14ac:dyDescent="0.3">
      <c r="A359" t="s">
        <v>55</v>
      </c>
      <c r="B359">
        <v>35</v>
      </c>
      <c r="C359" s="6">
        <v>50000</v>
      </c>
      <c r="D359" t="s">
        <v>36</v>
      </c>
      <c r="E359" t="s">
        <v>19</v>
      </c>
      <c r="F359" t="s">
        <v>39</v>
      </c>
      <c r="G359" s="7">
        <v>43800</v>
      </c>
      <c r="H359" t="s">
        <v>14</v>
      </c>
      <c r="I359" t="s">
        <v>22</v>
      </c>
      <c r="J359" t="s">
        <v>69</v>
      </c>
      <c r="K359" t="str">
        <f>IF(HR_Data5[[#This Row],[Age]]&lt;30,"Young",IF(HR_Data5[[#This Row],[Age]]&lt;=45,"Mid-Career","Senior"))</f>
        <v>Mid-Career</v>
      </c>
      <c r="L359" s="10">
        <f ca="1">DATEDIF(HR_Data5[[#This Row],[Joining Date]],TODAY(),"Y")</f>
        <v>6</v>
      </c>
      <c r="M359" s="10" t="str">
        <f>IF(HR_Data5[[#This Row],[Salary]]&lt;55000,"Low",IF(HR_Data5[[#This Row],[Salary]]&lt;=65000,"Medium","High"))</f>
        <v>Low</v>
      </c>
      <c r="N359" s="10">
        <f>YEAR(HR_Data5[[#This Row],[Joining Date]])</f>
        <v>2019</v>
      </c>
      <c r="O359" s="10" cm="1">
        <f t="array" ref="O359">_xlfn.SWITCH(HR_Data5[[#This Row],[Performance Score]],
"A",5,
"B",4,
"C",3,
"D",2,
"F",1)</f>
        <v>2</v>
      </c>
      <c r="P359" s="10"/>
    </row>
    <row r="360" spans="1:16" x14ac:dyDescent="0.3">
      <c r="A360" t="s">
        <v>57</v>
      </c>
      <c r="B360">
        <v>36</v>
      </c>
      <c r="C360" s="6">
        <v>55000</v>
      </c>
      <c r="D360" t="s">
        <v>36</v>
      </c>
      <c r="E360" t="s">
        <v>19</v>
      </c>
      <c r="F360" t="s">
        <v>44</v>
      </c>
      <c r="G360" s="7">
        <v>43845</v>
      </c>
      <c r="H360" t="s">
        <v>21</v>
      </c>
      <c r="I360" t="s">
        <v>15</v>
      </c>
      <c r="J360" t="s">
        <v>69</v>
      </c>
      <c r="K360" t="str">
        <f>IF(HR_Data5[[#This Row],[Age]]&lt;30,"Young",IF(HR_Data5[[#This Row],[Age]]&lt;=45,"Mid-Career","Senior"))</f>
        <v>Mid-Career</v>
      </c>
      <c r="L360" s="10">
        <f ca="1">DATEDIF(HR_Data5[[#This Row],[Joining Date]],TODAY(),"Y")</f>
        <v>6</v>
      </c>
      <c r="M360" s="10" t="str">
        <f>IF(HR_Data5[[#This Row],[Salary]]&lt;55000,"Low",IF(HR_Data5[[#This Row],[Salary]]&lt;=65000,"Medium","High"))</f>
        <v>Medium</v>
      </c>
      <c r="N360" s="10">
        <f>YEAR(HR_Data5[[#This Row],[Joining Date]])</f>
        <v>2020</v>
      </c>
      <c r="O360" s="10" cm="1">
        <f t="array" ref="O360">_xlfn.SWITCH(HR_Data5[[#This Row],[Performance Score]],
"A",5,
"B",4,
"C",3,
"D",2,
"F",1)</f>
        <v>1</v>
      </c>
      <c r="P360" s="10"/>
    </row>
    <row r="361" spans="1:16" x14ac:dyDescent="0.3">
      <c r="A361" t="s">
        <v>59</v>
      </c>
      <c r="B361">
        <v>36</v>
      </c>
      <c r="C361" s="6">
        <v>50000</v>
      </c>
      <c r="D361" t="s">
        <v>18</v>
      </c>
      <c r="E361" t="s">
        <v>26</v>
      </c>
      <c r="F361" t="s">
        <v>44</v>
      </c>
      <c r="G361" s="7">
        <v>43549</v>
      </c>
      <c r="H361" t="s">
        <v>31</v>
      </c>
      <c r="I361" t="s">
        <v>22</v>
      </c>
      <c r="J361" t="s">
        <v>69</v>
      </c>
      <c r="K361" t="str">
        <f>IF(HR_Data5[[#This Row],[Age]]&lt;30,"Young",IF(HR_Data5[[#This Row],[Age]]&lt;=45,"Mid-Career","Senior"))</f>
        <v>Mid-Career</v>
      </c>
      <c r="L361" s="10">
        <f ca="1">DATEDIF(HR_Data5[[#This Row],[Joining Date]],TODAY(),"Y")</f>
        <v>6</v>
      </c>
      <c r="M361" s="10" t="str">
        <f>IF(HR_Data5[[#This Row],[Salary]]&lt;55000,"Low",IF(HR_Data5[[#This Row],[Salary]]&lt;=65000,"Medium","High"))</f>
        <v>Low</v>
      </c>
      <c r="N361" s="10">
        <f>YEAR(HR_Data5[[#This Row],[Joining Date]])</f>
        <v>2019</v>
      </c>
      <c r="O361" s="10" cm="1">
        <f t="array" ref="O361">_xlfn.SWITCH(HR_Data5[[#This Row],[Performance Score]],
"A",5,
"B",4,
"C",3,
"D",2,
"F",1)</f>
        <v>5</v>
      </c>
      <c r="P361" s="10"/>
    </row>
    <row r="362" spans="1:16" x14ac:dyDescent="0.3">
      <c r="A362" t="s">
        <v>52</v>
      </c>
      <c r="B362">
        <v>40</v>
      </c>
      <c r="C362" s="6">
        <v>70000</v>
      </c>
      <c r="D362" t="s">
        <v>36</v>
      </c>
      <c r="E362" t="s">
        <v>37</v>
      </c>
      <c r="F362" t="s">
        <v>44</v>
      </c>
      <c r="G362" s="7">
        <v>43881</v>
      </c>
      <c r="H362" t="s">
        <v>31</v>
      </c>
      <c r="I362" t="s">
        <v>69</v>
      </c>
      <c r="J362" t="s">
        <v>28</v>
      </c>
      <c r="K362" t="str">
        <f>IF(HR_Data5[[#This Row],[Age]]&lt;30,"Young",IF(HR_Data5[[#This Row],[Age]]&lt;=45,"Mid-Career","Senior"))</f>
        <v>Mid-Career</v>
      </c>
      <c r="L362" s="10">
        <f ca="1">DATEDIF(HR_Data5[[#This Row],[Joining Date]],TODAY(),"Y")</f>
        <v>6</v>
      </c>
      <c r="M362" s="10" t="str">
        <f>IF(HR_Data5[[#This Row],[Salary]]&lt;55000,"Low",IF(HR_Data5[[#This Row],[Salary]]&lt;=65000,"Medium","High"))</f>
        <v>High</v>
      </c>
      <c r="N362" s="10">
        <f>YEAR(HR_Data5[[#This Row],[Joining Date]])</f>
        <v>2020</v>
      </c>
      <c r="O362" s="10" cm="1">
        <f t="array" ref="O362">_xlfn.SWITCH(HR_Data5[[#This Row],[Performance Score]],
"A",5,
"B",4,
"C",3,
"D",2,
"F",1)</f>
        <v>5</v>
      </c>
      <c r="P362" s="10"/>
    </row>
    <row r="363" spans="1:16" x14ac:dyDescent="0.3">
      <c r="A363" t="s">
        <v>55</v>
      </c>
      <c r="B363">
        <v>30</v>
      </c>
      <c r="C363" s="6" t="s">
        <v>68</v>
      </c>
      <c r="D363" t="s">
        <v>11</v>
      </c>
      <c r="E363" t="s">
        <v>19</v>
      </c>
      <c r="F363" t="s">
        <v>20</v>
      </c>
      <c r="G363" s="7">
        <v>43845</v>
      </c>
      <c r="H363" t="s">
        <v>21</v>
      </c>
      <c r="I363" t="s">
        <v>15</v>
      </c>
      <c r="J363" t="s">
        <v>69</v>
      </c>
      <c r="K363" t="str">
        <f>IF(HR_Data5[[#This Row],[Age]]&lt;30,"Young",IF(HR_Data5[[#This Row],[Age]]&lt;=45,"Mid-Career","Senior"))</f>
        <v>Mid-Career</v>
      </c>
      <c r="L363" s="10">
        <f ca="1">DATEDIF(HR_Data5[[#This Row],[Joining Date]],TODAY(),"Y")</f>
        <v>6</v>
      </c>
      <c r="M363" s="10" t="str">
        <f>IF(HR_Data5[[#This Row],[Salary]]&lt;55000,"Low",IF(HR_Data5[[#This Row],[Salary]]&lt;=65000,"Medium","High"))</f>
        <v>High</v>
      </c>
      <c r="N363" s="10">
        <f>YEAR(HR_Data5[[#This Row],[Joining Date]])</f>
        <v>2020</v>
      </c>
      <c r="O363" s="10" cm="1">
        <f t="array" ref="O363">_xlfn.SWITCH(HR_Data5[[#This Row],[Performance Score]],
"A",5,
"B",4,
"C",3,
"D",2,
"F",1)</f>
        <v>1</v>
      </c>
      <c r="P363" s="10"/>
    </row>
    <row r="364" spans="1:16" x14ac:dyDescent="0.3">
      <c r="A364" t="s">
        <v>57</v>
      </c>
      <c r="B364">
        <v>35</v>
      </c>
      <c r="C364" s="6">
        <v>50000</v>
      </c>
      <c r="D364" t="s">
        <v>18</v>
      </c>
      <c r="E364" t="s">
        <v>12</v>
      </c>
      <c r="F364" t="s">
        <v>20</v>
      </c>
      <c r="G364" s="7">
        <v>43800</v>
      </c>
      <c r="H364" t="s">
        <v>21</v>
      </c>
      <c r="I364" t="s">
        <v>22</v>
      </c>
      <c r="J364" t="s">
        <v>23</v>
      </c>
      <c r="K364" t="str">
        <f>IF(HR_Data5[[#This Row],[Age]]&lt;30,"Young",IF(HR_Data5[[#This Row],[Age]]&lt;=45,"Mid-Career","Senior"))</f>
        <v>Mid-Career</v>
      </c>
      <c r="L364" s="10">
        <f ca="1">DATEDIF(HR_Data5[[#This Row],[Joining Date]],TODAY(),"Y")</f>
        <v>6</v>
      </c>
      <c r="M364" s="10" t="str">
        <f>IF(HR_Data5[[#This Row],[Salary]]&lt;55000,"Low",IF(HR_Data5[[#This Row],[Salary]]&lt;=65000,"Medium","High"))</f>
        <v>Low</v>
      </c>
      <c r="N364" s="10">
        <f>YEAR(HR_Data5[[#This Row],[Joining Date]])</f>
        <v>2019</v>
      </c>
      <c r="O364" s="10" cm="1">
        <f t="array" ref="O364">_xlfn.SWITCH(HR_Data5[[#This Row],[Performance Score]],
"A",5,
"B",4,
"C",3,
"D",2,
"F",1)</f>
        <v>1</v>
      </c>
      <c r="P364" s="10"/>
    </row>
    <row r="365" spans="1:16" x14ac:dyDescent="0.3">
      <c r="A365" t="s">
        <v>57</v>
      </c>
      <c r="B365">
        <v>40</v>
      </c>
      <c r="C365" s="6">
        <v>65000</v>
      </c>
      <c r="D365" t="s">
        <v>11</v>
      </c>
      <c r="E365" t="s">
        <v>37</v>
      </c>
      <c r="F365" t="s">
        <v>20</v>
      </c>
      <c r="G365" s="7">
        <v>43845</v>
      </c>
      <c r="H365" t="s">
        <v>14</v>
      </c>
      <c r="I365" t="s">
        <v>22</v>
      </c>
      <c r="J365" t="s">
        <v>69</v>
      </c>
      <c r="K365" t="str">
        <f>IF(HR_Data5[[#This Row],[Age]]&lt;30,"Young",IF(HR_Data5[[#This Row],[Age]]&lt;=45,"Mid-Career","Senior"))</f>
        <v>Mid-Career</v>
      </c>
      <c r="L365" s="10">
        <f ca="1">DATEDIF(HR_Data5[[#This Row],[Joining Date]],TODAY(),"Y")</f>
        <v>6</v>
      </c>
      <c r="M365" s="10" t="str">
        <f>IF(HR_Data5[[#This Row],[Salary]]&lt;55000,"Low",IF(HR_Data5[[#This Row],[Salary]]&lt;=65000,"Medium","High"))</f>
        <v>Medium</v>
      </c>
      <c r="N365" s="10">
        <f>YEAR(HR_Data5[[#This Row],[Joining Date]])</f>
        <v>2020</v>
      </c>
      <c r="O365" s="10" cm="1">
        <f t="array" ref="O365">_xlfn.SWITCH(HR_Data5[[#This Row],[Performance Score]],
"A",5,
"B",4,
"C",3,
"D",2,
"F",1)</f>
        <v>2</v>
      </c>
      <c r="P365" s="10"/>
    </row>
    <row r="366" spans="1:16" x14ac:dyDescent="0.3">
      <c r="A366" t="s">
        <v>54</v>
      </c>
      <c r="B366">
        <v>35</v>
      </c>
      <c r="C366" s="6" t="s">
        <v>68</v>
      </c>
      <c r="D366" t="s">
        <v>18</v>
      </c>
      <c r="E366" t="s">
        <v>37</v>
      </c>
      <c r="F366" t="s">
        <v>43</v>
      </c>
      <c r="G366" s="7">
        <v>43800</v>
      </c>
      <c r="H366" t="s">
        <v>21</v>
      </c>
      <c r="I366" t="s">
        <v>69</v>
      </c>
      <c r="J366" t="s">
        <v>23</v>
      </c>
      <c r="K366" t="str">
        <f>IF(HR_Data5[[#This Row],[Age]]&lt;30,"Young",IF(HR_Data5[[#This Row],[Age]]&lt;=45,"Mid-Career","Senior"))</f>
        <v>Mid-Career</v>
      </c>
      <c r="L366" s="10">
        <f ca="1">DATEDIF(HR_Data5[[#This Row],[Joining Date]],TODAY(),"Y")</f>
        <v>6</v>
      </c>
      <c r="M366" s="10" t="str">
        <f>IF(HR_Data5[[#This Row],[Salary]]&lt;55000,"Low",IF(HR_Data5[[#This Row],[Salary]]&lt;=65000,"Medium","High"))</f>
        <v>High</v>
      </c>
      <c r="N366" s="10">
        <f>YEAR(HR_Data5[[#This Row],[Joining Date]])</f>
        <v>2019</v>
      </c>
      <c r="O366" s="10" cm="1">
        <f t="array" ref="O366">_xlfn.SWITCH(HR_Data5[[#This Row],[Performance Score]],
"A",5,
"B",4,
"C",3,
"D",2,
"F",1)</f>
        <v>1</v>
      </c>
      <c r="P366" s="10"/>
    </row>
    <row r="367" spans="1:16" x14ac:dyDescent="0.3">
      <c r="A367" t="s">
        <v>59</v>
      </c>
      <c r="B367">
        <v>30</v>
      </c>
      <c r="C367" s="6">
        <v>50000</v>
      </c>
      <c r="D367" t="s">
        <v>36</v>
      </c>
      <c r="E367" t="s">
        <v>19</v>
      </c>
      <c r="F367" t="s">
        <v>44</v>
      </c>
      <c r="G367" s="7">
        <v>43195</v>
      </c>
      <c r="H367" t="s">
        <v>41</v>
      </c>
      <c r="I367" t="s">
        <v>69</v>
      </c>
      <c r="J367" t="s">
        <v>23</v>
      </c>
      <c r="K367" t="str">
        <f>IF(HR_Data5[[#This Row],[Age]]&lt;30,"Young",IF(HR_Data5[[#This Row],[Age]]&lt;=45,"Mid-Career","Senior"))</f>
        <v>Mid-Career</v>
      </c>
      <c r="L367" s="10">
        <f ca="1">DATEDIF(HR_Data5[[#This Row],[Joining Date]],TODAY(),"Y")</f>
        <v>7</v>
      </c>
      <c r="M367" s="10" t="str">
        <f>IF(HR_Data5[[#This Row],[Salary]]&lt;55000,"Low",IF(HR_Data5[[#This Row],[Salary]]&lt;=65000,"Medium","High"))</f>
        <v>Low</v>
      </c>
      <c r="N367" s="10">
        <f>YEAR(HR_Data5[[#This Row],[Joining Date]])</f>
        <v>2018</v>
      </c>
      <c r="O367" s="10" cm="1">
        <f t="array" ref="O367">_xlfn.SWITCH(HR_Data5[[#This Row],[Performance Score]],
"A",5,
"B",4,
"C",3,
"D",2,
"F",1)</f>
        <v>4</v>
      </c>
      <c r="P367" s="10"/>
    </row>
    <row r="368" spans="1:16" x14ac:dyDescent="0.3">
      <c r="A368" t="s">
        <v>53</v>
      </c>
      <c r="B368">
        <v>36</v>
      </c>
      <c r="C368" s="6" t="s">
        <v>68</v>
      </c>
      <c r="D368" t="s">
        <v>18</v>
      </c>
      <c r="E368" t="s">
        <v>37</v>
      </c>
      <c r="F368" t="s">
        <v>39</v>
      </c>
      <c r="G368" s="7">
        <v>43800</v>
      </c>
      <c r="H368" t="s">
        <v>31</v>
      </c>
      <c r="I368" t="s">
        <v>69</v>
      </c>
      <c r="J368" t="s">
        <v>28</v>
      </c>
      <c r="K368" t="str">
        <f>IF(HR_Data5[[#This Row],[Age]]&lt;30,"Young",IF(HR_Data5[[#This Row],[Age]]&lt;=45,"Mid-Career","Senior"))</f>
        <v>Mid-Career</v>
      </c>
      <c r="L368" s="10">
        <f ca="1">DATEDIF(HR_Data5[[#This Row],[Joining Date]],TODAY(),"Y")</f>
        <v>6</v>
      </c>
      <c r="M368" s="10" t="str">
        <f>IF(HR_Data5[[#This Row],[Salary]]&lt;55000,"Low",IF(HR_Data5[[#This Row],[Salary]]&lt;=65000,"Medium","High"))</f>
        <v>High</v>
      </c>
      <c r="N368" s="10">
        <f>YEAR(HR_Data5[[#This Row],[Joining Date]])</f>
        <v>2019</v>
      </c>
      <c r="O368" s="10" cm="1">
        <f t="array" ref="O368">_xlfn.SWITCH(HR_Data5[[#This Row],[Performance Score]],
"A",5,
"B",4,
"C",3,
"D",2,
"F",1)</f>
        <v>5</v>
      </c>
      <c r="P368" s="10"/>
    </row>
    <row r="369" spans="1:16" x14ac:dyDescent="0.3">
      <c r="A369" t="s">
        <v>54</v>
      </c>
      <c r="B369">
        <v>25</v>
      </c>
      <c r="C369" s="6" t="s">
        <v>68</v>
      </c>
      <c r="D369" t="s">
        <v>18</v>
      </c>
      <c r="E369" t="s">
        <v>19</v>
      </c>
      <c r="F369" t="s">
        <v>20</v>
      </c>
      <c r="G369" s="7">
        <v>43800</v>
      </c>
      <c r="H369" t="s">
        <v>31</v>
      </c>
      <c r="I369" t="s">
        <v>15</v>
      </c>
      <c r="J369" t="s">
        <v>23</v>
      </c>
      <c r="K369" t="str">
        <f>IF(HR_Data5[[#This Row],[Age]]&lt;30,"Young",IF(HR_Data5[[#This Row],[Age]]&lt;=45,"Mid-Career","Senior"))</f>
        <v>Young</v>
      </c>
      <c r="L369" s="10">
        <f ca="1">DATEDIF(HR_Data5[[#This Row],[Joining Date]],TODAY(),"Y")</f>
        <v>6</v>
      </c>
      <c r="M369" s="10" t="str">
        <f>IF(HR_Data5[[#This Row],[Salary]]&lt;55000,"Low",IF(HR_Data5[[#This Row],[Salary]]&lt;=65000,"Medium","High"))</f>
        <v>High</v>
      </c>
      <c r="N369" s="10">
        <f>YEAR(HR_Data5[[#This Row],[Joining Date]])</f>
        <v>2019</v>
      </c>
      <c r="O369" s="10" cm="1">
        <f t="array" ref="O369">_xlfn.SWITCH(HR_Data5[[#This Row],[Performance Score]],
"A",5,
"B",4,
"C",3,
"D",2,
"F",1)</f>
        <v>5</v>
      </c>
      <c r="P369" s="10"/>
    </row>
    <row r="370" spans="1:16" x14ac:dyDescent="0.3">
      <c r="A370" t="s">
        <v>54</v>
      </c>
      <c r="B370">
        <v>36</v>
      </c>
      <c r="C370" s="6" t="s">
        <v>68</v>
      </c>
      <c r="D370" t="s">
        <v>11</v>
      </c>
      <c r="E370" t="s">
        <v>30</v>
      </c>
      <c r="F370" t="s">
        <v>20</v>
      </c>
      <c r="G370" s="7">
        <v>43800</v>
      </c>
      <c r="H370" t="s">
        <v>21</v>
      </c>
      <c r="I370" t="s">
        <v>69</v>
      </c>
      <c r="J370" t="s">
        <v>69</v>
      </c>
      <c r="K370" t="str">
        <f>IF(HR_Data5[[#This Row],[Age]]&lt;30,"Young",IF(HR_Data5[[#This Row],[Age]]&lt;=45,"Mid-Career","Senior"))</f>
        <v>Mid-Career</v>
      </c>
      <c r="L370" s="10">
        <f ca="1">DATEDIF(HR_Data5[[#This Row],[Joining Date]],TODAY(),"Y")</f>
        <v>6</v>
      </c>
      <c r="M370" s="10" t="str">
        <f>IF(HR_Data5[[#This Row],[Salary]]&lt;55000,"Low",IF(HR_Data5[[#This Row],[Salary]]&lt;=65000,"Medium","High"))</f>
        <v>High</v>
      </c>
      <c r="N370" s="10">
        <f>YEAR(HR_Data5[[#This Row],[Joining Date]])</f>
        <v>2019</v>
      </c>
      <c r="O370" s="10" cm="1">
        <f t="array" ref="O370">_xlfn.SWITCH(HR_Data5[[#This Row],[Performance Score]],
"A",5,
"B",4,
"C",3,
"D",2,
"F",1)</f>
        <v>1</v>
      </c>
      <c r="P370" s="10"/>
    </row>
    <row r="371" spans="1:16" x14ac:dyDescent="0.3">
      <c r="A371" t="s">
        <v>51</v>
      </c>
      <c r="B371">
        <v>40</v>
      </c>
      <c r="C371" s="6">
        <v>70000</v>
      </c>
      <c r="D371" t="s">
        <v>11</v>
      </c>
      <c r="E371" t="s">
        <v>26</v>
      </c>
      <c r="F371" t="s">
        <v>44</v>
      </c>
      <c r="G371" s="7">
        <v>43549</v>
      </c>
      <c r="H371" t="s">
        <v>27</v>
      </c>
      <c r="I371" t="s">
        <v>69</v>
      </c>
      <c r="J371" t="s">
        <v>69</v>
      </c>
      <c r="K371" t="str">
        <f>IF(HR_Data5[[#This Row],[Age]]&lt;30,"Young",IF(HR_Data5[[#This Row],[Age]]&lt;=45,"Mid-Career","Senior"))</f>
        <v>Mid-Career</v>
      </c>
      <c r="L371" s="10">
        <f ca="1">DATEDIF(HR_Data5[[#This Row],[Joining Date]],TODAY(),"Y")</f>
        <v>6</v>
      </c>
      <c r="M371" s="10" t="str">
        <f>IF(HR_Data5[[#This Row],[Salary]]&lt;55000,"Low",IF(HR_Data5[[#This Row],[Salary]]&lt;=65000,"Medium","High"))</f>
        <v>High</v>
      </c>
      <c r="N371" s="10">
        <f>YEAR(HR_Data5[[#This Row],[Joining Date]])</f>
        <v>2019</v>
      </c>
      <c r="O371" s="10" cm="1">
        <f t="array" ref="O371">_xlfn.SWITCH(HR_Data5[[#This Row],[Performance Score]],
"A",5,
"B",4,
"C",3,
"D",2,
"F",1)</f>
        <v>3</v>
      </c>
      <c r="P371" s="10"/>
    </row>
    <row r="372" spans="1:16" x14ac:dyDescent="0.3">
      <c r="A372" t="s">
        <v>52</v>
      </c>
      <c r="B372">
        <v>50</v>
      </c>
      <c r="C372" s="6">
        <v>65000</v>
      </c>
      <c r="D372" t="s">
        <v>18</v>
      </c>
      <c r="E372" t="s">
        <v>30</v>
      </c>
      <c r="F372" t="s">
        <v>20</v>
      </c>
      <c r="G372" s="7">
        <v>43800</v>
      </c>
      <c r="H372" t="s">
        <v>27</v>
      </c>
      <c r="I372" t="s">
        <v>32</v>
      </c>
      <c r="J372" t="s">
        <v>69</v>
      </c>
      <c r="K372" t="str">
        <f>IF(HR_Data5[[#This Row],[Age]]&lt;30,"Young",IF(HR_Data5[[#This Row],[Age]]&lt;=45,"Mid-Career","Senior"))</f>
        <v>Senior</v>
      </c>
      <c r="L372" s="10">
        <f ca="1">DATEDIF(HR_Data5[[#This Row],[Joining Date]],TODAY(),"Y")</f>
        <v>6</v>
      </c>
      <c r="M372" s="10" t="str">
        <f>IF(HR_Data5[[#This Row],[Salary]]&lt;55000,"Low",IF(HR_Data5[[#This Row],[Salary]]&lt;=65000,"Medium","High"))</f>
        <v>Medium</v>
      </c>
      <c r="N372" s="10">
        <f>YEAR(HR_Data5[[#This Row],[Joining Date]])</f>
        <v>2019</v>
      </c>
      <c r="O372" s="10" cm="1">
        <f t="array" ref="O372">_xlfn.SWITCH(HR_Data5[[#This Row],[Performance Score]],
"A",5,
"B",4,
"C",3,
"D",2,
"F",1)</f>
        <v>3</v>
      </c>
      <c r="P372" s="10"/>
    </row>
    <row r="373" spans="1:16" x14ac:dyDescent="0.3">
      <c r="A373" t="s">
        <v>57</v>
      </c>
      <c r="B373">
        <v>25</v>
      </c>
      <c r="C373" s="6">
        <v>60000</v>
      </c>
      <c r="D373" t="s">
        <v>36</v>
      </c>
      <c r="E373" t="s">
        <v>19</v>
      </c>
      <c r="F373" t="s">
        <v>43</v>
      </c>
      <c r="G373" s="7">
        <v>43881</v>
      </c>
      <c r="H373" t="s">
        <v>21</v>
      </c>
      <c r="I373" t="s">
        <v>32</v>
      </c>
      <c r="J373" t="s">
        <v>28</v>
      </c>
      <c r="K373" t="str">
        <f>IF(HR_Data5[[#This Row],[Age]]&lt;30,"Young",IF(HR_Data5[[#This Row],[Age]]&lt;=45,"Mid-Career","Senior"))</f>
        <v>Young</v>
      </c>
      <c r="L373" s="10">
        <f ca="1">DATEDIF(HR_Data5[[#This Row],[Joining Date]],TODAY(),"Y")</f>
        <v>6</v>
      </c>
      <c r="M373" s="10" t="str">
        <f>IF(HR_Data5[[#This Row],[Salary]]&lt;55000,"Low",IF(HR_Data5[[#This Row],[Salary]]&lt;=65000,"Medium","High"))</f>
        <v>Medium</v>
      </c>
      <c r="N373" s="10">
        <f>YEAR(HR_Data5[[#This Row],[Joining Date]])</f>
        <v>2020</v>
      </c>
      <c r="O373" s="10" cm="1">
        <f t="array" ref="O373">_xlfn.SWITCH(HR_Data5[[#This Row],[Performance Score]],
"A",5,
"B",4,
"C",3,
"D",2,
"F",1)</f>
        <v>1</v>
      </c>
      <c r="P373" s="10"/>
    </row>
    <row r="374" spans="1:16" x14ac:dyDescent="0.3">
      <c r="A374" t="s">
        <v>52</v>
      </c>
      <c r="B374">
        <v>40</v>
      </c>
      <c r="C374" s="6">
        <v>60000</v>
      </c>
      <c r="D374" t="s">
        <v>36</v>
      </c>
      <c r="E374" t="s">
        <v>19</v>
      </c>
      <c r="F374" t="s">
        <v>43</v>
      </c>
      <c r="G374" s="7">
        <v>43881</v>
      </c>
      <c r="H374" t="s">
        <v>41</v>
      </c>
      <c r="I374" t="s">
        <v>15</v>
      </c>
      <c r="J374" t="s">
        <v>69</v>
      </c>
      <c r="K374" t="str">
        <f>IF(HR_Data5[[#This Row],[Age]]&lt;30,"Young",IF(HR_Data5[[#This Row],[Age]]&lt;=45,"Mid-Career","Senior"))</f>
        <v>Mid-Career</v>
      </c>
      <c r="L374" s="10">
        <f ca="1">DATEDIF(HR_Data5[[#This Row],[Joining Date]],TODAY(),"Y")</f>
        <v>6</v>
      </c>
      <c r="M374" s="10" t="str">
        <f>IF(HR_Data5[[#This Row],[Salary]]&lt;55000,"Low",IF(HR_Data5[[#This Row],[Salary]]&lt;=65000,"Medium","High"))</f>
        <v>Medium</v>
      </c>
      <c r="N374" s="10">
        <f>YEAR(HR_Data5[[#This Row],[Joining Date]])</f>
        <v>2020</v>
      </c>
      <c r="O374" s="10" cm="1">
        <f t="array" ref="O374">_xlfn.SWITCH(HR_Data5[[#This Row],[Performance Score]],
"A",5,
"B",4,
"C",3,
"D",2,
"F",1)</f>
        <v>4</v>
      </c>
      <c r="P374" s="10"/>
    </row>
    <row r="375" spans="1:16" x14ac:dyDescent="0.3">
      <c r="A375" t="s">
        <v>56</v>
      </c>
      <c r="B375">
        <v>30</v>
      </c>
      <c r="C375" s="6">
        <v>50000</v>
      </c>
      <c r="D375" t="s">
        <v>11</v>
      </c>
      <c r="E375" t="s">
        <v>30</v>
      </c>
      <c r="F375" t="s">
        <v>20</v>
      </c>
      <c r="G375" s="7">
        <v>43845</v>
      </c>
      <c r="H375" t="s">
        <v>27</v>
      </c>
      <c r="I375" t="s">
        <v>32</v>
      </c>
      <c r="J375" t="s">
        <v>45</v>
      </c>
      <c r="K375" t="str">
        <f>IF(HR_Data5[[#This Row],[Age]]&lt;30,"Young",IF(HR_Data5[[#This Row],[Age]]&lt;=45,"Mid-Career","Senior"))</f>
        <v>Mid-Career</v>
      </c>
      <c r="L375" s="10">
        <f ca="1">DATEDIF(HR_Data5[[#This Row],[Joining Date]],TODAY(),"Y")</f>
        <v>6</v>
      </c>
      <c r="M375" s="10" t="str">
        <f>IF(HR_Data5[[#This Row],[Salary]]&lt;55000,"Low",IF(HR_Data5[[#This Row],[Salary]]&lt;=65000,"Medium","High"))</f>
        <v>Low</v>
      </c>
      <c r="N375" s="10">
        <f>YEAR(HR_Data5[[#This Row],[Joining Date]])</f>
        <v>2020</v>
      </c>
      <c r="O375" s="10" cm="1">
        <f t="array" ref="O375">_xlfn.SWITCH(HR_Data5[[#This Row],[Performance Score]],
"A",5,
"B",4,
"C",3,
"D",2,
"F",1)</f>
        <v>3</v>
      </c>
      <c r="P375" s="10"/>
    </row>
    <row r="376" spans="1:16" x14ac:dyDescent="0.3">
      <c r="A376" t="s">
        <v>51</v>
      </c>
      <c r="B376">
        <v>25</v>
      </c>
      <c r="C376" s="6" t="s">
        <v>68</v>
      </c>
      <c r="D376" t="s">
        <v>36</v>
      </c>
      <c r="E376" t="s">
        <v>12</v>
      </c>
      <c r="F376" t="s">
        <v>44</v>
      </c>
      <c r="G376" s="7">
        <v>43549</v>
      </c>
      <c r="H376" t="s">
        <v>21</v>
      </c>
      <c r="I376" t="s">
        <v>69</v>
      </c>
      <c r="J376" t="s">
        <v>69</v>
      </c>
      <c r="K376" t="str">
        <f>IF(HR_Data5[[#This Row],[Age]]&lt;30,"Young",IF(HR_Data5[[#This Row],[Age]]&lt;=45,"Mid-Career","Senior"))</f>
        <v>Young</v>
      </c>
      <c r="L376" s="10">
        <f ca="1">DATEDIF(HR_Data5[[#This Row],[Joining Date]],TODAY(),"Y")</f>
        <v>6</v>
      </c>
      <c r="M376" s="10" t="str">
        <f>IF(HR_Data5[[#This Row],[Salary]]&lt;55000,"Low",IF(HR_Data5[[#This Row],[Salary]]&lt;=65000,"Medium","High"))</f>
        <v>High</v>
      </c>
      <c r="N376" s="10">
        <f>YEAR(HR_Data5[[#This Row],[Joining Date]])</f>
        <v>2019</v>
      </c>
      <c r="O376" s="10" cm="1">
        <f t="array" ref="O376">_xlfn.SWITCH(HR_Data5[[#This Row],[Performance Score]],
"A",5,
"B",4,
"C",3,
"D",2,
"F",1)</f>
        <v>1</v>
      </c>
      <c r="P376" s="10"/>
    </row>
    <row r="377" spans="1:16" x14ac:dyDescent="0.3">
      <c r="A377" t="s">
        <v>53</v>
      </c>
      <c r="B377">
        <v>40</v>
      </c>
      <c r="C377" s="6">
        <v>50000</v>
      </c>
      <c r="D377" t="s">
        <v>11</v>
      </c>
      <c r="E377" t="s">
        <v>12</v>
      </c>
      <c r="F377" t="s">
        <v>44</v>
      </c>
      <c r="G377" s="7">
        <v>43845</v>
      </c>
      <c r="H377" t="s">
        <v>41</v>
      </c>
      <c r="I377" t="s">
        <v>15</v>
      </c>
      <c r="J377" t="s">
        <v>45</v>
      </c>
      <c r="K377" t="str">
        <f>IF(HR_Data5[[#This Row],[Age]]&lt;30,"Young",IF(HR_Data5[[#This Row],[Age]]&lt;=45,"Mid-Career","Senior"))</f>
        <v>Mid-Career</v>
      </c>
      <c r="L377" s="10">
        <f ca="1">DATEDIF(HR_Data5[[#This Row],[Joining Date]],TODAY(),"Y")</f>
        <v>6</v>
      </c>
      <c r="M377" s="10" t="str">
        <f>IF(HR_Data5[[#This Row],[Salary]]&lt;55000,"Low",IF(HR_Data5[[#This Row],[Salary]]&lt;=65000,"Medium","High"))</f>
        <v>Low</v>
      </c>
      <c r="N377" s="10">
        <f>YEAR(HR_Data5[[#This Row],[Joining Date]])</f>
        <v>2020</v>
      </c>
      <c r="O377" s="10" cm="1">
        <f t="array" ref="O377">_xlfn.SWITCH(HR_Data5[[#This Row],[Performance Score]],
"A",5,
"B",4,
"C",3,
"D",2,
"F",1)</f>
        <v>4</v>
      </c>
      <c r="P377" s="10"/>
    </row>
    <row r="378" spans="1:16" x14ac:dyDescent="0.3">
      <c r="A378" t="s">
        <v>52</v>
      </c>
      <c r="B378">
        <v>30</v>
      </c>
      <c r="C378" s="6">
        <v>70000</v>
      </c>
      <c r="D378" t="s">
        <v>36</v>
      </c>
      <c r="E378" t="s">
        <v>12</v>
      </c>
      <c r="F378" t="s">
        <v>44</v>
      </c>
      <c r="G378" s="7">
        <v>43881</v>
      </c>
      <c r="H378" t="s">
        <v>41</v>
      </c>
      <c r="I378" t="s">
        <v>69</v>
      </c>
      <c r="J378" t="s">
        <v>45</v>
      </c>
      <c r="K378" t="str">
        <f>IF(HR_Data5[[#This Row],[Age]]&lt;30,"Young",IF(HR_Data5[[#This Row],[Age]]&lt;=45,"Mid-Career","Senior"))</f>
        <v>Mid-Career</v>
      </c>
      <c r="L378" s="10">
        <f ca="1">DATEDIF(HR_Data5[[#This Row],[Joining Date]],TODAY(),"Y")</f>
        <v>6</v>
      </c>
      <c r="M378" s="10" t="str">
        <f>IF(HR_Data5[[#This Row],[Salary]]&lt;55000,"Low",IF(HR_Data5[[#This Row],[Salary]]&lt;=65000,"Medium","High"))</f>
        <v>High</v>
      </c>
      <c r="N378" s="10">
        <f>YEAR(HR_Data5[[#This Row],[Joining Date]])</f>
        <v>2020</v>
      </c>
      <c r="O378" s="10" cm="1">
        <f t="array" ref="O378">_xlfn.SWITCH(HR_Data5[[#This Row],[Performance Score]],
"A",5,
"B",4,
"C",3,
"D",2,
"F",1)</f>
        <v>4</v>
      </c>
      <c r="P378" s="10"/>
    </row>
    <row r="379" spans="1:16" x14ac:dyDescent="0.3">
      <c r="A379" t="s">
        <v>58</v>
      </c>
      <c r="B379">
        <v>36</v>
      </c>
      <c r="C379" s="6">
        <v>70000</v>
      </c>
      <c r="D379" t="s">
        <v>18</v>
      </c>
      <c r="E379" t="s">
        <v>19</v>
      </c>
      <c r="F379" t="s">
        <v>13</v>
      </c>
      <c r="G379" s="7">
        <v>43881</v>
      </c>
      <c r="H379" t="s">
        <v>14</v>
      </c>
      <c r="I379" t="s">
        <v>15</v>
      </c>
      <c r="J379" t="s">
        <v>28</v>
      </c>
      <c r="K379" t="str">
        <f>IF(HR_Data5[[#This Row],[Age]]&lt;30,"Young",IF(HR_Data5[[#This Row],[Age]]&lt;=45,"Mid-Career","Senior"))</f>
        <v>Mid-Career</v>
      </c>
      <c r="L379" s="10">
        <f ca="1">DATEDIF(HR_Data5[[#This Row],[Joining Date]],TODAY(),"Y")</f>
        <v>6</v>
      </c>
      <c r="M379" s="10" t="str">
        <f>IF(HR_Data5[[#This Row],[Salary]]&lt;55000,"Low",IF(HR_Data5[[#This Row],[Salary]]&lt;=65000,"Medium","High"))</f>
        <v>High</v>
      </c>
      <c r="N379" s="10">
        <f>YEAR(HR_Data5[[#This Row],[Joining Date]])</f>
        <v>2020</v>
      </c>
      <c r="O379" s="10" cm="1">
        <f t="array" ref="O379">_xlfn.SWITCH(HR_Data5[[#This Row],[Performance Score]],
"A",5,
"B",4,
"C",3,
"D",2,
"F",1)</f>
        <v>2</v>
      </c>
      <c r="P379" s="10"/>
    </row>
    <row r="380" spans="1:16" x14ac:dyDescent="0.3">
      <c r="A380" t="s">
        <v>55</v>
      </c>
      <c r="B380">
        <v>50</v>
      </c>
      <c r="C380" s="6">
        <v>55000</v>
      </c>
      <c r="D380" t="s">
        <v>11</v>
      </c>
      <c r="E380" t="s">
        <v>37</v>
      </c>
      <c r="F380" t="s">
        <v>20</v>
      </c>
      <c r="G380" s="7">
        <v>43195</v>
      </c>
      <c r="H380" t="s">
        <v>41</v>
      </c>
      <c r="I380" t="s">
        <v>15</v>
      </c>
      <c r="J380" t="s">
        <v>23</v>
      </c>
      <c r="K380" t="str">
        <f>IF(HR_Data5[[#This Row],[Age]]&lt;30,"Young",IF(HR_Data5[[#This Row],[Age]]&lt;=45,"Mid-Career","Senior"))</f>
        <v>Senior</v>
      </c>
      <c r="L380" s="10">
        <f ca="1">DATEDIF(HR_Data5[[#This Row],[Joining Date]],TODAY(),"Y")</f>
        <v>7</v>
      </c>
      <c r="M380" s="10" t="str">
        <f>IF(HR_Data5[[#This Row],[Salary]]&lt;55000,"Low",IF(HR_Data5[[#This Row],[Salary]]&lt;=65000,"Medium","High"))</f>
        <v>Medium</v>
      </c>
      <c r="N380" s="10">
        <f>YEAR(HR_Data5[[#This Row],[Joining Date]])</f>
        <v>2018</v>
      </c>
      <c r="O380" s="10" cm="1">
        <f t="array" ref="O380">_xlfn.SWITCH(HR_Data5[[#This Row],[Performance Score]],
"A",5,
"B",4,
"C",3,
"D",2,
"F",1)</f>
        <v>4</v>
      </c>
      <c r="P380" s="10"/>
    </row>
    <row r="381" spans="1:16" x14ac:dyDescent="0.3">
      <c r="A381" t="s">
        <v>56</v>
      </c>
      <c r="B381">
        <v>30</v>
      </c>
      <c r="C381" s="6">
        <v>70000</v>
      </c>
      <c r="D381" t="s">
        <v>11</v>
      </c>
      <c r="E381" t="s">
        <v>19</v>
      </c>
      <c r="F381" t="s">
        <v>44</v>
      </c>
      <c r="G381" s="7">
        <v>43800</v>
      </c>
      <c r="H381" t="s">
        <v>27</v>
      </c>
      <c r="I381" t="s">
        <v>22</v>
      </c>
      <c r="J381" t="s">
        <v>45</v>
      </c>
      <c r="K381" t="str">
        <f>IF(HR_Data5[[#This Row],[Age]]&lt;30,"Young",IF(HR_Data5[[#This Row],[Age]]&lt;=45,"Mid-Career","Senior"))</f>
        <v>Mid-Career</v>
      </c>
      <c r="L381" s="10">
        <f ca="1">DATEDIF(HR_Data5[[#This Row],[Joining Date]],TODAY(),"Y")</f>
        <v>6</v>
      </c>
      <c r="M381" s="10" t="str">
        <f>IF(HR_Data5[[#This Row],[Salary]]&lt;55000,"Low",IF(HR_Data5[[#This Row],[Salary]]&lt;=65000,"Medium","High"))</f>
        <v>High</v>
      </c>
      <c r="N381" s="10">
        <f>YEAR(HR_Data5[[#This Row],[Joining Date]])</f>
        <v>2019</v>
      </c>
      <c r="O381" s="10" cm="1">
        <f t="array" ref="O381">_xlfn.SWITCH(HR_Data5[[#This Row],[Performance Score]],
"A",5,
"B",4,
"C",3,
"D",2,
"F",1)</f>
        <v>3</v>
      </c>
      <c r="P381" s="10"/>
    </row>
    <row r="382" spans="1:16" x14ac:dyDescent="0.3">
      <c r="A382" t="s">
        <v>59</v>
      </c>
      <c r="B382">
        <v>35</v>
      </c>
      <c r="C382" s="6">
        <v>55000</v>
      </c>
      <c r="D382" t="s">
        <v>18</v>
      </c>
      <c r="E382" t="s">
        <v>37</v>
      </c>
      <c r="F382" t="s">
        <v>43</v>
      </c>
      <c r="G382" s="7">
        <v>43881</v>
      </c>
      <c r="H382" t="s">
        <v>27</v>
      </c>
      <c r="I382" t="s">
        <v>22</v>
      </c>
      <c r="J382" t="s">
        <v>69</v>
      </c>
      <c r="K382" t="str">
        <f>IF(HR_Data5[[#This Row],[Age]]&lt;30,"Young",IF(HR_Data5[[#This Row],[Age]]&lt;=45,"Mid-Career","Senior"))</f>
        <v>Mid-Career</v>
      </c>
      <c r="L382" s="10">
        <f ca="1">DATEDIF(HR_Data5[[#This Row],[Joining Date]],TODAY(),"Y")</f>
        <v>6</v>
      </c>
      <c r="M382" s="10" t="str">
        <f>IF(HR_Data5[[#This Row],[Salary]]&lt;55000,"Low",IF(HR_Data5[[#This Row],[Salary]]&lt;=65000,"Medium","High"))</f>
        <v>Medium</v>
      </c>
      <c r="N382" s="10">
        <f>YEAR(HR_Data5[[#This Row],[Joining Date]])</f>
        <v>2020</v>
      </c>
      <c r="O382" s="10" cm="1">
        <f t="array" ref="O382">_xlfn.SWITCH(HR_Data5[[#This Row],[Performance Score]],
"A",5,
"B",4,
"C",3,
"D",2,
"F",1)</f>
        <v>3</v>
      </c>
      <c r="P382" s="10"/>
    </row>
    <row r="383" spans="1:16" x14ac:dyDescent="0.3">
      <c r="A383" t="s">
        <v>53</v>
      </c>
      <c r="B383">
        <v>30</v>
      </c>
      <c r="C383" s="6">
        <v>65000</v>
      </c>
      <c r="D383" t="s">
        <v>11</v>
      </c>
      <c r="E383" t="s">
        <v>30</v>
      </c>
      <c r="F383" t="s">
        <v>39</v>
      </c>
      <c r="G383" s="7">
        <v>43845</v>
      </c>
      <c r="H383" t="s">
        <v>21</v>
      </c>
      <c r="I383" t="s">
        <v>15</v>
      </c>
      <c r="J383" t="s">
        <v>23</v>
      </c>
      <c r="K383" t="str">
        <f>IF(HR_Data5[[#This Row],[Age]]&lt;30,"Young",IF(HR_Data5[[#This Row],[Age]]&lt;=45,"Mid-Career","Senior"))</f>
        <v>Mid-Career</v>
      </c>
      <c r="L383" s="10">
        <f ca="1">DATEDIF(HR_Data5[[#This Row],[Joining Date]],TODAY(),"Y")</f>
        <v>6</v>
      </c>
      <c r="M383" s="10" t="str">
        <f>IF(HR_Data5[[#This Row],[Salary]]&lt;55000,"Low",IF(HR_Data5[[#This Row],[Salary]]&lt;=65000,"Medium","High"))</f>
        <v>Medium</v>
      </c>
      <c r="N383" s="10">
        <f>YEAR(HR_Data5[[#This Row],[Joining Date]])</f>
        <v>2020</v>
      </c>
      <c r="O383" s="10" cm="1">
        <f t="array" ref="O383">_xlfn.SWITCH(HR_Data5[[#This Row],[Performance Score]],
"A",5,
"B",4,
"C",3,
"D",2,
"F",1)</f>
        <v>1</v>
      </c>
      <c r="P383" s="10"/>
    </row>
    <row r="384" spans="1:16" x14ac:dyDescent="0.3">
      <c r="A384" t="s">
        <v>56</v>
      </c>
      <c r="B384">
        <v>30</v>
      </c>
      <c r="C384" s="6">
        <v>50000</v>
      </c>
      <c r="D384" t="s">
        <v>36</v>
      </c>
      <c r="E384" t="s">
        <v>26</v>
      </c>
      <c r="F384" t="s">
        <v>39</v>
      </c>
      <c r="G384" s="7">
        <v>43845</v>
      </c>
      <c r="H384" t="s">
        <v>21</v>
      </c>
      <c r="I384" t="s">
        <v>32</v>
      </c>
      <c r="J384" t="s">
        <v>69</v>
      </c>
      <c r="K384" t="str">
        <f>IF(HR_Data5[[#This Row],[Age]]&lt;30,"Young",IF(HR_Data5[[#This Row],[Age]]&lt;=45,"Mid-Career","Senior"))</f>
        <v>Mid-Career</v>
      </c>
      <c r="L384" s="10">
        <f ca="1">DATEDIF(HR_Data5[[#This Row],[Joining Date]],TODAY(),"Y")</f>
        <v>6</v>
      </c>
      <c r="M384" s="10" t="str">
        <f>IF(HR_Data5[[#This Row],[Salary]]&lt;55000,"Low",IF(HR_Data5[[#This Row],[Salary]]&lt;=65000,"Medium","High"))</f>
        <v>Low</v>
      </c>
      <c r="N384" s="10">
        <f>YEAR(HR_Data5[[#This Row],[Joining Date]])</f>
        <v>2020</v>
      </c>
      <c r="O384" s="10" cm="1">
        <f t="array" ref="O384">_xlfn.SWITCH(HR_Data5[[#This Row],[Performance Score]],
"A",5,
"B",4,
"C",3,
"D",2,
"F",1)</f>
        <v>1</v>
      </c>
      <c r="P384" s="10"/>
    </row>
    <row r="385" spans="1:16" x14ac:dyDescent="0.3">
      <c r="A385" t="s">
        <v>55</v>
      </c>
      <c r="B385">
        <v>50</v>
      </c>
      <c r="C385" s="6">
        <v>65000</v>
      </c>
      <c r="D385" t="s">
        <v>36</v>
      </c>
      <c r="E385" t="s">
        <v>37</v>
      </c>
      <c r="F385" t="s">
        <v>44</v>
      </c>
      <c r="G385" s="7">
        <v>43800</v>
      </c>
      <c r="H385" t="s">
        <v>41</v>
      </c>
      <c r="I385" t="s">
        <v>22</v>
      </c>
      <c r="J385" t="s">
        <v>69</v>
      </c>
      <c r="K385" t="str">
        <f>IF(HR_Data5[[#This Row],[Age]]&lt;30,"Young",IF(HR_Data5[[#This Row],[Age]]&lt;=45,"Mid-Career","Senior"))</f>
        <v>Senior</v>
      </c>
      <c r="L385" s="10">
        <f ca="1">DATEDIF(HR_Data5[[#This Row],[Joining Date]],TODAY(),"Y")</f>
        <v>6</v>
      </c>
      <c r="M385" s="10" t="str">
        <f>IF(HR_Data5[[#This Row],[Salary]]&lt;55000,"Low",IF(HR_Data5[[#This Row],[Salary]]&lt;=65000,"Medium","High"))</f>
        <v>Medium</v>
      </c>
      <c r="N385" s="10">
        <f>YEAR(HR_Data5[[#This Row],[Joining Date]])</f>
        <v>2019</v>
      </c>
      <c r="O385" s="10" cm="1">
        <f t="array" ref="O385">_xlfn.SWITCH(HR_Data5[[#This Row],[Performance Score]],
"A",5,
"B",4,
"C",3,
"D",2,
"F",1)</f>
        <v>4</v>
      </c>
      <c r="P385" s="10"/>
    </row>
    <row r="386" spans="1:16" x14ac:dyDescent="0.3">
      <c r="A386" t="s">
        <v>51</v>
      </c>
      <c r="B386">
        <v>35</v>
      </c>
      <c r="C386" s="6">
        <v>70000</v>
      </c>
      <c r="D386" t="s">
        <v>11</v>
      </c>
      <c r="E386" t="s">
        <v>12</v>
      </c>
      <c r="F386" t="s">
        <v>39</v>
      </c>
      <c r="G386" s="7">
        <v>43800</v>
      </c>
      <c r="H386" t="s">
        <v>31</v>
      </c>
      <c r="I386" t="s">
        <v>69</v>
      </c>
      <c r="J386" t="s">
        <v>23</v>
      </c>
      <c r="K386" t="str">
        <f>IF(HR_Data5[[#This Row],[Age]]&lt;30,"Young",IF(HR_Data5[[#This Row],[Age]]&lt;=45,"Mid-Career","Senior"))</f>
        <v>Mid-Career</v>
      </c>
      <c r="L386" s="10">
        <f ca="1">DATEDIF(HR_Data5[[#This Row],[Joining Date]],TODAY(),"Y")</f>
        <v>6</v>
      </c>
      <c r="M386" s="10" t="str">
        <f>IF(HR_Data5[[#This Row],[Salary]]&lt;55000,"Low",IF(HR_Data5[[#This Row],[Salary]]&lt;=65000,"Medium","High"))</f>
        <v>High</v>
      </c>
      <c r="N386" s="10">
        <f>YEAR(HR_Data5[[#This Row],[Joining Date]])</f>
        <v>2019</v>
      </c>
      <c r="O386" s="10" cm="1">
        <f t="array" ref="O386">_xlfn.SWITCH(HR_Data5[[#This Row],[Performance Score]],
"A",5,
"B",4,
"C",3,
"D",2,
"F",1)</f>
        <v>5</v>
      </c>
      <c r="P386" s="10"/>
    </row>
    <row r="387" spans="1:16" x14ac:dyDescent="0.3">
      <c r="A387" t="s">
        <v>55</v>
      </c>
      <c r="B387">
        <v>40</v>
      </c>
      <c r="C387" s="6">
        <v>65000</v>
      </c>
      <c r="D387" t="s">
        <v>36</v>
      </c>
      <c r="E387" t="s">
        <v>19</v>
      </c>
      <c r="F387" t="s">
        <v>39</v>
      </c>
      <c r="G387" s="7">
        <v>43195</v>
      </c>
      <c r="H387" t="s">
        <v>14</v>
      </c>
      <c r="I387" t="s">
        <v>69</v>
      </c>
      <c r="J387" t="s">
        <v>23</v>
      </c>
      <c r="K387" t="str">
        <f>IF(HR_Data5[[#This Row],[Age]]&lt;30,"Young",IF(HR_Data5[[#This Row],[Age]]&lt;=45,"Mid-Career","Senior"))</f>
        <v>Mid-Career</v>
      </c>
      <c r="L387" s="10">
        <f ca="1">DATEDIF(HR_Data5[[#This Row],[Joining Date]],TODAY(),"Y")</f>
        <v>7</v>
      </c>
      <c r="M387" s="10" t="str">
        <f>IF(HR_Data5[[#This Row],[Salary]]&lt;55000,"Low",IF(HR_Data5[[#This Row],[Salary]]&lt;=65000,"Medium","High"))</f>
        <v>Medium</v>
      </c>
      <c r="N387" s="10">
        <f>YEAR(HR_Data5[[#This Row],[Joining Date]])</f>
        <v>2018</v>
      </c>
      <c r="O387" s="10" cm="1">
        <f t="array" ref="O387">_xlfn.SWITCH(HR_Data5[[#This Row],[Performance Score]],
"A",5,
"B",4,
"C",3,
"D",2,
"F",1)</f>
        <v>2</v>
      </c>
      <c r="P387" s="10"/>
    </row>
    <row r="388" spans="1:16" x14ac:dyDescent="0.3">
      <c r="A388" t="s">
        <v>54</v>
      </c>
      <c r="B388">
        <v>40</v>
      </c>
      <c r="C388" s="6">
        <v>65000</v>
      </c>
      <c r="D388" t="s">
        <v>11</v>
      </c>
      <c r="E388" t="s">
        <v>30</v>
      </c>
      <c r="F388" t="s">
        <v>13</v>
      </c>
      <c r="G388" s="7">
        <v>43549</v>
      </c>
      <c r="H388" t="s">
        <v>31</v>
      </c>
      <c r="I388" t="s">
        <v>22</v>
      </c>
      <c r="J388" t="s">
        <v>69</v>
      </c>
      <c r="K388" t="str">
        <f>IF(HR_Data5[[#This Row],[Age]]&lt;30,"Young",IF(HR_Data5[[#This Row],[Age]]&lt;=45,"Mid-Career","Senior"))</f>
        <v>Mid-Career</v>
      </c>
      <c r="L388" s="10">
        <f ca="1">DATEDIF(HR_Data5[[#This Row],[Joining Date]],TODAY(),"Y")</f>
        <v>6</v>
      </c>
      <c r="M388" s="10" t="str">
        <f>IF(HR_Data5[[#This Row],[Salary]]&lt;55000,"Low",IF(HR_Data5[[#This Row],[Salary]]&lt;=65000,"Medium","High"))</f>
        <v>Medium</v>
      </c>
      <c r="N388" s="10">
        <f>YEAR(HR_Data5[[#This Row],[Joining Date]])</f>
        <v>2019</v>
      </c>
      <c r="O388" s="10" cm="1">
        <f t="array" ref="O388">_xlfn.SWITCH(HR_Data5[[#This Row],[Performance Score]],
"A",5,
"B",4,
"C",3,
"D",2,
"F",1)</f>
        <v>5</v>
      </c>
      <c r="P388" s="10"/>
    </row>
    <row r="389" spans="1:16" x14ac:dyDescent="0.3">
      <c r="A389" t="s">
        <v>55</v>
      </c>
      <c r="B389">
        <v>30</v>
      </c>
      <c r="C389" s="6">
        <v>65000</v>
      </c>
      <c r="D389" t="s">
        <v>18</v>
      </c>
      <c r="E389" t="s">
        <v>12</v>
      </c>
      <c r="F389" t="s">
        <v>43</v>
      </c>
      <c r="G389" s="7">
        <v>43845</v>
      </c>
      <c r="H389" t="s">
        <v>41</v>
      </c>
      <c r="I389" t="s">
        <v>15</v>
      </c>
      <c r="J389" t="s">
        <v>28</v>
      </c>
      <c r="K389" t="str">
        <f>IF(HR_Data5[[#This Row],[Age]]&lt;30,"Young",IF(HR_Data5[[#This Row],[Age]]&lt;=45,"Mid-Career","Senior"))</f>
        <v>Mid-Career</v>
      </c>
      <c r="L389" s="10">
        <f ca="1">DATEDIF(HR_Data5[[#This Row],[Joining Date]],TODAY(),"Y")</f>
        <v>6</v>
      </c>
      <c r="M389" s="10" t="str">
        <f>IF(HR_Data5[[#This Row],[Salary]]&lt;55000,"Low",IF(HR_Data5[[#This Row],[Salary]]&lt;=65000,"Medium","High"))</f>
        <v>Medium</v>
      </c>
      <c r="N389" s="10">
        <f>YEAR(HR_Data5[[#This Row],[Joining Date]])</f>
        <v>2020</v>
      </c>
      <c r="O389" s="10" cm="1">
        <f t="array" ref="O389">_xlfn.SWITCH(HR_Data5[[#This Row],[Performance Score]],
"A",5,
"B",4,
"C",3,
"D",2,
"F",1)</f>
        <v>4</v>
      </c>
      <c r="P389" s="10"/>
    </row>
    <row r="390" spans="1:16" x14ac:dyDescent="0.3">
      <c r="A390" t="s">
        <v>54</v>
      </c>
      <c r="B390">
        <v>35</v>
      </c>
      <c r="C390" s="6">
        <v>70000</v>
      </c>
      <c r="D390" t="s">
        <v>11</v>
      </c>
      <c r="E390" t="s">
        <v>30</v>
      </c>
      <c r="F390" t="s">
        <v>43</v>
      </c>
      <c r="G390" s="7">
        <v>43800</v>
      </c>
      <c r="H390" t="s">
        <v>41</v>
      </c>
      <c r="I390" t="s">
        <v>32</v>
      </c>
      <c r="J390" t="s">
        <v>69</v>
      </c>
      <c r="K390" t="str">
        <f>IF(HR_Data5[[#This Row],[Age]]&lt;30,"Young",IF(HR_Data5[[#This Row],[Age]]&lt;=45,"Mid-Career","Senior"))</f>
        <v>Mid-Career</v>
      </c>
      <c r="L390" s="10">
        <f ca="1">DATEDIF(HR_Data5[[#This Row],[Joining Date]],TODAY(),"Y")</f>
        <v>6</v>
      </c>
      <c r="M390" s="10" t="str">
        <f>IF(HR_Data5[[#This Row],[Salary]]&lt;55000,"Low",IF(HR_Data5[[#This Row],[Salary]]&lt;=65000,"Medium","High"))</f>
        <v>High</v>
      </c>
      <c r="N390" s="10">
        <f>YEAR(HR_Data5[[#This Row],[Joining Date]])</f>
        <v>2019</v>
      </c>
      <c r="O390" s="10" cm="1">
        <f t="array" ref="O390">_xlfn.SWITCH(HR_Data5[[#This Row],[Performance Score]],
"A",5,
"B",4,
"C",3,
"D",2,
"F",1)</f>
        <v>4</v>
      </c>
      <c r="P390" s="10"/>
    </row>
    <row r="391" spans="1:16" x14ac:dyDescent="0.3">
      <c r="A391" t="s">
        <v>51</v>
      </c>
      <c r="B391">
        <v>35</v>
      </c>
      <c r="C391" s="6" t="s">
        <v>68</v>
      </c>
      <c r="D391" t="s">
        <v>18</v>
      </c>
      <c r="E391" t="s">
        <v>26</v>
      </c>
      <c r="F391" t="s">
        <v>13</v>
      </c>
      <c r="G391" s="7">
        <v>43845</v>
      </c>
      <c r="H391" t="s">
        <v>31</v>
      </c>
      <c r="I391" t="s">
        <v>69</v>
      </c>
      <c r="J391" t="s">
        <v>69</v>
      </c>
      <c r="K391" t="str">
        <f>IF(HR_Data5[[#This Row],[Age]]&lt;30,"Young",IF(HR_Data5[[#This Row],[Age]]&lt;=45,"Mid-Career","Senior"))</f>
        <v>Mid-Career</v>
      </c>
      <c r="L391" s="10">
        <f ca="1">DATEDIF(HR_Data5[[#This Row],[Joining Date]],TODAY(),"Y")</f>
        <v>6</v>
      </c>
      <c r="M391" s="10" t="str">
        <f>IF(HR_Data5[[#This Row],[Salary]]&lt;55000,"Low",IF(HR_Data5[[#This Row],[Salary]]&lt;=65000,"Medium","High"))</f>
        <v>High</v>
      </c>
      <c r="N391" s="10">
        <f>YEAR(HR_Data5[[#This Row],[Joining Date]])</f>
        <v>2020</v>
      </c>
      <c r="O391" s="10" cm="1">
        <f t="array" ref="O391">_xlfn.SWITCH(HR_Data5[[#This Row],[Performance Score]],
"A",5,
"B",4,
"C",3,
"D",2,
"F",1)</f>
        <v>5</v>
      </c>
      <c r="P391" s="10"/>
    </row>
    <row r="392" spans="1:16" x14ac:dyDescent="0.3">
      <c r="A392" t="s">
        <v>60</v>
      </c>
      <c r="B392">
        <v>50</v>
      </c>
      <c r="C392" s="6">
        <v>65000</v>
      </c>
      <c r="D392" t="s">
        <v>36</v>
      </c>
      <c r="E392" t="s">
        <v>19</v>
      </c>
      <c r="F392" t="s">
        <v>13</v>
      </c>
      <c r="G392" s="7">
        <v>43800</v>
      </c>
      <c r="H392" t="s">
        <v>14</v>
      </c>
      <c r="I392" t="s">
        <v>22</v>
      </c>
      <c r="J392" t="s">
        <v>28</v>
      </c>
      <c r="K392" t="str">
        <f>IF(HR_Data5[[#This Row],[Age]]&lt;30,"Young",IF(HR_Data5[[#This Row],[Age]]&lt;=45,"Mid-Career","Senior"))</f>
        <v>Senior</v>
      </c>
      <c r="L392" s="10">
        <f ca="1">DATEDIF(HR_Data5[[#This Row],[Joining Date]],TODAY(),"Y")</f>
        <v>6</v>
      </c>
      <c r="M392" s="10" t="str">
        <f>IF(HR_Data5[[#This Row],[Salary]]&lt;55000,"Low",IF(HR_Data5[[#This Row],[Salary]]&lt;=65000,"Medium","High"))</f>
        <v>Medium</v>
      </c>
      <c r="N392" s="10">
        <f>YEAR(HR_Data5[[#This Row],[Joining Date]])</f>
        <v>2019</v>
      </c>
      <c r="O392" s="10" cm="1">
        <f t="array" ref="O392">_xlfn.SWITCH(HR_Data5[[#This Row],[Performance Score]],
"A",5,
"B",4,
"C",3,
"D",2,
"F",1)</f>
        <v>2</v>
      </c>
      <c r="P392" s="10"/>
    </row>
    <row r="393" spans="1:16" x14ac:dyDescent="0.3">
      <c r="A393" t="s">
        <v>54</v>
      </c>
      <c r="B393">
        <v>36</v>
      </c>
      <c r="C393" s="6">
        <v>55000</v>
      </c>
      <c r="D393" t="s">
        <v>18</v>
      </c>
      <c r="E393" t="s">
        <v>19</v>
      </c>
      <c r="F393" t="s">
        <v>39</v>
      </c>
      <c r="G393" s="7">
        <v>43881</v>
      </c>
      <c r="H393" t="s">
        <v>31</v>
      </c>
      <c r="I393" t="s">
        <v>32</v>
      </c>
      <c r="J393" t="s">
        <v>23</v>
      </c>
      <c r="K393" t="str">
        <f>IF(HR_Data5[[#This Row],[Age]]&lt;30,"Young",IF(HR_Data5[[#This Row],[Age]]&lt;=45,"Mid-Career","Senior"))</f>
        <v>Mid-Career</v>
      </c>
      <c r="L393" s="10">
        <f ca="1">DATEDIF(HR_Data5[[#This Row],[Joining Date]],TODAY(),"Y")</f>
        <v>6</v>
      </c>
      <c r="M393" s="10" t="str">
        <f>IF(HR_Data5[[#This Row],[Salary]]&lt;55000,"Low",IF(HR_Data5[[#This Row],[Salary]]&lt;=65000,"Medium","High"))</f>
        <v>Medium</v>
      </c>
      <c r="N393" s="10">
        <f>YEAR(HR_Data5[[#This Row],[Joining Date]])</f>
        <v>2020</v>
      </c>
      <c r="O393" s="10" cm="1">
        <f t="array" ref="O393">_xlfn.SWITCH(HR_Data5[[#This Row],[Performance Score]],
"A",5,
"B",4,
"C",3,
"D",2,
"F",1)</f>
        <v>5</v>
      </c>
      <c r="P393" s="10"/>
    </row>
    <row r="394" spans="1:16" x14ac:dyDescent="0.3">
      <c r="A394" t="s">
        <v>59</v>
      </c>
      <c r="B394">
        <v>40</v>
      </c>
      <c r="C394" s="6">
        <v>70000</v>
      </c>
      <c r="D394" t="s">
        <v>36</v>
      </c>
      <c r="E394" t="s">
        <v>26</v>
      </c>
      <c r="F394" t="s">
        <v>20</v>
      </c>
      <c r="G394" s="7">
        <v>43845</v>
      </c>
      <c r="H394" t="s">
        <v>21</v>
      </c>
      <c r="I394" t="s">
        <v>32</v>
      </c>
      <c r="J394" t="s">
        <v>69</v>
      </c>
      <c r="K394" t="str">
        <f>IF(HR_Data5[[#This Row],[Age]]&lt;30,"Young",IF(HR_Data5[[#This Row],[Age]]&lt;=45,"Mid-Career","Senior"))</f>
        <v>Mid-Career</v>
      </c>
      <c r="L394" s="10">
        <f ca="1">DATEDIF(HR_Data5[[#This Row],[Joining Date]],TODAY(),"Y")</f>
        <v>6</v>
      </c>
      <c r="M394" s="10" t="str">
        <f>IF(HR_Data5[[#This Row],[Salary]]&lt;55000,"Low",IF(HR_Data5[[#This Row],[Salary]]&lt;=65000,"Medium","High"))</f>
        <v>High</v>
      </c>
      <c r="N394" s="10">
        <f>YEAR(HR_Data5[[#This Row],[Joining Date]])</f>
        <v>2020</v>
      </c>
      <c r="O394" s="10" cm="1">
        <f t="array" ref="O394">_xlfn.SWITCH(HR_Data5[[#This Row],[Performance Score]],
"A",5,
"B",4,
"C",3,
"D",2,
"F",1)</f>
        <v>1</v>
      </c>
      <c r="P394" s="10"/>
    </row>
    <row r="395" spans="1:16" x14ac:dyDescent="0.3">
      <c r="A395" t="s">
        <v>55</v>
      </c>
      <c r="B395">
        <v>50</v>
      </c>
      <c r="C395" s="6">
        <v>65000</v>
      </c>
      <c r="D395" t="s">
        <v>11</v>
      </c>
      <c r="E395" t="s">
        <v>19</v>
      </c>
      <c r="F395" t="s">
        <v>39</v>
      </c>
      <c r="G395" s="7">
        <v>43881</v>
      </c>
      <c r="H395" t="s">
        <v>27</v>
      </c>
      <c r="I395" t="s">
        <v>32</v>
      </c>
      <c r="J395" t="s">
        <v>69</v>
      </c>
      <c r="K395" t="str">
        <f>IF(HR_Data5[[#This Row],[Age]]&lt;30,"Young",IF(HR_Data5[[#This Row],[Age]]&lt;=45,"Mid-Career","Senior"))</f>
        <v>Senior</v>
      </c>
      <c r="L395" s="10">
        <f ca="1">DATEDIF(HR_Data5[[#This Row],[Joining Date]],TODAY(),"Y")</f>
        <v>6</v>
      </c>
      <c r="M395" s="10" t="str">
        <f>IF(HR_Data5[[#This Row],[Salary]]&lt;55000,"Low",IF(HR_Data5[[#This Row],[Salary]]&lt;=65000,"Medium","High"))</f>
        <v>Medium</v>
      </c>
      <c r="N395" s="10">
        <f>YEAR(HR_Data5[[#This Row],[Joining Date]])</f>
        <v>2020</v>
      </c>
      <c r="O395" s="10" cm="1">
        <f t="array" ref="O395">_xlfn.SWITCH(HR_Data5[[#This Row],[Performance Score]],
"A",5,
"B",4,
"C",3,
"D",2,
"F",1)</f>
        <v>3</v>
      </c>
      <c r="P395" s="10"/>
    </row>
    <row r="396" spans="1:16" x14ac:dyDescent="0.3">
      <c r="A396" t="s">
        <v>55</v>
      </c>
      <c r="B396">
        <v>25</v>
      </c>
      <c r="C396" s="6" t="s">
        <v>68</v>
      </c>
      <c r="D396" t="s">
        <v>36</v>
      </c>
      <c r="E396" t="s">
        <v>37</v>
      </c>
      <c r="F396" t="s">
        <v>13</v>
      </c>
      <c r="G396" s="7">
        <v>43845</v>
      </c>
      <c r="H396" t="s">
        <v>21</v>
      </c>
      <c r="I396" t="s">
        <v>15</v>
      </c>
      <c r="J396" t="s">
        <v>69</v>
      </c>
      <c r="K396" t="str">
        <f>IF(HR_Data5[[#This Row],[Age]]&lt;30,"Young",IF(HR_Data5[[#This Row],[Age]]&lt;=45,"Mid-Career","Senior"))</f>
        <v>Young</v>
      </c>
      <c r="L396" s="10">
        <f ca="1">DATEDIF(HR_Data5[[#This Row],[Joining Date]],TODAY(),"Y")</f>
        <v>6</v>
      </c>
      <c r="M396" s="10" t="str">
        <f>IF(HR_Data5[[#This Row],[Salary]]&lt;55000,"Low",IF(HR_Data5[[#This Row],[Salary]]&lt;=65000,"Medium","High"))</f>
        <v>High</v>
      </c>
      <c r="N396" s="10">
        <f>YEAR(HR_Data5[[#This Row],[Joining Date]])</f>
        <v>2020</v>
      </c>
      <c r="O396" s="10" cm="1">
        <f t="array" ref="O396">_xlfn.SWITCH(HR_Data5[[#This Row],[Performance Score]],
"A",5,
"B",4,
"C",3,
"D",2,
"F",1)</f>
        <v>1</v>
      </c>
      <c r="P396" s="10"/>
    </row>
    <row r="397" spans="1:16" x14ac:dyDescent="0.3">
      <c r="A397" t="s">
        <v>59</v>
      </c>
      <c r="B397">
        <v>40</v>
      </c>
      <c r="C397" s="6">
        <v>70000</v>
      </c>
      <c r="D397" t="s">
        <v>11</v>
      </c>
      <c r="E397" t="s">
        <v>30</v>
      </c>
      <c r="F397" t="s">
        <v>43</v>
      </c>
      <c r="G397" s="7">
        <v>43549</v>
      </c>
      <c r="H397" t="s">
        <v>27</v>
      </c>
      <c r="I397" t="s">
        <v>69</v>
      </c>
      <c r="J397" t="s">
        <v>28</v>
      </c>
      <c r="K397" t="str">
        <f>IF(HR_Data5[[#This Row],[Age]]&lt;30,"Young",IF(HR_Data5[[#This Row],[Age]]&lt;=45,"Mid-Career","Senior"))</f>
        <v>Mid-Career</v>
      </c>
      <c r="L397" s="10">
        <f ca="1">DATEDIF(HR_Data5[[#This Row],[Joining Date]],TODAY(),"Y")</f>
        <v>6</v>
      </c>
      <c r="M397" s="10" t="str">
        <f>IF(HR_Data5[[#This Row],[Salary]]&lt;55000,"Low",IF(HR_Data5[[#This Row],[Salary]]&lt;=65000,"Medium","High"))</f>
        <v>High</v>
      </c>
      <c r="N397" s="10">
        <f>YEAR(HR_Data5[[#This Row],[Joining Date]])</f>
        <v>2019</v>
      </c>
      <c r="O397" s="10" cm="1">
        <f t="array" ref="O397">_xlfn.SWITCH(HR_Data5[[#This Row],[Performance Score]],
"A",5,
"B",4,
"C",3,
"D",2,
"F",1)</f>
        <v>3</v>
      </c>
      <c r="P397" s="10"/>
    </row>
    <row r="398" spans="1:16" x14ac:dyDescent="0.3">
      <c r="A398" t="s">
        <v>58</v>
      </c>
      <c r="B398">
        <v>50</v>
      </c>
      <c r="C398" s="6">
        <v>60000</v>
      </c>
      <c r="D398" t="s">
        <v>11</v>
      </c>
      <c r="E398" t="s">
        <v>12</v>
      </c>
      <c r="F398" t="s">
        <v>39</v>
      </c>
      <c r="G398" s="7">
        <v>43195</v>
      </c>
      <c r="H398" t="s">
        <v>41</v>
      </c>
      <c r="I398" t="s">
        <v>32</v>
      </c>
      <c r="J398" t="s">
        <v>69</v>
      </c>
      <c r="K398" t="str">
        <f>IF(HR_Data5[[#This Row],[Age]]&lt;30,"Young",IF(HR_Data5[[#This Row],[Age]]&lt;=45,"Mid-Career","Senior"))</f>
        <v>Senior</v>
      </c>
      <c r="L398" s="10">
        <f ca="1">DATEDIF(HR_Data5[[#This Row],[Joining Date]],TODAY(),"Y")</f>
        <v>7</v>
      </c>
      <c r="M398" s="10" t="str">
        <f>IF(HR_Data5[[#This Row],[Salary]]&lt;55000,"Low",IF(HR_Data5[[#This Row],[Salary]]&lt;=65000,"Medium","High"))</f>
        <v>Medium</v>
      </c>
      <c r="N398" s="10">
        <f>YEAR(HR_Data5[[#This Row],[Joining Date]])</f>
        <v>2018</v>
      </c>
      <c r="O398" s="10" cm="1">
        <f t="array" ref="O398">_xlfn.SWITCH(HR_Data5[[#This Row],[Performance Score]],
"A",5,
"B",4,
"C",3,
"D",2,
"F",1)</f>
        <v>4</v>
      </c>
      <c r="P398" s="10"/>
    </row>
    <row r="399" spans="1:16" x14ac:dyDescent="0.3">
      <c r="A399" t="s">
        <v>57</v>
      </c>
      <c r="B399">
        <v>40</v>
      </c>
      <c r="C399" s="6" t="s">
        <v>68</v>
      </c>
      <c r="D399" t="s">
        <v>18</v>
      </c>
      <c r="E399" t="s">
        <v>26</v>
      </c>
      <c r="F399" t="s">
        <v>20</v>
      </c>
      <c r="G399" s="7">
        <v>43881</v>
      </c>
      <c r="H399" t="s">
        <v>14</v>
      </c>
      <c r="I399" t="s">
        <v>69</v>
      </c>
      <c r="J399" t="s">
        <v>28</v>
      </c>
      <c r="K399" t="str">
        <f>IF(HR_Data5[[#This Row],[Age]]&lt;30,"Young",IF(HR_Data5[[#This Row],[Age]]&lt;=45,"Mid-Career","Senior"))</f>
        <v>Mid-Career</v>
      </c>
      <c r="L399" s="10">
        <f ca="1">DATEDIF(HR_Data5[[#This Row],[Joining Date]],TODAY(),"Y")</f>
        <v>6</v>
      </c>
      <c r="M399" s="10" t="str">
        <f>IF(HR_Data5[[#This Row],[Salary]]&lt;55000,"Low",IF(HR_Data5[[#This Row],[Salary]]&lt;=65000,"Medium","High"))</f>
        <v>High</v>
      </c>
      <c r="N399" s="10">
        <f>YEAR(HR_Data5[[#This Row],[Joining Date]])</f>
        <v>2020</v>
      </c>
      <c r="O399" s="10" cm="1">
        <f t="array" ref="O399">_xlfn.SWITCH(HR_Data5[[#This Row],[Performance Score]],
"A",5,
"B",4,
"C",3,
"D",2,
"F",1)</f>
        <v>2</v>
      </c>
      <c r="P399" s="10"/>
    </row>
    <row r="400" spans="1:16" x14ac:dyDescent="0.3">
      <c r="A400" t="s">
        <v>60</v>
      </c>
      <c r="B400">
        <v>36</v>
      </c>
      <c r="C400" s="6">
        <v>55000</v>
      </c>
      <c r="D400" t="s">
        <v>18</v>
      </c>
      <c r="E400" t="s">
        <v>37</v>
      </c>
      <c r="F400" t="s">
        <v>39</v>
      </c>
      <c r="G400" s="7">
        <v>43800</v>
      </c>
      <c r="H400" t="s">
        <v>31</v>
      </c>
      <c r="I400" t="s">
        <v>22</v>
      </c>
      <c r="J400" t="s">
        <v>23</v>
      </c>
      <c r="K400" t="str">
        <f>IF(HR_Data5[[#This Row],[Age]]&lt;30,"Young",IF(HR_Data5[[#This Row],[Age]]&lt;=45,"Mid-Career","Senior"))</f>
        <v>Mid-Career</v>
      </c>
      <c r="L400" s="10">
        <f ca="1">DATEDIF(HR_Data5[[#This Row],[Joining Date]],TODAY(),"Y")</f>
        <v>6</v>
      </c>
      <c r="M400" s="10" t="str">
        <f>IF(HR_Data5[[#This Row],[Salary]]&lt;55000,"Low",IF(HR_Data5[[#This Row],[Salary]]&lt;=65000,"Medium","High"))</f>
        <v>Medium</v>
      </c>
      <c r="N400" s="10">
        <f>YEAR(HR_Data5[[#This Row],[Joining Date]])</f>
        <v>2019</v>
      </c>
      <c r="O400" s="10" cm="1">
        <f t="array" ref="O400">_xlfn.SWITCH(HR_Data5[[#This Row],[Performance Score]],
"A",5,
"B",4,
"C",3,
"D",2,
"F",1)</f>
        <v>5</v>
      </c>
      <c r="P400" s="10"/>
    </row>
    <row r="401" spans="1:16" x14ac:dyDescent="0.3">
      <c r="A401" t="s">
        <v>53</v>
      </c>
      <c r="B401">
        <v>25</v>
      </c>
      <c r="C401" s="6">
        <v>65000</v>
      </c>
      <c r="D401" t="s">
        <v>18</v>
      </c>
      <c r="E401" t="s">
        <v>12</v>
      </c>
      <c r="F401" t="s">
        <v>44</v>
      </c>
      <c r="G401" s="7">
        <v>43549</v>
      </c>
      <c r="H401" t="s">
        <v>14</v>
      </c>
      <c r="I401" t="s">
        <v>69</v>
      </c>
      <c r="J401" t="s">
        <v>28</v>
      </c>
      <c r="K401" t="str">
        <f>IF(HR_Data5[[#This Row],[Age]]&lt;30,"Young",IF(HR_Data5[[#This Row],[Age]]&lt;=45,"Mid-Career","Senior"))</f>
        <v>Young</v>
      </c>
      <c r="L401" s="10">
        <f ca="1">DATEDIF(HR_Data5[[#This Row],[Joining Date]],TODAY(),"Y")</f>
        <v>6</v>
      </c>
      <c r="M401" s="10" t="str">
        <f>IF(HR_Data5[[#This Row],[Salary]]&lt;55000,"Low",IF(HR_Data5[[#This Row],[Salary]]&lt;=65000,"Medium","High"))</f>
        <v>Medium</v>
      </c>
      <c r="N401" s="10">
        <f>YEAR(HR_Data5[[#This Row],[Joining Date]])</f>
        <v>2019</v>
      </c>
      <c r="O401" s="10" cm="1">
        <f t="array" ref="O401">_xlfn.SWITCH(HR_Data5[[#This Row],[Performance Score]],
"A",5,
"B",4,
"C",3,
"D",2,
"F",1)</f>
        <v>2</v>
      </c>
      <c r="P401" s="10"/>
    </row>
    <row r="402" spans="1:16" x14ac:dyDescent="0.3">
      <c r="A402" t="s">
        <v>54</v>
      </c>
      <c r="B402">
        <v>36</v>
      </c>
      <c r="C402" s="6">
        <v>60000</v>
      </c>
      <c r="D402" t="s">
        <v>18</v>
      </c>
      <c r="E402" t="s">
        <v>12</v>
      </c>
      <c r="F402" t="s">
        <v>39</v>
      </c>
      <c r="G402" s="7">
        <v>43845</v>
      </c>
      <c r="H402" t="s">
        <v>31</v>
      </c>
      <c r="I402" t="s">
        <v>15</v>
      </c>
      <c r="J402" t="s">
        <v>28</v>
      </c>
      <c r="K402" t="str">
        <f>IF(HR_Data5[[#This Row],[Age]]&lt;30,"Young",IF(HR_Data5[[#This Row],[Age]]&lt;=45,"Mid-Career","Senior"))</f>
        <v>Mid-Career</v>
      </c>
      <c r="L402" s="10">
        <f ca="1">DATEDIF(HR_Data5[[#This Row],[Joining Date]],TODAY(),"Y")</f>
        <v>6</v>
      </c>
      <c r="M402" s="10" t="str">
        <f>IF(HR_Data5[[#This Row],[Salary]]&lt;55000,"Low",IF(HR_Data5[[#This Row],[Salary]]&lt;=65000,"Medium","High"))</f>
        <v>Medium</v>
      </c>
      <c r="N402" s="10">
        <f>YEAR(HR_Data5[[#This Row],[Joining Date]])</f>
        <v>2020</v>
      </c>
      <c r="O402" s="10" cm="1">
        <f t="array" ref="O402">_xlfn.SWITCH(HR_Data5[[#This Row],[Performance Score]],
"A",5,
"B",4,
"C",3,
"D",2,
"F",1)</f>
        <v>5</v>
      </c>
      <c r="P402" s="10"/>
    </row>
    <row r="403" spans="1:16" x14ac:dyDescent="0.3">
      <c r="A403" t="s">
        <v>59</v>
      </c>
      <c r="B403">
        <v>25</v>
      </c>
      <c r="C403" s="6">
        <v>60000</v>
      </c>
      <c r="D403" t="s">
        <v>36</v>
      </c>
      <c r="E403" t="s">
        <v>26</v>
      </c>
      <c r="F403" t="s">
        <v>13</v>
      </c>
      <c r="G403" s="7">
        <v>43881</v>
      </c>
      <c r="H403" t="s">
        <v>21</v>
      </c>
      <c r="I403" t="s">
        <v>15</v>
      </c>
      <c r="J403" t="s">
        <v>69</v>
      </c>
      <c r="K403" t="str">
        <f>IF(HR_Data5[[#This Row],[Age]]&lt;30,"Young",IF(HR_Data5[[#This Row],[Age]]&lt;=45,"Mid-Career","Senior"))</f>
        <v>Young</v>
      </c>
      <c r="L403" s="10">
        <f ca="1">DATEDIF(HR_Data5[[#This Row],[Joining Date]],TODAY(),"Y")</f>
        <v>6</v>
      </c>
      <c r="M403" s="10" t="str">
        <f>IF(HR_Data5[[#This Row],[Salary]]&lt;55000,"Low",IF(HR_Data5[[#This Row],[Salary]]&lt;=65000,"Medium","High"))</f>
        <v>Medium</v>
      </c>
      <c r="N403" s="10">
        <f>YEAR(HR_Data5[[#This Row],[Joining Date]])</f>
        <v>2020</v>
      </c>
      <c r="O403" s="10" cm="1">
        <f t="array" ref="O403">_xlfn.SWITCH(HR_Data5[[#This Row],[Performance Score]],
"A",5,
"B",4,
"C",3,
"D",2,
"F",1)</f>
        <v>1</v>
      </c>
      <c r="P403" s="10"/>
    </row>
    <row r="404" spans="1:16" x14ac:dyDescent="0.3">
      <c r="A404" t="s">
        <v>51</v>
      </c>
      <c r="B404">
        <v>30</v>
      </c>
      <c r="C404" s="6">
        <v>70000</v>
      </c>
      <c r="D404" t="s">
        <v>36</v>
      </c>
      <c r="E404" t="s">
        <v>37</v>
      </c>
      <c r="F404" t="s">
        <v>43</v>
      </c>
      <c r="G404" s="7">
        <v>43845</v>
      </c>
      <c r="H404" t="s">
        <v>21</v>
      </c>
      <c r="I404" t="s">
        <v>69</v>
      </c>
      <c r="J404" t="s">
        <v>69</v>
      </c>
      <c r="K404" t="str">
        <f>IF(HR_Data5[[#This Row],[Age]]&lt;30,"Young",IF(HR_Data5[[#This Row],[Age]]&lt;=45,"Mid-Career","Senior"))</f>
        <v>Mid-Career</v>
      </c>
      <c r="L404" s="10">
        <f ca="1">DATEDIF(HR_Data5[[#This Row],[Joining Date]],TODAY(),"Y")</f>
        <v>6</v>
      </c>
      <c r="M404" s="10" t="str">
        <f>IF(HR_Data5[[#This Row],[Salary]]&lt;55000,"Low",IF(HR_Data5[[#This Row],[Salary]]&lt;=65000,"Medium","High"))</f>
        <v>High</v>
      </c>
      <c r="N404" s="10">
        <f>YEAR(HR_Data5[[#This Row],[Joining Date]])</f>
        <v>2020</v>
      </c>
      <c r="O404" s="10" cm="1">
        <f t="array" ref="O404">_xlfn.SWITCH(HR_Data5[[#This Row],[Performance Score]],
"A",5,
"B",4,
"C",3,
"D",2,
"F",1)</f>
        <v>1</v>
      </c>
      <c r="P404" s="10"/>
    </row>
    <row r="405" spans="1:16" x14ac:dyDescent="0.3">
      <c r="A405" t="s">
        <v>54</v>
      </c>
      <c r="B405">
        <v>50</v>
      </c>
      <c r="C405" s="6">
        <v>60000</v>
      </c>
      <c r="D405" t="s">
        <v>36</v>
      </c>
      <c r="E405" t="s">
        <v>12</v>
      </c>
      <c r="F405" t="s">
        <v>43</v>
      </c>
      <c r="G405" s="7">
        <v>43845</v>
      </c>
      <c r="H405" t="s">
        <v>31</v>
      </c>
      <c r="I405" t="s">
        <v>69</v>
      </c>
      <c r="J405" t="s">
        <v>69</v>
      </c>
      <c r="K405" t="str">
        <f>IF(HR_Data5[[#This Row],[Age]]&lt;30,"Young",IF(HR_Data5[[#This Row],[Age]]&lt;=45,"Mid-Career","Senior"))</f>
        <v>Senior</v>
      </c>
      <c r="L405" s="10">
        <f ca="1">DATEDIF(HR_Data5[[#This Row],[Joining Date]],TODAY(),"Y")</f>
        <v>6</v>
      </c>
      <c r="M405" s="10" t="str">
        <f>IF(HR_Data5[[#This Row],[Salary]]&lt;55000,"Low",IF(HR_Data5[[#This Row],[Salary]]&lt;=65000,"Medium","High"))</f>
        <v>Medium</v>
      </c>
      <c r="N405" s="10">
        <f>YEAR(HR_Data5[[#This Row],[Joining Date]])</f>
        <v>2020</v>
      </c>
      <c r="O405" s="10" cm="1">
        <f t="array" ref="O405">_xlfn.SWITCH(HR_Data5[[#This Row],[Performance Score]],
"A",5,
"B",4,
"C",3,
"D",2,
"F",1)</f>
        <v>5</v>
      </c>
      <c r="P405" s="10"/>
    </row>
    <row r="406" spans="1:16" x14ac:dyDescent="0.3">
      <c r="A406" t="s">
        <v>57</v>
      </c>
      <c r="B406">
        <v>25</v>
      </c>
      <c r="C406" s="6">
        <v>55000</v>
      </c>
      <c r="D406" t="s">
        <v>11</v>
      </c>
      <c r="E406" t="s">
        <v>12</v>
      </c>
      <c r="F406" t="s">
        <v>13</v>
      </c>
      <c r="G406" s="7">
        <v>43845</v>
      </c>
      <c r="H406" t="s">
        <v>14</v>
      </c>
      <c r="I406" t="s">
        <v>15</v>
      </c>
      <c r="J406" t="s">
        <v>45</v>
      </c>
      <c r="K406" t="str">
        <f>IF(HR_Data5[[#This Row],[Age]]&lt;30,"Young",IF(HR_Data5[[#This Row],[Age]]&lt;=45,"Mid-Career","Senior"))</f>
        <v>Young</v>
      </c>
      <c r="L406" s="10">
        <f ca="1">DATEDIF(HR_Data5[[#This Row],[Joining Date]],TODAY(),"Y")</f>
        <v>6</v>
      </c>
      <c r="M406" s="10" t="str">
        <f>IF(HR_Data5[[#This Row],[Salary]]&lt;55000,"Low",IF(HR_Data5[[#This Row],[Salary]]&lt;=65000,"Medium","High"))</f>
        <v>Medium</v>
      </c>
      <c r="N406" s="10">
        <f>YEAR(HR_Data5[[#This Row],[Joining Date]])</f>
        <v>2020</v>
      </c>
      <c r="O406" s="10" cm="1">
        <f t="array" ref="O406">_xlfn.SWITCH(HR_Data5[[#This Row],[Performance Score]],
"A",5,
"B",4,
"C",3,
"D",2,
"F",1)</f>
        <v>2</v>
      </c>
      <c r="P406" s="10"/>
    </row>
    <row r="407" spans="1:16" x14ac:dyDescent="0.3">
      <c r="A407" t="s">
        <v>51</v>
      </c>
      <c r="B407">
        <v>36</v>
      </c>
      <c r="C407" s="6">
        <v>55000</v>
      </c>
      <c r="D407" t="s">
        <v>36</v>
      </c>
      <c r="E407" t="s">
        <v>37</v>
      </c>
      <c r="F407" t="s">
        <v>44</v>
      </c>
      <c r="G407" s="7">
        <v>43195</v>
      </c>
      <c r="H407" t="s">
        <v>31</v>
      </c>
      <c r="I407" t="s">
        <v>15</v>
      </c>
      <c r="J407" t="s">
        <v>28</v>
      </c>
      <c r="K407" t="str">
        <f>IF(HR_Data5[[#This Row],[Age]]&lt;30,"Young",IF(HR_Data5[[#This Row],[Age]]&lt;=45,"Mid-Career","Senior"))</f>
        <v>Mid-Career</v>
      </c>
      <c r="L407" s="10">
        <f ca="1">DATEDIF(HR_Data5[[#This Row],[Joining Date]],TODAY(),"Y")</f>
        <v>7</v>
      </c>
      <c r="M407" s="10" t="str">
        <f>IF(HR_Data5[[#This Row],[Salary]]&lt;55000,"Low",IF(HR_Data5[[#This Row],[Salary]]&lt;=65000,"Medium","High"))</f>
        <v>Medium</v>
      </c>
      <c r="N407" s="10">
        <f>YEAR(HR_Data5[[#This Row],[Joining Date]])</f>
        <v>2018</v>
      </c>
      <c r="O407" s="10" cm="1">
        <f t="array" ref="O407">_xlfn.SWITCH(HR_Data5[[#This Row],[Performance Score]],
"A",5,
"B",4,
"C",3,
"D",2,
"F",1)</f>
        <v>5</v>
      </c>
      <c r="P407" s="10"/>
    </row>
    <row r="408" spans="1:16" x14ac:dyDescent="0.3">
      <c r="A408" t="s">
        <v>56</v>
      </c>
      <c r="B408">
        <v>40</v>
      </c>
      <c r="C408" s="6">
        <v>50000</v>
      </c>
      <c r="D408" t="s">
        <v>36</v>
      </c>
      <c r="E408" t="s">
        <v>19</v>
      </c>
      <c r="F408" t="s">
        <v>13</v>
      </c>
      <c r="G408" s="7">
        <v>43195</v>
      </c>
      <c r="H408" t="s">
        <v>41</v>
      </c>
      <c r="I408" t="s">
        <v>69</v>
      </c>
      <c r="J408" t="s">
        <v>45</v>
      </c>
      <c r="K408" t="str">
        <f>IF(HR_Data5[[#This Row],[Age]]&lt;30,"Young",IF(HR_Data5[[#This Row],[Age]]&lt;=45,"Mid-Career","Senior"))</f>
        <v>Mid-Career</v>
      </c>
      <c r="L408" s="10">
        <f ca="1">DATEDIF(HR_Data5[[#This Row],[Joining Date]],TODAY(),"Y")</f>
        <v>7</v>
      </c>
      <c r="M408" s="10" t="str">
        <f>IF(HR_Data5[[#This Row],[Salary]]&lt;55000,"Low",IF(HR_Data5[[#This Row],[Salary]]&lt;=65000,"Medium","High"))</f>
        <v>Low</v>
      </c>
      <c r="N408" s="10">
        <f>YEAR(HR_Data5[[#This Row],[Joining Date]])</f>
        <v>2018</v>
      </c>
      <c r="O408" s="10" cm="1">
        <f t="array" ref="O408">_xlfn.SWITCH(HR_Data5[[#This Row],[Performance Score]],
"A",5,
"B",4,
"C",3,
"D",2,
"F",1)</f>
        <v>4</v>
      </c>
      <c r="P408" s="10"/>
    </row>
    <row r="409" spans="1:16" x14ac:dyDescent="0.3">
      <c r="A409" t="s">
        <v>55</v>
      </c>
      <c r="B409">
        <v>25</v>
      </c>
      <c r="C409" s="6">
        <v>55000</v>
      </c>
      <c r="D409" t="s">
        <v>36</v>
      </c>
      <c r="E409" t="s">
        <v>12</v>
      </c>
      <c r="F409" t="s">
        <v>39</v>
      </c>
      <c r="G409" s="7">
        <v>43800</v>
      </c>
      <c r="H409" t="s">
        <v>21</v>
      </c>
      <c r="I409" t="s">
        <v>15</v>
      </c>
      <c r="J409" t="s">
        <v>69</v>
      </c>
      <c r="K409" t="str">
        <f>IF(HR_Data5[[#This Row],[Age]]&lt;30,"Young",IF(HR_Data5[[#This Row],[Age]]&lt;=45,"Mid-Career","Senior"))</f>
        <v>Young</v>
      </c>
      <c r="L409" s="10">
        <f ca="1">DATEDIF(HR_Data5[[#This Row],[Joining Date]],TODAY(),"Y")</f>
        <v>6</v>
      </c>
      <c r="M409" s="10" t="str">
        <f>IF(HR_Data5[[#This Row],[Salary]]&lt;55000,"Low",IF(HR_Data5[[#This Row],[Salary]]&lt;=65000,"Medium","High"))</f>
        <v>Medium</v>
      </c>
      <c r="N409" s="10">
        <f>YEAR(HR_Data5[[#This Row],[Joining Date]])</f>
        <v>2019</v>
      </c>
      <c r="O409" s="10" cm="1">
        <f t="array" ref="O409">_xlfn.SWITCH(HR_Data5[[#This Row],[Performance Score]],
"A",5,
"B",4,
"C",3,
"D",2,
"F",1)</f>
        <v>1</v>
      </c>
      <c r="P409" s="10"/>
    </row>
    <row r="410" spans="1:16" x14ac:dyDescent="0.3">
      <c r="A410" t="s">
        <v>56</v>
      </c>
      <c r="B410">
        <v>50</v>
      </c>
      <c r="C410" s="6" t="s">
        <v>68</v>
      </c>
      <c r="D410" t="s">
        <v>18</v>
      </c>
      <c r="E410" t="s">
        <v>30</v>
      </c>
      <c r="F410" t="s">
        <v>13</v>
      </c>
      <c r="G410" s="7">
        <v>43881</v>
      </c>
      <c r="H410" t="s">
        <v>41</v>
      </c>
      <c r="I410" t="s">
        <v>69</v>
      </c>
      <c r="J410" t="s">
        <v>69</v>
      </c>
      <c r="K410" t="str">
        <f>IF(HR_Data5[[#This Row],[Age]]&lt;30,"Young",IF(HR_Data5[[#This Row],[Age]]&lt;=45,"Mid-Career","Senior"))</f>
        <v>Senior</v>
      </c>
      <c r="L410" s="10">
        <f ca="1">DATEDIF(HR_Data5[[#This Row],[Joining Date]],TODAY(),"Y")</f>
        <v>6</v>
      </c>
      <c r="M410" s="10" t="str">
        <f>IF(HR_Data5[[#This Row],[Salary]]&lt;55000,"Low",IF(HR_Data5[[#This Row],[Salary]]&lt;=65000,"Medium","High"))</f>
        <v>High</v>
      </c>
      <c r="N410" s="10">
        <f>YEAR(HR_Data5[[#This Row],[Joining Date]])</f>
        <v>2020</v>
      </c>
      <c r="O410" s="10" cm="1">
        <f t="array" ref="O410">_xlfn.SWITCH(HR_Data5[[#This Row],[Performance Score]],
"A",5,
"B",4,
"C",3,
"D",2,
"F",1)</f>
        <v>4</v>
      </c>
      <c r="P410" s="10"/>
    </row>
    <row r="411" spans="1:16" x14ac:dyDescent="0.3">
      <c r="A411" t="s">
        <v>54</v>
      </c>
      <c r="B411">
        <v>25</v>
      </c>
      <c r="C411" s="6">
        <v>60000</v>
      </c>
      <c r="D411" t="s">
        <v>36</v>
      </c>
      <c r="E411" t="s">
        <v>37</v>
      </c>
      <c r="F411" t="s">
        <v>13</v>
      </c>
      <c r="G411" s="7">
        <v>43549</v>
      </c>
      <c r="H411" t="s">
        <v>21</v>
      </c>
      <c r="I411" t="s">
        <v>69</v>
      </c>
      <c r="J411" t="s">
        <v>69</v>
      </c>
      <c r="K411" t="str">
        <f>IF(HR_Data5[[#This Row],[Age]]&lt;30,"Young",IF(HR_Data5[[#This Row],[Age]]&lt;=45,"Mid-Career","Senior"))</f>
        <v>Young</v>
      </c>
      <c r="L411" s="10">
        <f ca="1">DATEDIF(HR_Data5[[#This Row],[Joining Date]],TODAY(),"Y")</f>
        <v>6</v>
      </c>
      <c r="M411" s="10" t="str">
        <f>IF(HR_Data5[[#This Row],[Salary]]&lt;55000,"Low",IF(HR_Data5[[#This Row],[Salary]]&lt;=65000,"Medium","High"))</f>
        <v>Medium</v>
      </c>
      <c r="N411" s="10">
        <f>YEAR(HR_Data5[[#This Row],[Joining Date]])</f>
        <v>2019</v>
      </c>
      <c r="O411" s="10" cm="1">
        <f t="array" ref="O411">_xlfn.SWITCH(HR_Data5[[#This Row],[Performance Score]],
"A",5,
"B",4,
"C",3,
"D",2,
"F",1)</f>
        <v>1</v>
      </c>
      <c r="P411" s="10"/>
    </row>
    <row r="412" spans="1:16" x14ac:dyDescent="0.3">
      <c r="A412" t="s">
        <v>57</v>
      </c>
      <c r="B412">
        <v>35</v>
      </c>
      <c r="C412" s="6">
        <v>55000</v>
      </c>
      <c r="D412" t="s">
        <v>11</v>
      </c>
      <c r="E412" t="s">
        <v>12</v>
      </c>
      <c r="F412" t="s">
        <v>44</v>
      </c>
      <c r="G412" s="7">
        <v>43549</v>
      </c>
      <c r="H412" t="s">
        <v>21</v>
      </c>
      <c r="I412" t="s">
        <v>69</v>
      </c>
      <c r="J412" t="s">
        <v>69</v>
      </c>
      <c r="K412" t="str">
        <f>IF(HR_Data5[[#This Row],[Age]]&lt;30,"Young",IF(HR_Data5[[#This Row],[Age]]&lt;=45,"Mid-Career","Senior"))</f>
        <v>Mid-Career</v>
      </c>
      <c r="L412" s="10">
        <f ca="1">DATEDIF(HR_Data5[[#This Row],[Joining Date]],TODAY(),"Y")</f>
        <v>6</v>
      </c>
      <c r="M412" s="10" t="str">
        <f>IF(HR_Data5[[#This Row],[Salary]]&lt;55000,"Low",IF(HR_Data5[[#This Row],[Salary]]&lt;=65000,"Medium","High"))</f>
        <v>Medium</v>
      </c>
      <c r="N412" s="10">
        <f>YEAR(HR_Data5[[#This Row],[Joining Date]])</f>
        <v>2019</v>
      </c>
      <c r="O412" s="10" cm="1">
        <f t="array" ref="O412">_xlfn.SWITCH(HR_Data5[[#This Row],[Performance Score]],
"A",5,
"B",4,
"C",3,
"D",2,
"F",1)</f>
        <v>1</v>
      </c>
      <c r="P412" s="10"/>
    </row>
    <row r="413" spans="1:16" x14ac:dyDescent="0.3">
      <c r="A413" t="s">
        <v>60</v>
      </c>
      <c r="B413">
        <v>40</v>
      </c>
      <c r="C413" s="6">
        <v>70000</v>
      </c>
      <c r="D413" t="s">
        <v>18</v>
      </c>
      <c r="E413" t="s">
        <v>26</v>
      </c>
      <c r="F413" t="s">
        <v>39</v>
      </c>
      <c r="G413" s="7">
        <v>43549</v>
      </c>
      <c r="H413" t="s">
        <v>27</v>
      </c>
      <c r="I413" t="s">
        <v>22</v>
      </c>
      <c r="J413" t="s">
        <v>69</v>
      </c>
      <c r="K413" t="str">
        <f>IF(HR_Data5[[#This Row],[Age]]&lt;30,"Young",IF(HR_Data5[[#This Row],[Age]]&lt;=45,"Mid-Career","Senior"))</f>
        <v>Mid-Career</v>
      </c>
      <c r="L413" s="10">
        <f ca="1">DATEDIF(HR_Data5[[#This Row],[Joining Date]],TODAY(),"Y")</f>
        <v>6</v>
      </c>
      <c r="M413" s="10" t="str">
        <f>IF(HR_Data5[[#This Row],[Salary]]&lt;55000,"Low",IF(HR_Data5[[#This Row],[Salary]]&lt;=65000,"Medium","High"))</f>
        <v>High</v>
      </c>
      <c r="N413" s="10">
        <f>YEAR(HR_Data5[[#This Row],[Joining Date]])</f>
        <v>2019</v>
      </c>
      <c r="O413" s="10" cm="1">
        <f t="array" ref="O413">_xlfn.SWITCH(HR_Data5[[#This Row],[Performance Score]],
"A",5,
"B",4,
"C",3,
"D",2,
"F",1)</f>
        <v>3</v>
      </c>
      <c r="P413" s="10"/>
    </row>
    <row r="414" spans="1:16" x14ac:dyDescent="0.3">
      <c r="A414" t="s">
        <v>54</v>
      </c>
      <c r="B414">
        <v>50</v>
      </c>
      <c r="C414" s="6">
        <v>50000</v>
      </c>
      <c r="D414" t="s">
        <v>11</v>
      </c>
      <c r="E414" t="s">
        <v>30</v>
      </c>
      <c r="F414" t="s">
        <v>20</v>
      </c>
      <c r="G414" s="7">
        <v>43845</v>
      </c>
      <c r="H414" t="s">
        <v>41</v>
      </c>
      <c r="I414" t="s">
        <v>69</v>
      </c>
      <c r="J414" t="s">
        <v>23</v>
      </c>
      <c r="K414" t="str">
        <f>IF(HR_Data5[[#This Row],[Age]]&lt;30,"Young",IF(HR_Data5[[#This Row],[Age]]&lt;=45,"Mid-Career","Senior"))</f>
        <v>Senior</v>
      </c>
      <c r="L414" s="10">
        <f ca="1">DATEDIF(HR_Data5[[#This Row],[Joining Date]],TODAY(),"Y")</f>
        <v>6</v>
      </c>
      <c r="M414" s="10" t="str">
        <f>IF(HR_Data5[[#This Row],[Salary]]&lt;55000,"Low",IF(HR_Data5[[#This Row],[Salary]]&lt;=65000,"Medium","High"))</f>
        <v>Low</v>
      </c>
      <c r="N414" s="10">
        <f>YEAR(HR_Data5[[#This Row],[Joining Date]])</f>
        <v>2020</v>
      </c>
      <c r="O414" s="10" cm="1">
        <f t="array" ref="O414">_xlfn.SWITCH(HR_Data5[[#This Row],[Performance Score]],
"A",5,
"B",4,
"C",3,
"D",2,
"F",1)</f>
        <v>4</v>
      </c>
      <c r="P414" s="10"/>
    </row>
    <row r="415" spans="1:16" x14ac:dyDescent="0.3">
      <c r="A415" t="s">
        <v>59</v>
      </c>
      <c r="B415">
        <v>50</v>
      </c>
      <c r="C415" s="6">
        <v>60000</v>
      </c>
      <c r="D415" t="s">
        <v>36</v>
      </c>
      <c r="E415" t="s">
        <v>12</v>
      </c>
      <c r="F415" t="s">
        <v>20</v>
      </c>
      <c r="G415" s="7">
        <v>43195</v>
      </c>
      <c r="H415" t="s">
        <v>41</v>
      </c>
      <c r="I415" t="s">
        <v>69</v>
      </c>
      <c r="J415" t="s">
        <v>28</v>
      </c>
      <c r="K415" t="str">
        <f>IF(HR_Data5[[#This Row],[Age]]&lt;30,"Young",IF(HR_Data5[[#This Row],[Age]]&lt;=45,"Mid-Career","Senior"))</f>
        <v>Senior</v>
      </c>
      <c r="L415" s="10">
        <f ca="1">DATEDIF(HR_Data5[[#This Row],[Joining Date]],TODAY(),"Y")</f>
        <v>7</v>
      </c>
      <c r="M415" s="10" t="str">
        <f>IF(HR_Data5[[#This Row],[Salary]]&lt;55000,"Low",IF(HR_Data5[[#This Row],[Salary]]&lt;=65000,"Medium","High"))</f>
        <v>Medium</v>
      </c>
      <c r="N415" s="10">
        <f>YEAR(HR_Data5[[#This Row],[Joining Date]])</f>
        <v>2018</v>
      </c>
      <c r="O415" s="10" cm="1">
        <f t="array" ref="O415">_xlfn.SWITCH(HR_Data5[[#This Row],[Performance Score]],
"A",5,
"B",4,
"C",3,
"D",2,
"F",1)</f>
        <v>4</v>
      </c>
      <c r="P415" s="10"/>
    </row>
    <row r="416" spans="1:16" x14ac:dyDescent="0.3">
      <c r="A416" t="s">
        <v>52</v>
      </c>
      <c r="B416">
        <v>30</v>
      </c>
      <c r="C416" s="6">
        <v>50000</v>
      </c>
      <c r="D416" t="s">
        <v>18</v>
      </c>
      <c r="E416" t="s">
        <v>30</v>
      </c>
      <c r="F416" t="s">
        <v>43</v>
      </c>
      <c r="G416" s="7">
        <v>43881</v>
      </c>
      <c r="H416" t="s">
        <v>27</v>
      </c>
      <c r="I416" t="s">
        <v>22</v>
      </c>
      <c r="J416" t="s">
        <v>69</v>
      </c>
      <c r="K416" t="str">
        <f>IF(HR_Data5[[#This Row],[Age]]&lt;30,"Young",IF(HR_Data5[[#This Row],[Age]]&lt;=45,"Mid-Career","Senior"))</f>
        <v>Mid-Career</v>
      </c>
      <c r="L416" s="10">
        <f ca="1">DATEDIF(HR_Data5[[#This Row],[Joining Date]],TODAY(),"Y")</f>
        <v>6</v>
      </c>
      <c r="M416" s="10" t="str">
        <f>IF(HR_Data5[[#This Row],[Salary]]&lt;55000,"Low",IF(HR_Data5[[#This Row],[Salary]]&lt;=65000,"Medium","High"))</f>
        <v>Low</v>
      </c>
      <c r="N416" s="10">
        <f>YEAR(HR_Data5[[#This Row],[Joining Date]])</f>
        <v>2020</v>
      </c>
      <c r="O416" s="10" cm="1">
        <f t="array" ref="O416">_xlfn.SWITCH(HR_Data5[[#This Row],[Performance Score]],
"A",5,
"B",4,
"C",3,
"D",2,
"F",1)</f>
        <v>3</v>
      </c>
      <c r="P416" s="10"/>
    </row>
    <row r="417" spans="1:16" x14ac:dyDescent="0.3">
      <c r="A417" t="s">
        <v>54</v>
      </c>
      <c r="B417">
        <v>36</v>
      </c>
      <c r="C417" s="6">
        <v>60000</v>
      </c>
      <c r="D417" t="s">
        <v>11</v>
      </c>
      <c r="E417" t="s">
        <v>30</v>
      </c>
      <c r="F417" t="s">
        <v>13</v>
      </c>
      <c r="G417" s="7">
        <v>43845</v>
      </c>
      <c r="H417" t="s">
        <v>14</v>
      </c>
      <c r="I417" t="s">
        <v>32</v>
      </c>
      <c r="J417" t="s">
        <v>69</v>
      </c>
      <c r="K417" t="str">
        <f>IF(HR_Data5[[#This Row],[Age]]&lt;30,"Young",IF(HR_Data5[[#This Row],[Age]]&lt;=45,"Mid-Career","Senior"))</f>
        <v>Mid-Career</v>
      </c>
      <c r="L417" s="10">
        <f ca="1">DATEDIF(HR_Data5[[#This Row],[Joining Date]],TODAY(),"Y")</f>
        <v>6</v>
      </c>
      <c r="M417" s="10" t="str">
        <f>IF(HR_Data5[[#This Row],[Salary]]&lt;55000,"Low",IF(HR_Data5[[#This Row],[Salary]]&lt;=65000,"Medium","High"))</f>
        <v>Medium</v>
      </c>
      <c r="N417" s="10">
        <f>YEAR(HR_Data5[[#This Row],[Joining Date]])</f>
        <v>2020</v>
      </c>
      <c r="O417" s="10" cm="1">
        <f t="array" ref="O417">_xlfn.SWITCH(HR_Data5[[#This Row],[Performance Score]],
"A",5,
"B",4,
"C",3,
"D",2,
"F",1)</f>
        <v>2</v>
      </c>
      <c r="P417" s="10"/>
    </row>
    <row r="418" spans="1:16" x14ac:dyDescent="0.3">
      <c r="A418" t="s">
        <v>55</v>
      </c>
      <c r="B418">
        <v>30</v>
      </c>
      <c r="C418" s="6">
        <v>70000</v>
      </c>
      <c r="D418" t="s">
        <v>36</v>
      </c>
      <c r="E418" t="s">
        <v>19</v>
      </c>
      <c r="F418" t="s">
        <v>43</v>
      </c>
      <c r="G418" s="7">
        <v>43195</v>
      </c>
      <c r="H418" t="s">
        <v>41</v>
      </c>
      <c r="I418" t="s">
        <v>15</v>
      </c>
      <c r="J418" t="s">
        <v>69</v>
      </c>
      <c r="K418" t="str">
        <f>IF(HR_Data5[[#This Row],[Age]]&lt;30,"Young",IF(HR_Data5[[#This Row],[Age]]&lt;=45,"Mid-Career","Senior"))</f>
        <v>Mid-Career</v>
      </c>
      <c r="L418" s="10">
        <f ca="1">DATEDIF(HR_Data5[[#This Row],[Joining Date]],TODAY(),"Y")</f>
        <v>7</v>
      </c>
      <c r="M418" s="10" t="str">
        <f>IF(HR_Data5[[#This Row],[Salary]]&lt;55000,"Low",IF(HR_Data5[[#This Row],[Salary]]&lt;=65000,"Medium","High"))</f>
        <v>High</v>
      </c>
      <c r="N418" s="10">
        <f>YEAR(HR_Data5[[#This Row],[Joining Date]])</f>
        <v>2018</v>
      </c>
      <c r="O418" s="10" cm="1">
        <f t="array" ref="O418">_xlfn.SWITCH(HR_Data5[[#This Row],[Performance Score]],
"A",5,
"B",4,
"C",3,
"D",2,
"F",1)</f>
        <v>4</v>
      </c>
      <c r="P418" s="10"/>
    </row>
    <row r="419" spans="1:16" x14ac:dyDescent="0.3">
      <c r="A419" t="s">
        <v>55</v>
      </c>
      <c r="B419">
        <v>50</v>
      </c>
      <c r="C419" s="6">
        <v>50000</v>
      </c>
      <c r="D419" t="s">
        <v>11</v>
      </c>
      <c r="E419" t="s">
        <v>30</v>
      </c>
      <c r="F419" t="s">
        <v>44</v>
      </c>
      <c r="G419" s="7">
        <v>43195</v>
      </c>
      <c r="H419" t="s">
        <v>31</v>
      </c>
      <c r="I419" t="s">
        <v>69</v>
      </c>
      <c r="J419" t="s">
        <v>69</v>
      </c>
      <c r="K419" t="str">
        <f>IF(HR_Data5[[#This Row],[Age]]&lt;30,"Young",IF(HR_Data5[[#This Row],[Age]]&lt;=45,"Mid-Career","Senior"))</f>
        <v>Senior</v>
      </c>
      <c r="L419" s="10">
        <f ca="1">DATEDIF(HR_Data5[[#This Row],[Joining Date]],TODAY(),"Y")</f>
        <v>7</v>
      </c>
      <c r="M419" s="10" t="str">
        <f>IF(HR_Data5[[#This Row],[Salary]]&lt;55000,"Low",IF(HR_Data5[[#This Row],[Salary]]&lt;=65000,"Medium","High"))</f>
        <v>Low</v>
      </c>
      <c r="N419" s="10">
        <f>YEAR(HR_Data5[[#This Row],[Joining Date]])</f>
        <v>2018</v>
      </c>
      <c r="O419" s="10" cm="1">
        <f t="array" ref="O419">_xlfn.SWITCH(HR_Data5[[#This Row],[Performance Score]],
"A",5,
"B",4,
"C",3,
"D",2,
"F",1)</f>
        <v>5</v>
      </c>
      <c r="P419" s="10"/>
    </row>
    <row r="420" spans="1:16" x14ac:dyDescent="0.3">
      <c r="A420" t="s">
        <v>54</v>
      </c>
      <c r="B420">
        <v>40</v>
      </c>
      <c r="C420" s="6">
        <v>65000</v>
      </c>
      <c r="D420" t="s">
        <v>11</v>
      </c>
      <c r="E420" t="s">
        <v>19</v>
      </c>
      <c r="F420" t="s">
        <v>20</v>
      </c>
      <c r="G420" s="7">
        <v>43881</v>
      </c>
      <c r="H420" t="s">
        <v>27</v>
      </c>
      <c r="I420" t="s">
        <v>15</v>
      </c>
      <c r="J420" t="s">
        <v>69</v>
      </c>
      <c r="K420" t="str">
        <f>IF(HR_Data5[[#This Row],[Age]]&lt;30,"Young",IF(HR_Data5[[#This Row],[Age]]&lt;=45,"Mid-Career","Senior"))</f>
        <v>Mid-Career</v>
      </c>
      <c r="L420" s="10">
        <f ca="1">DATEDIF(HR_Data5[[#This Row],[Joining Date]],TODAY(),"Y")</f>
        <v>6</v>
      </c>
      <c r="M420" s="10" t="str">
        <f>IF(HR_Data5[[#This Row],[Salary]]&lt;55000,"Low",IF(HR_Data5[[#This Row],[Salary]]&lt;=65000,"Medium","High"))</f>
        <v>Medium</v>
      </c>
      <c r="N420" s="10">
        <f>YEAR(HR_Data5[[#This Row],[Joining Date]])</f>
        <v>2020</v>
      </c>
      <c r="O420" s="10" cm="1">
        <f t="array" ref="O420">_xlfn.SWITCH(HR_Data5[[#This Row],[Performance Score]],
"A",5,
"B",4,
"C",3,
"D",2,
"F",1)</f>
        <v>3</v>
      </c>
      <c r="P420" s="10"/>
    </row>
    <row r="421" spans="1:16" x14ac:dyDescent="0.3">
      <c r="A421" t="s">
        <v>51</v>
      </c>
      <c r="B421">
        <v>25</v>
      </c>
      <c r="C421" s="6" t="s">
        <v>68</v>
      </c>
      <c r="D421" t="s">
        <v>11</v>
      </c>
      <c r="E421" t="s">
        <v>37</v>
      </c>
      <c r="F421" t="s">
        <v>13</v>
      </c>
      <c r="G421" s="7">
        <v>43881</v>
      </c>
      <c r="H421" t="s">
        <v>41</v>
      </c>
      <c r="I421" t="s">
        <v>69</v>
      </c>
      <c r="J421" t="s">
        <v>45</v>
      </c>
      <c r="K421" t="str">
        <f>IF(HR_Data5[[#This Row],[Age]]&lt;30,"Young",IF(HR_Data5[[#This Row],[Age]]&lt;=45,"Mid-Career","Senior"))</f>
        <v>Young</v>
      </c>
      <c r="L421" s="10">
        <f ca="1">DATEDIF(HR_Data5[[#This Row],[Joining Date]],TODAY(),"Y")</f>
        <v>6</v>
      </c>
      <c r="M421" s="10" t="str">
        <f>IF(HR_Data5[[#This Row],[Salary]]&lt;55000,"Low",IF(HR_Data5[[#This Row],[Salary]]&lt;=65000,"Medium","High"))</f>
        <v>High</v>
      </c>
      <c r="N421" s="10">
        <f>YEAR(HR_Data5[[#This Row],[Joining Date]])</f>
        <v>2020</v>
      </c>
      <c r="O421" s="10" cm="1">
        <f t="array" ref="O421">_xlfn.SWITCH(HR_Data5[[#This Row],[Performance Score]],
"A",5,
"B",4,
"C",3,
"D",2,
"F",1)</f>
        <v>4</v>
      </c>
      <c r="P421" s="10"/>
    </row>
    <row r="422" spans="1:16" x14ac:dyDescent="0.3">
      <c r="A422" t="s">
        <v>52</v>
      </c>
      <c r="B422">
        <v>25</v>
      </c>
      <c r="C422" s="6" t="s">
        <v>68</v>
      </c>
      <c r="D422" t="s">
        <v>36</v>
      </c>
      <c r="E422" t="s">
        <v>19</v>
      </c>
      <c r="F422" t="s">
        <v>44</v>
      </c>
      <c r="G422" s="7">
        <v>43881</v>
      </c>
      <c r="H422" t="s">
        <v>14</v>
      </c>
      <c r="I422" t="s">
        <v>15</v>
      </c>
      <c r="J422" t="s">
        <v>28</v>
      </c>
      <c r="K422" t="str">
        <f>IF(HR_Data5[[#This Row],[Age]]&lt;30,"Young",IF(HR_Data5[[#This Row],[Age]]&lt;=45,"Mid-Career","Senior"))</f>
        <v>Young</v>
      </c>
      <c r="L422" s="10">
        <f ca="1">DATEDIF(HR_Data5[[#This Row],[Joining Date]],TODAY(),"Y")</f>
        <v>6</v>
      </c>
      <c r="M422" s="10" t="str">
        <f>IF(HR_Data5[[#This Row],[Salary]]&lt;55000,"Low",IF(HR_Data5[[#This Row],[Salary]]&lt;=65000,"Medium","High"))</f>
        <v>High</v>
      </c>
      <c r="N422" s="10">
        <f>YEAR(HR_Data5[[#This Row],[Joining Date]])</f>
        <v>2020</v>
      </c>
      <c r="O422" s="10" cm="1">
        <f t="array" ref="O422">_xlfn.SWITCH(HR_Data5[[#This Row],[Performance Score]],
"A",5,
"B",4,
"C",3,
"D",2,
"F",1)</f>
        <v>2</v>
      </c>
      <c r="P422" s="10"/>
    </row>
    <row r="423" spans="1:16" x14ac:dyDescent="0.3">
      <c r="A423" t="s">
        <v>59</v>
      </c>
      <c r="B423">
        <v>40</v>
      </c>
      <c r="C423" s="6">
        <v>60000</v>
      </c>
      <c r="D423" t="s">
        <v>36</v>
      </c>
      <c r="E423" t="s">
        <v>26</v>
      </c>
      <c r="F423" t="s">
        <v>44</v>
      </c>
      <c r="G423" s="7">
        <v>43845</v>
      </c>
      <c r="H423" t="s">
        <v>41</v>
      </c>
      <c r="I423" t="s">
        <v>22</v>
      </c>
      <c r="J423" t="s">
        <v>28</v>
      </c>
      <c r="K423" t="str">
        <f>IF(HR_Data5[[#This Row],[Age]]&lt;30,"Young",IF(HR_Data5[[#This Row],[Age]]&lt;=45,"Mid-Career","Senior"))</f>
        <v>Mid-Career</v>
      </c>
      <c r="L423" s="10">
        <f ca="1">DATEDIF(HR_Data5[[#This Row],[Joining Date]],TODAY(),"Y")</f>
        <v>6</v>
      </c>
      <c r="M423" s="10" t="str">
        <f>IF(HR_Data5[[#This Row],[Salary]]&lt;55000,"Low",IF(HR_Data5[[#This Row],[Salary]]&lt;=65000,"Medium","High"))</f>
        <v>Medium</v>
      </c>
      <c r="N423" s="10">
        <f>YEAR(HR_Data5[[#This Row],[Joining Date]])</f>
        <v>2020</v>
      </c>
      <c r="O423" s="10" cm="1">
        <f t="array" ref="O423">_xlfn.SWITCH(HR_Data5[[#This Row],[Performance Score]],
"A",5,
"B",4,
"C",3,
"D",2,
"F",1)</f>
        <v>4</v>
      </c>
      <c r="P423" s="10"/>
    </row>
    <row r="424" spans="1:16" x14ac:dyDescent="0.3">
      <c r="A424" t="s">
        <v>54</v>
      </c>
      <c r="B424">
        <v>50</v>
      </c>
      <c r="C424" s="6">
        <v>65000</v>
      </c>
      <c r="D424" t="s">
        <v>11</v>
      </c>
      <c r="E424" t="s">
        <v>12</v>
      </c>
      <c r="F424" t="s">
        <v>13</v>
      </c>
      <c r="G424" s="7">
        <v>43800</v>
      </c>
      <c r="H424" t="s">
        <v>21</v>
      </c>
      <c r="I424" t="s">
        <v>15</v>
      </c>
      <c r="J424" t="s">
        <v>23</v>
      </c>
      <c r="K424" t="str">
        <f>IF(HR_Data5[[#This Row],[Age]]&lt;30,"Young",IF(HR_Data5[[#This Row],[Age]]&lt;=45,"Mid-Career","Senior"))</f>
        <v>Senior</v>
      </c>
      <c r="L424" s="10">
        <f ca="1">DATEDIF(HR_Data5[[#This Row],[Joining Date]],TODAY(),"Y")</f>
        <v>6</v>
      </c>
      <c r="M424" s="10" t="str">
        <f>IF(HR_Data5[[#This Row],[Salary]]&lt;55000,"Low",IF(HR_Data5[[#This Row],[Salary]]&lt;=65000,"Medium","High"))</f>
        <v>Medium</v>
      </c>
      <c r="N424" s="10">
        <f>YEAR(HR_Data5[[#This Row],[Joining Date]])</f>
        <v>2019</v>
      </c>
      <c r="O424" s="10" cm="1">
        <f t="array" ref="O424">_xlfn.SWITCH(HR_Data5[[#This Row],[Performance Score]],
"A",5,
"B",4,
"C",3,
"D",2,
"F",1)</f>
        <v>1</v>
      </c>
      <c r="P424" s="10"/>
    </row>
    <row r="425" spans="1:16" x14ac:dyDescent="0.3">
      <c r="A425" t="s">
        <v>51</v>
      </c>
      <c r="B425">
        <v>25</v>
      </c>
      <c r="C425" s="6">
        <v>50000</v>
      </c>
      <c r="D425" t="s">
        <v>18</v>
      </c>
      <c r="E425" t="s">
        <v>37</v>
      </c>
      <c r="F425" t="s">
        <v>44</v>
      </c>
      <c r="G425" s="7">
        <v>43881</v>
      </c>
      <c r="H425" t="s">
        <v>31</v>
      </c>
      <c r="I425" t="s">
        <v>15</v>
      </c>
      <c r="J425" t="s">
        <v>23</v>
      </c>
      <c r="K425" t="str">
        <f>IF(HR_Data5[[#This Row],[Age]]&lt;30,"Young",IF(HR_Data5[[#This Row],[Age]]&lt;=45,"Mid-Career","Senior"))</f>
        <v>Young</v>
      </c>
      <c r="L425" s="10">
        <f ca="1">DATEDIF(HR_Data5[[#This Row],[Joining Date]],TODAY(),"Y")</f>
        <v>6</v>
      </c>
      <c r="M425" s="10" t="str">
        <f>IF(HR_Data5[[#This Row],[Salary]]&lt;55000,"Low",IF(HR_Data5[[#This Row],[Salary]]&lt;=65000,"Medium","High"))</f>
        <v>Low</v>
      </c>
      <c r="N425" s="10">
        <f>YEAR(HR_Data5[[#This Row],[Joining Date]])</f>
        <v>2020</v>
      </c>
      <c r="O425" s="10" cm="1">
        <f t="array" ref="O425">_xlfn.SWITCH(HR_Data5[[#This Row],[Performance Score]],
"A",5,
"B",4,
"C",3,
"D",2,
"F",1)</f>
        <v>5</v>
      </c>
      <c r="P425" s="10"/>
    </row>
    <row r="426" spans="1:16" x14ac:dyDescent="0.3">
      <c r="A426" t="s">
        <v>55</v>
      </c>
      <c r="B426">
        <v>25</v>
      </c>
      <c r="C426" s="6">
        <v>65000</v>
      </c>
      <c r="D426" t="s">
        <v>18</v>
      </c>
      <c r="E426" t="s">
        <v>37</v>
      </c>
      <c r="F426" t="s">
        <v>13</v>
      </c>
      <c r="G426" s="7">
        <v>43800</v>
      </c>
      <c r="H426" t="s">
        <v>27</v>
      </c>
      <c r="I426" t="s">
        <v>15</v>
      </c>
      <c r="J426" t="s">
        <v>23</v>
      </c>
      <c r="K426" t="str">
        <f>IF(HR_Data5[[#This Row],[Age]]&lt;30,"Young",IF(HR_Data5[[#This Row],[Age]]&lt;=45,"Mid-Career","Senior"))</f>
        <v>Young</v>
      </c>
      <c r="L426" s="10">
        <f ca="1">DATEDIF(HR_Data5[[#This Row],[Joining Date]],TODAY(),"Y")</f>
        <v>6</v>
      </c>
      <c r="M426" s="10" t="str">
        <f>IF(HR_Data5[[#This Row],[Salary]]&lt;55000,"Low",IF(HR_Data5[[#This Row],[Salary]]&lt;=65000,"Medium","High"))</f>
        <v>Medium</v>
      </c>
      <c r="N426" s="10">
        <f>YEAR(HR_Data5[[#This Row],[Joining Date]])</f>
        <v>2019</v>
      </c>
      <c r="O426" s="10" cm="1">
        <f t="array" ref="O426">_xlfn.SWITCH(HR_Data5[[#This Row],[Performance Score]],
"A",5,
"B",4,
"C",3,
"D",2,
"F",1)</f>
        <v>3</v>
      </c>
      <c r="P426" s="10"/>
    </row>
    <row r="427" spans="1:16" x14ac:dyDescent="0.3">
      <c r="A427" t="s">
        <v>55</v>
      </c>
      <c r="B427">
        <v>25</v>
      </c>
      <c r="C427" s="6">
        <v>65000</v>
      </c>
      <c r="D427" t="s">
        <v>36</v>
      </c>
      <c r="E427" t="s">
        <v>26</v>
      </c>
      <c r="F427" t="s">
        <v>13</v>
      </c>
      <c r="G427" s="7">
        <v>43845</v>
      </c>
      <c r="H427" t="s">
        <v>21</v>
      </c>
      <c r="I427" t="s">
        <v>32</v>
      </c>
      <c r="J427" t="s">
        <v>28</v>
      </c>
      <c r="K427" t="str">
        <f>IF(HR_Data5[[#This Row],[Age]]&lt;30,"Young",IF(HR_Data5[[#This Row],[Age]]&lt;=45,"Mid-Career","Senior"))</f>
        <v>Young</v>
      </c>
      <c r="L427" s="10">
        <f ca="1">DATEDIF(HR_Data5[[#This Row],[Joining Date]],TODAY(),"Y")</f>
        <v>6</v>
      </c>
      <c r="M427" s="10" t="str">
        <f>IF(HR_Data5[[#This Row],[Salary]]&lt;55000,"Low",IF(HR_Data5[[#This Row],[Salary]]&lt;=65000,"Medium","High"))</f>
        <v>Medium</v>
      </c>
      <c r="N427" s="10">
        <f>YEAR(HR_Data5[[#This Row],[Joining Date]])</f>
        <v>2020</v>
      </c>
      <c r="O427" s="10" cm="1">
        <f t="array" ref="O427">_xlfn.SWITCH(HR_Data5[[#This Row],[Performance Score]],
"A",5,
"B",4,
"C",3,
"D",2,
"F",1)</f>
        <v>1</v>
      </c>
      <c r="P427" s="10"/>
    </row>
    <row r="428" spans="1:16" x14ac:dyDescent="0.3">
      <c r="A428" t="s">
        <v>57</v>
      </c>
      <c r="B428">
        <v>36</v>
      </c>
      <c r="C428" s="6">
        <v>50000</v>
      </c>
      <c r="D428" t="s">
        <v>36</v>
      </c>
      <c r="E428" t="s">
        <v>19</v>
      </c>
      <c r="F428" t="s">
        <v>39</v>
      </c>
      <c r="G428" s="7">
        <v>43800</v>
      </c>
      <c r="H428" t="s">
        <v>14</v>
      </c>
      <c r="I428" t="s">
        <v>32</v>
      </c>
      <c r="J428" t="s">
        <v>45</v>
      </c>
      <c r="K428" t="str">
        <f>IF(HR_Data5[[#This Row],[Age]]&lt;30,"Young",IF(HR_Data5[[#This Row],[Age]]&lt;=45,"Mid-Career","Senior"))</f>
        <v>Mid-Career</v>
      </c>
      <c r="L428" s="10">
        <f ca="1">DATEDIF(HR_Data5[[#This Row],[Joining Date]],TODAY(),"Y")</f>
        <v>6</v>
      </c>
      <c r="M428" s="10" t="str">
        <f>IF(HR_Data5[[#This Row],[Salary]]&lt;55000,"Low",IF(HR_Data5[[#This Row],[Salary]]&lt;=65000,"Medium","High"))</f>
        <v>Low</v>
      </c>
      <c r="N428" s="10">
        <f>YEAR(HR_Data5[[#This Row],[Joining Date]])</f>
        <v>2019</v>
      </c>
      <c r="O428" s="10" cm="1">
        <f t="array" ref="O428">_xlfn.SWITCH(HR_Data5[[#This Row],[Performance Score]],
"A",5,
"B",4,
"C",3,
"D",2,
"F",1)</f>
        <v>2</v>
      </c>
      <c r="P428" s="10"/>
    </row>
    <row r="429" spans="1:16" x14ac:dyDescent="0.3">
      <c r="A429" t="s">
        <v>54</v>
      </c>
      <c r="B429">
        <v>36</v>
      </c>
      <c r="C429" s="6">
        <v>70000</v>
      </c>
      <c r="D429" t="s">
        <v>36</v>
      </c>
      <c r="E429" t="s">
        <v>12</v>
      </c>
      <c r="F429" t="s">
        <v>43</v>
      </c>
      <c r="G429" s="7">
        <v>43549</v>
      </c>
      <c r="H429" t="s">
        <v>21</v>
      </c>
      <c r="I429" t="s">
        <v>69</v>
      </c>
      <c r="J429" t="s">
        <v>28</v>
      </c>
      <c r="K429" t="str">
        <f>IF(HR_Data5[[#This Row],[Age]]&lt;30,"Young",IF(HR_Data5[[#This Row],[Age]]&lt;=45,"Mid-Career","Senior"))</f>
        <v>Mid-Career</v>
      </c>
      <c r="L429" s="10">
        <f ca="1">DATEDIF(HR_Data5[[#This Row],[Joining Date]],TODAY(),"Y")</f>
        <v>6</v>
      </c>
      <c r="M429" s="10" t="str">
        <f>IF(HR_Data5[[#This Row],[Salary]]&lt;55000,"Low",IF(HR_Data5[[#This Row],[Salary]]&lt;=65000,"Medium","High"))</f>
        <v>High</v>
      </c>
      <c r="N429" s="10">
        <f>YEAR(HR_Data5[[#This Row],[Joining Date]])</f>
        <v>2019</v>
      </c>
      <c r="O429" s="10" cm="1">
        <f t="array" ref="O429">_xlfn.SWITCH(HR_Data5[[#This Row],[Performance Score]],
"A",5,
"B",4,
"C",3,
"D",2,
"F",1)</f>
        <v>1</v>
      </c>
      <c r="P429" s="10"/>
    </row>
    <row r="430" spans="1:16" x14ac:dyDescent="0.3">
      <c r="A430" t="s">
        <v>52</v>
      </c>
      <c r="B430">
        <v>35</v>
      </c>
      <c r="C430" s="6">
        <v>65000</v>
      </c>
      <c r="D430" t="s">
        <v>36</v>
      </c>
      <c r="E430" t="s">
        <v>19</v>
      </c>
      <c r="F430" t="s">
        <v>44</v>
      </c>
      <c r="G430" s="7">
        <v>43800</v>
      </c>
      <c r="H430" t="s">
        <v>21</v>
      </c>
      <c r="I430" t="s">
        <v>22</v>
      </c>
      <c r="J430" t="s">
        <v>28</v>
      </c>
      <c r="K430" t="str">
        <f>IF(HR_Data5[[#This Row],[Age]]&lt;30,"Young",IF(HR_Data5[[#This Row],[Age]]&lt;=45,"Mid-Career","Senior"))</f>
        <v>Mid-Career</v>
      </c>
      <c r="L430" s="10">
        <f ca="1">DATEDIF(HR_Data5[[#This Row],[Joining Date]],TODAY(),"Y")</f>
        <v>6</v>
      </c>
      <c r="M430" s="10" t="str">
        <f>IF(HR_Data5[[#This Row],[Salary]]&lt;55000,"Low",IF(HR_Data5[[#This Row],[Salary]]&lt;=65000,"Medium","High"))</f>
        <v>Medium</v>
      </c>
      <c r="N430" s="10">
        <f>YEAR(HR_Data5[[#This Row],[Joining Date]])</f>
        <v>2019</v>
      </c>
      <c r="O430" s="10" cm="1">
        <f t="array" ref="O430">_xlfn.SWITCH(HR_Data5[[#This Row],[Performance Score]],
"A",5,
"B",4,
"C",3,
"D",2,
"F",1)</f>
        <v>1</v>
      </c>
      <c r="P430" s="10"/>
    </row>
    <row r="431" spans="1:16" x14ac:dyDescent="0.3">
      <c r="A431" t="s">
        <v>58</v>
      </c>
      <c r="B431">
        <v>30</v>
      </c>
      <c r="C431" s="6">
        <v>65000</v>
      </c>
      <c r="D431" t="s">
        <v>36</v>
      </c>
      <c r="E431" t="s">
        <v>30</v>
      </c>
      <c r="F431" t="s">
        <v>44</v>
      </c>
      <c r="G431" s="7">
        <v>43881</v>
      </c>
      <c r="H431" t="s">
        <v>14</v>
      </c>
      <c r="I431" t="s">
        <v>15</v>
      </c>
      <c r="J431" t="s">
        <v>28</v>
      </c>
      <c r="K431" t="str">
        <f>IF(HR_Data5[[#This Row],[Age]]&lt;30,"Young",IF(HR_Data5[[#This Row],[Age]]&lt;=45,"Mid-Career","Senior"))</f>
        <v>Mid-Career</v>
      </c>
      <c r="L431" s="10">
        <f ca="1">DATEDIF(HR_Data5[[#This Row],[Joining Date]],TODAY(),"Y")</f>
        <v>6</v>
      </c>
      <c r="M431" s="10" t="str">
        <f>IF(HR_Data5[[#This Row],[Salary]]&lt;55000,"Low",IF(HR_Data5[[#This Row],[Salary]]&lt;=65000,"Medium","High"))</f>
        <v>Medium</v>
      </c>
      <c r="N431" s="10">
        <f>YEAR(HR_Data5[[#This Row],[Joining Date]])</f>
        <v>2020</v>
      </c>
      <c r="O431" s="10" cm="1">
        <f t="array" ref="O431">_xlfn.SWITCH(HR_Data5[[#This Row],[Performance Score]],
"A",5,
"B",4,
"C",3,
"D",2,
"F",1)</f>
        <v>2</v>
      </c>
      <c r="P431" s="10"/>
    </row>
    <row r="432" spans="1:16" x14ac:dyDescent="0.3">
      <c r="A432" t="s">
        <v>52</v>
      </c>
      <c r="B432">
        <v>40</v>
      </c>
      <c r="C432" s="6">
        <v>70000</v>
      </c>
      <c r="D432" t="s">
        <v>18</v>
      </c>
      <c r="E432" t="s">
        <v>19</v>
      </c>
      <c r="F432" t="s">
        <v>39</v>
      </c>
      <c r="G432" s="7">
        <v>43845</v>
      </c>
      <c r="H432" t="s">
        <v>21</v>
      </c>
      <c r="I432" t="s">
        <v>15</v>
      </c>
      <c r="J432" t="s">
        <v>28</v>
      </c>
      <c r="K432" t="str">
        <f>IF(HR_Data5[[#This Row],[Age]]&lt;30,"Young",IF(HR_Data5[[#This Row],[Age]]&lt;=45,"Mid-Career","Senior"))</f>
        <v>Mid-Career</v>
      </c>
      <c r="L432" s="10">
        <f ca="1">DATEDIF(HR_Data5[[#This Row],[Joining Date]],TODAY(),"Y")</f>
        <v>6</v>
      </c>
      <c r="M432" s="10" t="str">
        <f>IF(HR_Data5[[#This Row],[Salary]]&lt;55000,"Low",IF(HR_Data5[[#This Row],[Salary]]&lt;=65000,"Medium","High"))</f>
        <v>High</v>
      </c>
      <c r="N432" s="10">
        <f>YEAR(HR_Data5[[#This Row],[Joining Date]])</f>
        <v>2020</v>
      </c>
      <c r="O432" s="10" cm="1">
        <f t="array" ref="O432">_xlfn.SWITCH(HR_Data5[[#This Row],[Performance Score]],
"A",5,
"B",4,
"C",3,
"D",2,
"F",1)</f>
        <v>1</v>
      </c>
      <c r="P432" s="10"/>
    </row>
    <row r="433" spans="1:16" x14ac:dyDescent="0.3">
      <c r="A433" t="s">
        <v>55</v>
      </c>
      <c r="B433">
        <v>40</v>
      </c>
      <c r="C433" s="6">
        <v>65000</v>
      </c>
      <c r="D433" t="s">
        <v>36</v>
      </c>
      <c r="E433" t="s">
        <v>37</v>
      </c>
      <c r="F433" t="s">
        <v>39</v>
      </c>
      <c r="G433" s="7">
        <v>43881</v>
      </c>
      <c r="H433" t="s">
        <v>27</v>
      </c>
      <c r="I433" t="s">
        <v>15</v>
      </c>
      <c r="J433" t="s">
        <v>45</v>
      </c>
      <c r="K433" t="str">
        <f>IF(HR_Data5[[#This Row],[Age]]&lt;30,"Young",IF(HR_Data5[[#This Row],[Age]]&lt;=45,"Mid-Career","Senior"))</f>
        <v>Mid-Career</v>
      </c>
      <c r="L433" s="10">
        <f ca="1">DATEDIF(HR_Data5[[#This Row],[Joining Date]],TODAY(),"Y")</f>
        <v>6</v>
      </c>
      <c r="M433" s="10" t="str">
        <f>IF(HR_Data5[[#This Row],[Salary]]&lt;55000,"Low",IF(HR_Data5[[#This Row],[Salary]]&lt;=65000,"Medium","High"))</f>
        <v>Medium</v>
      </c>
      <c r="N433" s="10">
        <f>YEAR(HR_Data5[[#This Row],[Joining Date]])</f>
        <v>2020</v>
      </c>
      <c r="O433" s="10" cm="1">
        <f t="array" ref="O433">_xlfn.SWITCH(HR_Data5[[#This Row],[Performance Score]],
"A",5,
"B",4,
"C",3,
"D",2,
"F",1)</f>
        <v>3</v>
      </c>
      <c r="P433" s="10"/>
    </row>
    <row r="434" spans="1:16" x14ac:dyDescent="0.3">
      <c r="A434" t="s">
        <v>55</v>
      </c>
      <c r="B434">
        <v>40</v>
      </c>
      <c r="C434" s="6">
        <v>65000</v>
      </c>
      <c r="D434" t="s">
        <v>11</v>
      </c>
      <c r="E434" t="s">
        <v>12</v>
      </c>
      <c r="F434" t="s">
        <v>39</v>
      </c>
      <c r="G434" s="7">
        <v>43549</v>
      </c>
      <c r="H434" t="s">
        <v>41</v>
      </c>
      <c r="I434" t="s">
        <v>15</v>
      </c>
      <c r="J434" t="s">
        <v>23</v>
      </c>
      <c r="K434" t="str">
        <f>IF(HR_Data5[[#This Row],[Age]]&lt;30,"Young",IF(HR_Data5[[#This Row],[Age]]&lt;=45,"Mid-Career","Senior"))</f>
        <v>Mid-Career</v>
      </c>
      <c r="L434" s="10">
        <f ca="1">DATEDIF(HR_Data5[[#This Row],[Joining Date]],TODAY(),"Y")</f>
        <v>6</v>
      </c>
      <c r="M434" s="10" t="str">
        <f>IF(HR_Data5[[#This Row],[Salary]]&lt;55000,"Low",IF(HR_Data5[[#This Row],[Salary]]&lt;=65000,"Medium","High"))</f>
        <v>Medium</v>
      </c>
      <c r="N434" s="10">
        <f>YEAR(HR_Data5[[#This Row],[Joining Date]])</f>
        <v>2019</v>
      </c>
      <c r="O434" s="10" cm="1">
        <f t="array" ref="O434">_xlfn.SWITCH(HR_Data5[[#This Row],[Performance Score]],
"A",5,
"B",4,
"C",3,
"D",2,
"F",1)</f>
        <v>4</v>
      </c>
      <c r="P434" s="10"/>
    </row>
    <row r="435" spans="1:16" x14ac:dyDescent="0.3">
      <c r="A435" t="s">
        <v>56</v>
      </c>
      <c r="B435">
        <v>35</v>
      </c>
      <c r="C435" s="6">
        <v>65000</v>
      </c>
      <c r="D435" t="s">
        <v>11</v>
      </c>
      <c r="E435" t="s">
        <v>19</v>
      </c>
      <c r="F435" t="s">
        <v>20</v>
      </c>
      <c r="G435" s="7">
        <v>43881</v>
      </c>
      <c r="H435" t="s">
        <v>21</v>
      </c>
      <c r="I435" t="s">
        <v>32</v>
      </c>
      <c r="J435" t="s">
        <v>69</v>
      </c>
      <c r="K435" t="str">
        <f>IF(HR_Data5[[#This Row],[Age]]&lt;30,"Young",IF(HR_Data5[[#This Row],[Age]]&lt;=45,"Mid-Career","Senior"))</f>
        <v>Mid-Career</v>
      </c>
      <c r="L435" s="10">
        <f ca="1">DATEDIF(HR_Data5[[#This Row],[Joining Date]],TODAY(),"Y")</f>
        <v>6</v>
      </c>
      <c r="M435" s="10" t="str">
        <f>IF(HR_Data5[[#This Row],[Salary]]&lt;55000,"Low",IF(HR_Data5[[#This Row],[Salary]]&lt;=65000,"Medium","High"))</f>
        <v>Medium</v>
      </c>
      <c r="N435" s="10">
        <f>YEAR(HR_Data5[[#This Row],[Joining Date]])</f>
        <v>2020</v>
      </c>
      <c r="O435" s="10" cm="1">
        <f t="array" ref="O435">_xlfn.SWITCH(HR_Data5[[#This Row],[Performance Score]],
"A",5,
"B",4,
"C",3,
"D",2,
"F",1)</f>
        <v>1</v>
      </c>
      <c r="P435" s="10"/>
    </row>
    <row r="436" spans="1:16" x14ac:dyDescent="0.3">
      <c r="A436" t="s">
        <v>55</v>
      </c>
      <c r="B436">
        <v>36</v>
      </c>
      <c r="C436" s="6" t="s">
        <v>68</v>
      </c>
      <c r="D436" t="s">
        <v>18</v>
      </c>
      <c r="E436" t="s">
        <v>12</v>
      </c>
      <c r="F436" t="s">
        <v>20</v>
      </c>
      <c r="G436" s="7">
        <v>43881</v>
      </c>
      <c r="H436" t="s">
        <v>27</v>
      </c>
      <c r="I436" t="s">
        <v>69</v>
      </c>
      <c r="J436" t="s">
        <v>23</v>
      </c>
      <c r="K436" t="str">
        <f>IF(HR_Data5[[#This Row],[Age]]&lt;30,"Young",IF(HR_Data5[[#This Row],[Age]]&lt;=45,"Mid-Career","Senior"))</f>
        <v>Mid-Career</v>
      </c>
      <c r="L436" s="10">
        <f ca="1">DATEDIF(HR_Data5[[#This Row],[Joining Date]],TODAY(),"Y")</f>
        <v>6</v>
      </c>
      <c r="M436" s="10" t="str">
        <f>IF(HR_Data5[[#This Row],[Salary]]&lt;55000,"Low",IF(HR_Data5[[#This Row],[Salary]]&lt;=65000,"Medium","High"))</f>
        <v>High</v>
      </c>
      <c r="N436" s="10">
        <f>YEAR(HR_Data5[[#This Row],[Joining Date]])</f>
        <v>2020</v>
      </c>
      <c r="O436" s="10" cm="1">
        <f t="array" ref="O436">_xlfn.SWITCH(HR_Data5[[#This Row],[Performance Score]],
"A",5,
"B",4,
"C",3,
"D",2,
"F",1)</f>
        <v>3</v>
      </c>
      <c r="P436" s="10"/>
    </row>
    <row r="437" spans="1:16" x14ac:dyDescent="0.3">
      <c r="A437" t="s">
        <v>59</v>
      </c>
      <c r="B437">
        <v>50</v>
      </c>
      <c r="C437" s="6">
        <v>55000</v>
      </c>
      <c r="D437" t="s">
        <v>11</v>
      </c>
      <c r="E437" t="s">
        <v>12</v>
      </c>
      <c r="F437" t="s">
        <v>20</v>
      </c>
      <c r="G437" s="7">
        <v>43881</v>
      </c>
      <c r="H437" t="s">
        <v>41</v>
      </c>
      <c r="I437" t="s">
        <v>69</v>
      </c>
      <c r="J437" t="s">
        <v>23</v>
      </c>
      <c r="K437" t="str">
        <f>IF(HR_Data5[[#This Row],[Age]]&lt;30,"Young",IF(HR_Data5[[#This Row],[Age]]&lt;=45,"Mid-Career","Senior"))</f>
        <v>Senior</v>
      </c>
      <c r="L437" s="10">
        <f ca="1">DATEDIF(HR_Data5[[#This Row],[Joining Date]],TODAY(),"Y")</f>
        <v>6</v>
      </c>
      <c r="M437" s="10" t="str">
        <f>IF(HR_Data5[[#This Row],[Salary]]&lt;55000,"Low",IF(HR_Data5[[#This Row],[Salary]]&lt;=65000,"Medium","High"))</f>
        <v>Medium</v>
      </c>
      <c r="N437" s="10">
        <f>YEAR(HR_Data5[[#This Row],[Joining Date]])</f>
        <v>2020</v>
      </c>
      <c r="O437" s="10" cm="1">
        <f t="array" ref="O437">_xlfn.SWITCH(HR_Data5[[#This Row],[Performance Score]],
"A",5,
"B",4,
"C",3,
"D",2,
"F",1)</f>
        <v>4</v>
      </c>
      <c r="P437" s="10"/>
    </row>
    <row r="438" spans="1:16" x14ac:dyDescent="0.3">
      <c r="A438" t="s">
        <v>53</v>
      </c>
      <c r="B438">
        <v>50</v>
      </c>
      <c r="C438" s="6">
        <v>70000</v>
      </c>
      <c r="D438" t="s">
        <v>18</v>
      </c>
      <c r="E438" t="s">
        <v>30</v>
      </c>
      <c r="F438" t="s">
        <v>13</v>
      </c>
      <c r="G438" s="7">
        <v>43195</v>
      </c>
      <c r="H438" t="s">
        <v>41</v>
      </c>
      <c r="I438" t="s">
        <v>22</v>
      </c>
      <c r="J438" t="s">
        <v>69</v>
      </c>
      <c r="K438" t="str">
        <f>IF(HR_Data5[[#This Row],[Age]]&lt;30,"Young",IF(HR_Data5[[#This Row],[Age]]&lt;=45,"Mid-Career","Senior"))</f>
        <v>Senior</v>
      </c>
      <c r="L438" s="10">
        <f ca="1">DATEDIF(HR_Data5[[#This Row],[Joining Date]],TODAY(),"Y")</f>
        <v>7</v>
      </c>
      <c r="M438" s="10" t="str">
        <f>IF(HR_Data5[[#This Row],[Salary]]&lt;55000,"Low",IF(HR_Data5[[#This Row],[Salary]]&lt;=65000,"Medium","High"))</f>
        <v>High</v>
      </c>
      <c r="N438" s="10">
        <f>YEAR(HR_Data5[[#This Row],[Joining Date]])</f>
        <v>2018</v>
      </c>
      <c r="O438" s="10" cm="1">
        <f t="array" ref="O438">_xlfn.SWITCH(HR_Data5[[#This Row],[Performance Score]],
"A",5,
"B",4,
"C",3,
"D",2,
"F",1)</f>
        <v>4</v>
      </c>
      <c r="P438" s="10"/>
    </row>
    <row r="439" spans="1:16" x14ac:dyDescent="0.3">
      <c r="A439" t="s">
        <v>54</v>
      </c>
      <c r="B439">
        <v>35</v>
      </c>
      <c r="C439" s="6">
        <v>65000</v>
      </c>
      <c r="D439" t="s">
        <v>18</v>
      </c>
      <c r="E439" t="s">
        <v>30</v>
      </c>
      <c r="F439" t="s">
        <v>44</v>
      </c>
      <c r="G439" s="7">
        <v>43549</v>
      </c>
      <c r="H439" t="s">
        <v>21</v>
      </c>
      <c r="I439" t="s">
        <v>15</v>
      </c>
      <c r="J439" t="s">
        <v>28</v>
      </c>
      <c r="K439" t="str">
        <f>IF(HR_Data5[[#This Row],[Age]]&lt;30,"Young",IF(HR_Data5[[#This Row],[Age]]&lt;=45,"Mid-Career","Senior"))</f>
        <v>Mid-Career</v>
      </c>
      <c r="L439" s="10">
        <f ca="1">DATEDIF(HR_Data5[[#This Row],[Joining Date]],TODAY(),"Y")</f>
        <v>6</v>
      </c>
      <c r="M439" s="10" t="str">
        <f>IF(HR_Data5[[#This Row],[Salary]]&lt;55000,"Low",IF(HR_Data5[[#This Row],[Salary]]&lt;=65000,"Medium","High"))</f>
        <v>Medium</v>
      </c>
      <c r="N439" s="10">
        <f>YEAR(HR_Data5[[#This Row],[Joining Date]])</f>
        <v>2019</v>
      </c>
      <c r="O439" s="10" cm="1">
        <f t="array" ref="O439">_xlfn.SWITCH(HR_Data5[[#This Row],[Performance Score]],
"A",5,
"B",4,
"C",3,
"D",2,
"F",1)</f>
        <v>1</v>
      </c>
      <c r="P439" s="10"/>
    </row>
    <row r="440" spans="1:16" x14ac:dyDescent="0.3">
      <c r="A440" t="s">
        <v>52</v>
      </c>
      <c r="B440">
        <v>50</v>
      </c>
      <c r="C440" s="6" t="s">
        <v>68</v>
      </c>
      <c r="D440" t="s">
        <v>11</v>
      </c>
      <c r="E440" t="s">
        <v>37</v>
      </c>
      <c r="F440" t="s">
        <v>43</v>
      </c>
      <c r="G440" s="7">
        <v>43881</v>
      </c>
      <c r="H440" t="s">
        <v>27</v>
      </c>
      <c r="I440" t="s">
        <v>69</v>
      </c>
      <c r="J440" t="s">
        <v>45</v>
      </c>
      <c r="K440" t="str">
        <f>IF(HR_Data5[[#This Row],[Age]]&lt;30,"Young",IF(HR_Data5[[#This Row],[Age]]&lt;=45,"Mid-Career","Senior"))</f>
        <v>Senior</v>
      </c>
      <c r="L440" s="10">
        <f ca="1">DATEDIF(HR_Data5[[#This Row],[Joining Date]],TODAY(),"Y")</f>
        <v>6</v>
      </c>
      <c r="M440" s="10" t="str">
        <f>IF(HR_Data5[[#This Row],[Salary]]&lt;55000,"Low",IF(HR_Data5[[#This Row],[Salary]]&lt;=65000,"Medium","High"))</f>
        <v>High</v>
      </c>
      <c r="N440" s="10">
        <f>YEAR(HR_Data5[[#This Row],[Joining Date]])</f>
        <v>2020</v>
      </c>
      <c r="O440" s="10" cm="1">
        <f t="array" ref="O440">_xlfn.SWITCH(HR_Data5[[#This Row],[Performance Score]],
"A",5,
"B",4,
"C",3,
"D",2,
"F",1)</f>
        <v>3</v>
      </c>
      <c r="P440" s="10"/>
    </row>
    <row r="441" spans="1:16" x14ac:dyDescent="0.3">
      <c r="A441" t="s">
        <v>53</v>
      </c>
      <c r="B441">
        <v>40</v>
      </c>
      <c r="C441" s="6">
        <v>70000</v>
      </c>
      <c r="D441" t="s">
        <v>36</v>
      </c>
      <c r="E441" t="s">
        <v>26</v>
      </c>
      <c r="F441" t="s">
        <v>13</v>
      </c>
      <c r="G441" s="7">
        <v>43881</v>
      </c>
      <c r="H441" t="s">
        <v>21</v>
      </c>
      <c r="I441" t="s">
        <v>69</v>
      </c>
      <c r="J441" t="s">
        <v>45</v>
      </c>
      <c r="K441" t="str">
        <f>IF(HR_Data5[[#This Row],[Age]]&lt;30,"Young",IF(HR_Data5[[#This Row],[Age]]&lt;=45,"Mid-Career","Senior"))</f>
        <v>Mid-Career</v>
      </c>
      <c r="L441" s="10">
        <f ca="1">DATEDIF(HR_Data5[[#This Row],[Joining Date]],TODAY(),"Y")</f>
        <v>6</v>
      </c>
      <c r="M441" s="10" t="str">
        <f>IF(HR_Data5[[#This Row],[Salary]]&lt;55000,"Low",IF(HR_Data5[[#This Row],[Salary]]&lt;=65000,"Medium","High"))</f>
        <v>High</v>
      </c>
      <c r="N441" s="10">
        <f>YEAR(HR_Data5[[#This Row],[Joining Date]])</f>
        <v>2020</v>
      </c>
      <c r="O441" s="10" cm="1">
        <f t="array" ref="O441">_xlfn.SWITCH(HR_Data5[[#This Row],[Performance Score]],
"A",5,
"B",4,
"C",3,
"D",2,
"F",1)</f>
        <v>1</v>
      </c>
      <c r="P441" s="10"/>
    </row>
    <row r="442" spans="1:16" x14ac:dyDescent="0.3">
      <c r="A442" t="s">
        <v>51</v>
      </c>
      <c r="B442">
        <v>30</v>
      </c>
      <c r="C442" s="6">
        <v>60000</v>
      </c>
      <c r="D442" t="s">
        <v>11</v>
      </c>
      <c r="E442" t="s">
        <v>12</v>
      </c>
      <c r="F442" t="s">
        <v>44</v>
      </c>
      <c r="G442" s="7">
        <v>43881</v>
      </c>
      <c r="H442" t="s">
        <v>14</v>
      </c>
      <c r="I442" t="s">
        <v>69</v>
      </c>
      <c r="J442" t="s">
        <v>23</v>
      </c>
      <c r="K442" t="str">
        <f>IF(HR_Data5[[#This Row],[Age]]&lt;30,"Young",IF(HR_Data5[[#This Row],[Age]]&lt;=45,"Mid-Career","Senior"))</f>
        <v>Mid-Career</v>
      </c>
      <c r="L442" s="10">
        <f ca="1">DATEDIF(HR_Data5[[#This Row],[Joining Date]],TODAY(),"Y")</f>
        <v>6</v>
      </c>
      <c r="M442" s="10" t="str">
        <f>IF(HR_Data5[[#This Row],[Salary]]&lt;55000,"Low",IF(HR_Data5[[#This Row],[Salary]]&lt;=65000,"Medium","High"))</f>
        <v>Medium</v>
      </c>
      <c r="N442" s="10">
        <f>YEAR(HR_Data5[[#This Row],[Joining Date]])</f>
        <v>2020</v>
      </c>
      <c r="O442" s="10" cm="1">
        <f t="array" ref="O442">_xlfn.SWITCH(HR_Data5[[#This Row],[Performance Score]],
"A",5,
"B",4,
"C",3,
"D",2,
"F",1)</f>
        <v>2</v>
      </c>
      <c r="P442" s="10"/>
    </row>
    <row r="443" spans="1:16" x14ac:dyDescent="0.3">
      <c r="A443" t="s">
        <v>58</v>
      </c>
      <c r="B443">
        <v>25</v>
      </c>
      <c r="C443" s="6">
        <v>60000</v>
      </c>
      <c r="D443" t="s">
        <v>11</v>
      </c>
      <c r="E443" t="s">
        <v>26</v>
      </c>
      <c r="F443" t="s">
        <v>44</v>
      </c>
      <c r="G443" s="7">
        <v>43845</v>
      </c>
      <c r="H443" t="s">
        <v>41</v>
      </c>
      <c r="I443" t="s">
        <v>32</v>
      </c>
      <c r="J443" t="s">
        <v>69</v>
      </c>
      <c r="K443" t="str">
        <f>IF(HR_Data5[[#This Row],[Age]]&lt;30,"Young",IF(HR_Data5[[#This Row],[Age]]&lt;=45,"Mid-Career","Senior"))</f>
        <v>Young</v>
      </c>
      <c r="L443" s="10">
        <f ca="1">DATEDIF(HR_Data5[[#This Row],[Joining Date]],TODAY(),"Y")</f>
        <v>6</v>
      </c>
      <c r="M443" s="10" t="str">
        <f>IF(HR_Data5[[#This Row],[Salary]]&lt;55000,"Low",IF(HR_Data5[[#This Row],[Salary]]&lt;=65000,"Medium","High"))</f>
        <v>Medium</v>
      </c>
      <c r="N443" s="10">
        <f>YEAR(HR_Data5[[#This Row],[Joining Date]])</f>
        <v>2020</v>
      </c>
      <c r="O443" s="10" cm="1">
        <f t="array" ref="O443">_xlfn.SWITCH(HR_Data5[[#This Row],[Performance Score]],
"A",5,
"B",4,
"C",3,
"D",2,
"F",1)</f>
        <v>4</v>
      </c>
      <c r="P443" s="10"/>
    </row>
    <row r="444" spans="1:16" x14ac:dyDescent="0.3">
      <c r="A444" t="s">
        <v>59</v>
      </c>
      <c r="B444">
        <v>36</v>
      </c>
      <c r="C444" s="6">
        <v>65000</v>
      </c>
      <c r="D444" t="s">
        <v>18</v>
      </c>
      <c r="E444" t="s">
        <v>37</v>
      </c>
      <c r="F444" t="s">
        <v>39</v>
      </c>
      <c r="G444" s="7">
        <v>43195</v>
      </c>
      <c r="H444" t="s">
        <v>21</v>
      </c>
      <c r="I444" t="s">
        <v>69</v>
      </c>
      <c r="J444" t="s">
        <v>69</v>
      </c>
      <c r="K444" t="str">
        <f>IF(HR_Data5[[#This Row],[Age]]&lt;30,"Young",IF(HR_Data5[[#This Row],[Age]]&lt;=45,"Mid-Career","Senior"))</f>
        <v>Mid-Career</v>
      </c>
      <c r="L444" s="10">
        <f ca="1">DATEDIF(HR_Data5[[#This Row],[Joining Date]],TODAY(),"Y")</f>
        <v>7</v>
      </c>
      <c r="M444" s="10" t="str">
        <f>IF(HR_Data5[[#This Row],[Salary]]&lt;55000,"Low",IF(HR_Data5[[#This Row],[Salary]]&lt;=65000,"Medium","High"))</f>
        <v>Medium</v>
      </c>
      <c r="N444" s="10">
        <f>YEAR(HR_Data5[[#This Row],[Joining Date]])</f>
        <v>2018</v>
      </c>
      <c r="O444" s="10" cm="1">
        <f t="array" ref="O444">_xlfn.SWITCH(HR_Data5[[#This Row],[Performance Score]],
"A",5,
"B",4,
"C",3,
"D",2,
"F",1)</f>
        <v>1</v>
      </c>
      <c r="P444" s="10"/>
    </row>
    <row r="445" spans="1:16" x14ac:dyDescent="0.3">
      <c r="A445" t="s">
        <v>52</v>
      </c>
      <c r="B445">
        <v>36</v>
      </c>
      <c r="C445" s="6" t="s">
        <v>68</v>
      </c>
      <c r="D445" t="s">
        <v>11</v>
      </c>
      <c r="E445" t="s">
        <v>12</v>
      </c>
      <c r="F445" t="s">
        <v>39</v>
      </c>
      <c r="G445" s="7">
        <v>43845</v>
      </c>
      <c r="H445" t="s">
        <v>41</v>
      </c>
      <c r="I445" t="s">
        <v>69</v>
      </c>
      <c r="J445" t="s">
        <v>28</v>
      </c>
      <c r="K445" t="str">
        <f>IF(HR_Data5[[#This Row],[Age]]&lt;30,"Young",IF(HR_Data5[[#This Row],[Age]]&lt;=45,"Mid-Career","Senior"))</f>
        <v>Mid-Career</v>
      </c>
      <c r="L445" s="10">
        <f ca="1">DATEDIF(HR_Data5[[#This Row],[Joining Date]],TODAY(),"Y")</f>
        <v>6</v>
      </c>
      <c r="M445" s="10" t="str">
        <f>IF(HR_Data5[[#This Row],[Salary]]&lt;55000,"Low",IF(HR_Data5[[#This Row],[Salary]]&lt;=65000,"Medium","High"))</f>
        <v>High</v>
      </c>
      <c r="N445" s="10">
        <f>YEAR(HR_Data5[[#This Row],[Joining Date]])</f>
        <v>2020</v>
      </c>
      <c r="O445" s="10" cm="1">
        <f t="array" ref="O445">_xlfn.SWITCH(HR_Data5[[#This Row],[Performance Score]],
"A",5,
"B",4,
"C",3,
"D",2,
"F",1)</f>
        <v>4</v>
      </c>
      <c r="P445" s="10"/>
    </row>
    <row r="446" spans="1:16" x14ac:dyDescent="0.3">
      <c r="A446" t="s">
        <v>53</v>
      </c>
      <c r="B446">
        <v>35</v>
      </c>
      <c r="C446" s="6" t="s">
        <v>68</v>
      </c>
      <c r="D446" t="s">
        <v>18</v>
      </c>
      <c r="E446" t="s">
        <v>12</v>
      </c>
      <c r="F446" t="s">
        <v>13</v>
      </c>
      <c r="G446" s="7">
        <v>43195</v>
      </c>
      <c r="H446" t="s">
        <v>27</v>
      </c>
      <c r="I446" t="s">
        <v>32</v>
      </c>
      <c r="J446" t="s">
        <v>23</v>
      </c>
      <c r="K446" t="str">
        <f>IF(HR_Data5[[#This Row],[Age]]&lt;30,"Young",IF(HR_Data5[[#This Row],[Age]]&lt;=45,"Mid-Career","Senior"))</f>
        <v>Mid-Career</v>
      </c>
      <c r="L446" s="10">
        <f ca="1">DATEDIF(HR_Data5[[#This Row],[Joining Date]],TODAY(),"Y")</f>
        <v>7</v>
      </c>
      <c r="M446" s="10" t="str">
        <f>IF(HR_Data5[[#This Row],[Salary]]&lt;55000,"Low",IF(HR_Data5[[#This Row],[Salary]]&lt;=65000,"Medium","High"))</f>
        <v>High</v>
      </c>
      <c r="N446" s="10">
        <f>YEAR(HR_Data5[[#This Row],[Joining Date]])</f>
        <v>2018</v>
      </c>
      <c r="O446" s="10" cm="1">
        <f t="array" ref="O446">_xlfn.SWITCH(HR_Data5[[#This Row],[Performance Score]],
"A",5,
"B",4,
"C",3,
"D",2,
"F",1)</f>
        <v>3</v>
      </c>
      <c r="P446" s="10"/>
    </row>
    <row r="447" spans="1:16" x14ac:dyDescent="0.3">
      <c r="A447" t="s">
        <v>58</v>
      </c>
      <c r="B447">
        <v>36</v>
      </c>
      <c r="C447" s="6">
        <v>70000</v>
      </c>
      <c r="D447" t="s">
        <v>36</v>
      </c>
      <c r="E447" t="s">
        <v>26</v>
      </c>
      <c r="F447" t="s">
        <v>39</v>
      </c>
      <c r="G447" s="7">
        <v>43881</v>
      </c>
      <c r="H447" t="s">
        <v>31</v>
      </c>
      <c r="I447" t="s">
        <v>69</v>
      </c>
      <c r="J447" t="s">
        <v>45</v>
      </c>
      <c r="K447" t="str">
        <f>IF(HR_Data5[[#This Row],[Age]]&lt;30,"Young",IF(HR_Data5[[#This Row],[Age]]&lt;=45,"Mid-Career","Senior"))</f>
        <v>Mid-Career</v>
      </c>
      <c r="L447" s="10">
        <f ca="1">DATEDIF(HR_Data5[[#This Row],[Joining Date]],TODAY(),"Y")</f>
        <v>6</v>
      </c>
      <c r="M447" s="10" t="str">
        <f>IF(HR_Data5[[#This Row],[Salary]]&lt;55000,"Low",IF(HR_Data5[[#This Row],[Salary]]&lt;=65000,"Medium","High"))</f>
        <v>High</v>
      </c>
      <c r="N447" s="10">
        <f>YEAR(HR_Data5[[#This Row],[Joining Date]])</f>
        <v>2020</v>
      </c>
      <c r="O447" s="10" cm="1">
        <f t="array" ref="O447">_xlfn.SWITCH(HR_Data5[[#This Row],[Performance Score]],
"A",5,
"B",4,
"C",3,
"D",2,
"F",1)</f>
        <v>5</v>
      </c>
      <c r="P447" s="10"/>
    </row>
    <row r="448" spans="1:16" x14ac:dyDescent="0.3">
      <c r="A448" t="s">
        <v>56</v>
      </c>
      <c r="B448">
        <v>40</v>
      </c>
      <c r="C448" s="6">
        <v>70000</v>
      </c>
      <c r="D448" t="s">
        <v>36</v>
      </c>
      <c r="E448" t="s">
        <v>19</v>
      </c>
      <c r="F448" t="s">
        <v>44</v>
      </c>
      <c r="G448" s="7">
        <v>43549</v>
      </c>
      <c r="H448" t="s">
        <v>21</v>
      </c>
      <c r="I448" t="s">
        <v>69</v>
      </c>
      <c r="J448" t="s">
        <v>69</v>
      </c>
      <c r="K448" t="str">
        <f>IF(HR_Data5[[#This Row],[Age]]&lt;30,"Young",IF(HR_Data5[[#This Row],[Age]]&lt;=45,"Mid-Career","Senior"))</f>
        <v>Mid-Career</v>
      </c>
      <c r="L448" s="10">
        <f ca="1">DATEDIF(HR_Data5[[#This Row],[Joining Date]],TODAY(),"Y")</f>
        <v>6</v>
      </c>
      <c r="M448" s="10" t="str">
        <f>IF(HR_Data5[[#This Row],[Salary]]&lt;55000,"Low",IF(HR_Data5[[#This Row],[Salary]]&lt;=65000,"Medium","High"))</f>
        <v>High</v>
      </c>
      <c r="N448" s="10">
        <f>YEAR(HR_Data5[[#This Row],[Joining Date]])</f>
        <v>2019</v>
      </c>
      <c r="O448" s="10" cm="1">
        <f t="array" ref="O448">_xlfn.SWITCH(HR_Data5[[#This Row],[Performance Score]],
"A",5,
"B",4,
"C",3,
"D",2,
"F",1)</f>
        <v>1</v>
      </c>
      <c r="P448" s="10"/>
    </row>
    <row r="449" spans="1:16" x14ac:dyDescent="0.3">
      <c r="A449" t="s">
        <v>59</v>
      </c>
      <c r="B449">
        <v>50</v>
      </c>
      <c r="C449" s="6" t="s">
        <v>68</v>
      </c>
      <c r="D449" t="s">
        <v>36</v>
      </c>
      <c r="E449" t="s">
        <v>30</v>
      </c>
      <c r="F449" t="s">
        <v>39</v>
      </c>
      <c r="G449" s="7">
        <v>43800</v>
      </c>
      <c r="H449" t="s">
        <v>21</v>
      </c>
      <c r="I449" t="s">
        <v>69</v>
      </c>
      <c r="J449" t="s">
        <v>69</v>
      </c>
      <c r="K449" t="str">
        <f>IF(HR_Data5[[#This Row],[Age]]&lt;30,"Young",IF(HR_Data5[[#This Row],[Age]]&lt;=45,"Mid-Career","Senior"))</f>
        <v>Senior</v>
      </c>
      <c r="L449" s="10">
        <f ca="1">DATEDIF(HR_Data5[[#This Row],[Joining Date]],TODAY(),"Y")</f>
        <v>6</v>
      </c>
      <c r="M449" s="10" t="str">
        <f>IF(HR_Data5[[#This Row],[Salary]]&lt;55000,"Low",IF(HR_Data5[[#This Row],[Salary]]&lt;=65000,"Medium","High"))</f>
        <v>High</v>
      </c>
      <c r="N449" s="10">
        <f>YEAR(HR_Data5[[#This Row],[Joining Date]])</f>
        <v>2019</v>
      </c>
      <c r="O449" s="10" cm="1">
        <f t="array" ref="O449">_xlfn.SWITCH(HR_Data5[[#This Row],[Performance Score]],
"A",5,
"B",4,
"C",3,
"D",2,
"F",1)</f>
        <v>1</v>
      </c>
      <c r="P449" s="10"/>
    </row>
    <row r="450" spans="1:16" x14ac:dyDescent="0.3">
      <c r="A450" t="s">
        <v>59</v>
      </c>
      <c r="B450">
        <v>40</v>
      </c>
      <c r="C450" s="6">
        <v>70000</v>
      </c>
      <c r="D450" t="s">
        <v>11</v>
      </c>
      <c r="E450" t="s">
        <v>19</v>
      </c>
      <c r="F450" t="s">
        <v>20</v>
      </c>
      <c r="G450" s="7">
        <v>43800</v>
      </c>
      <c r="H450" t="s">
        <v>41</v>
      </c>
      <c r="I450" t="s">
        <v>32</v>
      </c>
      <c r="J450" t="s">
        <v>23</v>
      </c>
      <c r="K450" t="str">
        <f>IF(HR_Data5[[#This Row],[Age]]&lt;30,"Young",IF(HR_Data5[[#This Row],[Age]]&lt;=45,"Mid-Career","Senior"))</f>
        <v>Mid-Career</v>
      </c>
      <c r="L450" s="10">
        <f ca="1">DATEDIF(HR_Data5[[#This Row],[Joining Date]],TODAY(),"Y")</f>
        <v>6</v>
      </c>
      <c r="M450" s="10" t="str">
        <f>IF(HR_Data5[[#This Row],[Salary]]&lt;55000,"Low",IF(HR_Data5[[#This Row],[Salary]]&lt;=65000,"Medium","High"))</f>
        <v>High</v>
      </c>
      <c r="N450" s="10">
        <f>YEAR(HR_Data5[[#This Row],[Joining Date]])</f>
        <v>2019</v>
      </c>
      <c r="O450" s="10" cm="1">
        <f t="array" ref="O450">_xlfn.SWITCH(HR_Data5[[#This Row],[Performance Score]],
"A",5,
"B",4,
"C",3,
"D",2,
"F",1)</f>
        <v>4</v>
      </c>
      <c r="P450" s="10"/>
    </row>
    <row r="451" spans="1:16" x14ac:dyDescent="0.3">
      <c r="A451" t="s">
        <v>56</v>
      </c>
      <c r="B451">
        <v>35</v>
      </c>
      <c r="C451" s="6" t="s">
        <v>68</v>
      </c>
      <c r="D451" t="s">
        <v>18</v>
      </c>
      <c r="E451" t="s">
        <v>26</v>
      </c>
      <c r="F451" t="s">
        <v>39</v>
      </c>
      <c r="G451" s="7">
        <v>43881</v>
      </c>
      <c r="H451" t="s">
        <v>27</v>
      </c>
      <c r="I451" t="s">
        <v>15</v>
      </c>
      <c r="J451" t="s">
        <v>69</v>
      </c>
      <c r="K451" t="str">
        <f>IF(HR_Data5[[#This Row],[Age]]&lt;30,"Young",IF(HR_Data5[[#This Row],[Age]]&lt;=45,"Mid-Career","Senior"))</f>
        <v>Mid-Career</v>
      </c>
      <c r="L451" s="10">
        <f ca="1">DATEDIF(HR_Data5[[#This Row],[Joining Date]],TODAY(),"Y")</f>
        <v>6</v>
      </c>
      <c r="M451" s="10" t="str">
        <f>IF(HR_Data5[[#This Row],[Salary]]&lt;55000,"Low",IF(HR_Data5[[#This Row],[Salary]]&lt;=65000,"Medium","High"))</f>
        <v>High</v>
      </c>
      <c r="N451" s="10">
        <f>YEAR(HR_Data5[[#This Row],[Joining Date]])</f>
        <v>2020</v>
      </c>
      <c r="O451" s="10" cm="1">
        <f t="array" ref="O451">_xlfn.SWITCH(HR_Data5[[#This Row],[Performance Score]],
"A",5,
"B",4,
"C",3,
"D",2,
"F",1)</f>
        <v>3</v>
      </c>
      <c r="P451" s="10"/>
    </row>
    <row r="452" spans="1:16" x14ac:dyDescent="0.3">
      <c r="A452" t="s">
        <v>54</v>
      </c>
      <c r="B452">
        <v>40</v>
      </c>
      <c r="C452" s="6">
        <v>55000</v>
      </c>
      <c r="D452" t="s">
        <v>36</v>
      </c>
      <c r="E452" t="s">
        <v>30</v>
      </c>
      <c r="F452" t="s">
        <v>44</v>
      </c>
      <c r="G452" s="7">
        <v>43845</v>
      </c>
      <c r="H452" t="s">
        <v>14</v>
      </c>
      <c r="I452" t="s">
        <v>22</v>
      </c>
      <c r="J452" t="s">
        <v>45</v>
      </c>
      <c r="K452" t="str">
        <f>IF(HR_Data5[[#This Row],[Age]]&lt;30,"Young",IF(HR_Data5[[#This Row],[Age]]&lt;=45,"Mid-Career","Senior"))</f>
        <v>Mid-Career</v>
      </c>
      <c r="L452" s="10">
        <f ca="1">DATEDIF(HR_Data5[[#This Row],[Joining Date]],TODAY(),"Y")</f>
        <v>6</v>
      </c>
      <c r="M452" s="10" t="str">
        <f>IF(HR_Data5[[#This Row],[Salary]]&lt;55000,"Low",IF(HR_Data5[[#This Row],[Salary]]&lt;=65000,"Medium","High"))</f>
        <v>Medium</v>
      </c>
      <c r="N452" s="10">
        <f>YEAR(HR_Data5[[#This Row],[Joining Date]])</f>
        <v>2020</v>
      </c>
      <c r="O452" s="10" cm="1">
        <f t="array" ref="O452">_xlfn.SWITCH(HR_Data5[[#This Row],[Performance Score]],
"A",5,
"B",4,
"C",3,
"D",2,
"F",1)</f>
        <v>2</v>
      </c>
      <c r="P452" s="10"/>
    </row>
    <row r="453" spans="1:16" x14ac:dyDescent="0.3">
      <c r="A453" t="s">
        <v>56</v>
      </c>
      <c r="B453">
        <v>50</v>
      </c>
      <c r="C453" s="6" t="s">
        <v>68</v>
      </c>
      <c r="D453" t="s">
        <v>18</v>
      </c>
      <c r="E453" t="s">
        <v>19</v>
      </c>
      <c r="F453" t="s">
        <v>13</v>
      </c>
      <c r="G453" s="7">
        <v>43549</v>
      </c>
      <c r="H453" t="s">
        <v>27</v>
      </c>
      <c r="I453" t="s">
        <v>69</v>
      </c>
      <c r="J453" t="s">
        <v>23</v>
      </c>
      <c r="K453" t="str">
        <f>IF(HR_Data5[[#This Row],[Age]]&lt;30,"Young",IF(HR_Data5[[#This Row],[Age]]&lt;=45,"Mid-Career","Senior"))</f>
        <v>Senior</v>
      </c>
      <c r="L453" s="10">
        <f ca="1">DATEDIF(HR_Data5[[#This Row],[Joining Date]],TODAY(),"Y")</f>
        <v>6</v>
      </c>
      <c r="M453" s="10" t="str">
        <f>IF(HR_Data5[[#This Row],[Salary]]&lt;55000,"Low",IF(HR_Data5[[#This Row],[Salary]]&lt;=65000,"Medium","High"))</f>
        <v>High</v>
      </c>
      <c r="N453" s="10">
        <f>YEAR(HR_Data5[[#This Row],[Joining Date]])</f>
        <v>2019</v>
      </c>
      <c r="O453" s="10" cm="1">
        <f t="array" ref="O453">_xlfn.SWITCH(HR_Data5[[#This Row],[Performance Score]],
"A",5,
"B",4,
"C",3,
"D",2,
"F",1)</f>
        <v>3</v>
      </c>
      <c r="P453" s="10"/>
    </row>
    <row r="454" spans="1:16" x14ac:dyDescent="0.3">
      <c r="A454" t="s">
        <v>59</v>
      </c>
      <c r="B454">
        <v>30</v>
      </c>
      <c r="C454" s="6">
        <v>60000</v>
      </c>
      <c r="D454" t="s">
        <v>18</v>
      </c>
      <c r="E454" t="s">
        <v>30</v>
      </c>
      <c r="F454" t="s">
        <v>43</v>
      </c>
      <c r="G454" s="7">
        <v>43195</v>
      </c>
      <c r="H454" t="s">
        <v>21</v>
      </c>
      <c r="I454" t="s">
        <v>32</v>
      </c>
      <c r="J454" t="s">
        <v>69</v>
      </c>
      <c r="K454" t="str">
        <f>IF(HR_Data5[[#This Row],[Age]]&lt;30,"Young",IF(HR_Data5[[#This Row],[Age]]&lt;=45,"Mid-Career","Senior"))</f>
        <v>Mid-Career</v>
      </c>
      <c r="L454" s="10">
        <f ca="1">DATEDIF(HR_Data5[[#This Row],[Joining Date]],TODAY(),"Y")</f>
        <v>7</v>
      </c>
      <c r="M454" s="10" t="str">
        <f>IF(HR_Data5[[#This Row],[Salary]]&lt;55000,"Low",IF(HR_Data5[[#This Row],[Salary]]&lt;=65000,"Medium","High"))</f>
        <v>Medium</v>
      </c>
      <c r="N454" s="10">
        <f>YEAR(HR_Data5[[#This Row],[Joining Date]])</f>
        <v>2018</v>
      </c>
      <c r="O454" s="10" cm="1">
        <f t="array" ref="O454">_xlfn.SWITCH(HR_Data5[[#This Row],[Performance Score]],
"A",5,
"B",4,
"C",3,
"D",2,
"F",1)</f>
        <v>1</v>
      </c>
      <c r="P454" s="10"/>
    </row>
    <row r="455" spans="1:16" x14ac:dyDescent="0.3">
      <c r="A455" t="s">
        <v>59</v>
      </c>
      <c r="B455">
        <v>35</v>
      </c>
      <c r="C455" s="6">
        <v>70000</v>
      </c>
      <c r="D455" t="s">
        <v>36</v>
      </c>
      <c r="E455" t="s">
        <v>12</v>
      </c>
      <c r="F455" t="s">
        <v>39</v>
      </c>
      <c r="G455" s="7">
        <v>43881</v>
      </c>
      <c r="H455" t="s">
        <v>14</v>
      </c>
      <c r="I455" t="s">
        <v>69</v>
      </c>
      <c r="J455" t="s">
        <v>69</v>
      </c>
      <c r="K455" t="str">
        <f>IF(HR_Data5[[#This Row],[Age]]&lt;30,"Young",IF(HR_Data5[[#This Row],[Age]]&lt;=45,"Mid-Career","Senior"))</f>
        <v>Mid-Career</v>
      </c>
      <c r="L455" s="10">
        <f ca="1">DATEDIF(HR_Data5[[#This Row],[Joining Date]],TODAY(),"Y")</f>
        <v>6</v>
      </c>
      <c r="M455" s="10" t="str">
        <f>IF(HR_Data5[[#This Row],[Salary]]&lt;55000,"Low",IF(HR_Data5[[#This Row],[Salary]]&lt;=65000,"Medium","High"))</f>
        <v>High</v>
      </c>
      <c r="N455" s="10">
        <f>YEAR(HR_Data5[[#This Row],[Joining Date]])</f>
        <v>2020</v>
      </c>
      <c r="O455" s="10" cm="1">
        <f t="array" ref="O455">_xlfn.SWITCH(HR_Data5[[#This Row],[Performance Score]],
"A",5,
"B",4,
"C",3,
"D",2,
"F",1)</f>
        <v>2</v>
      </c>
      <c r="P455" s="10"/>
    </row>
    <row r="456" spans="1:16" x14ac:dyDescent="0.3">
      <c r="A456" t="s">
        <v>53</v>
      </c>
      <c r="B456">
        <v>30</v>
      </c>
      <c r="C456" s="6" t="s">
        <v>68</v>
      </c>
      <c r="D456" t="s">
        <v>36</v>
      </c>
      <c r="E456" t="s">
        <v>19</v>
      </c>
      <c r="F456" t="s">
        <v>44</v>
      </c>
      <c r="G456" s="7">
        <v>43549</v>
      </c>
      <c r="H456" t="s">
        <v>27</v>
      </c>
      <c r="I456" t="s">
        <v>32</v>
      </c>
      <c r="J456" t="s">
        <v>28</v>
      </c>
      <c r="K456" t="str">
        <f>IF(HR_Data5[[#This Row],[Age]]&lt;30,"Young",IF(HR_Data5[[#This Row],[Age]]&lt;=45,"Mid-Career","Senior"))</f>
        <v>Mid-Career</v>
      </c>
      <c r="L456" s="10">
        <f ca="1">DATEDIF(HR_Data5[[#This Row],[Joining Date]],TODAY(),"Y")</f>
        <v>6</v>
      </c>
      <c r="M456" s="10" t="str">
        <f>IF(HR_Data5[[#This Row],[Salary]]&lt;55000,"Low",IF(HR_Data5[[#This Row],[Salary]]&lt;=65000,"Medium","High"))</f>
        <v>High</v>
      </c>
      <c r="N456" s="10">
        <f>YEAR(HR_Data5[[#This Row],[Joining Date]])</f>
        <v>2019</v>
      </c>
      <c r="O456" s="10" cm="1">
        <f t="array" ref="O456">_xlfn.SWITCH(HR_Data5[[#This Row],[Performance Score]],
"A",5,
"B",4,
"C",3,
"D",2,
"F",1)</f>
        <v>3</v>
      </c>
      <c r="P456" s="10"/>
    </row>
    <row r="457" spans="1:16" x14ac:dyDescent="0.3">
      <c r="A457" t="s">
        <v>55</v>
      </c>
      <c r="B457">
        <v>25</v>
      </c>
      <c r="C457" s="6" t="s">
        <v>68</v>
      </c>
      <c r="D457" t="s">
        <v>18</v>
      </c>
      <c r="E457" t="s">
        <v>30</v>
      </c>
      <c r="F457" t="s">
        <v>43</v>
      </c>
      <c r="G457" s="7">
        <v>43549</v>
      </c>
      <c r="H457" t="s">
        <v>31</v>
      </c>
      <c r="I457" t="s">
        <v>22</v>
      </c>
      <c r="J457" t="s">
        <v>45</v>
      </c>
      <c r="K457" t="str">
        <f>IF(HR_Data5[[#This Row],[Age]]&lt;30,"Young",IF(HR_Data5[[#This Row],[Age]]&lt;=45,"Mid-Career","Senior"))</f>
        <v>Young</v>
      </c>
      <c r="L457" s="10">
        <f ca="1">DATEDIF(HR_Data5[[#This Row],[Joining Date]],TODAY(),"Y")</f>
        <v>6</v>
      </c>
      <c r="M457" s="10" t="str">
        <f>IF(HR_Data5[[#This Row],[Salary]]&lt;55000,"Low",IF(HR_Data5[[#This Row],[Salary]]&lt;=65000,"Medium","High"))</f>
        <v>High</v>
      </c>
      <c r="N457" s="10">
        <f>YEAR(HR_Data5[[#This Row],[Joining Date]])</f>
        <v>2019</v>
      </c>
      <c r="O457" s="10" cm="1">
        <f t="array" ref="O457">_xlfn.SWITCH(HR_Data5[[#This Row],[Performance Score]],
"A",5,
"B",4,
"C",3,
"D",2,
"F",1)</f>
        <v>5</v>
      </c>
      <c r="P457" s="10"/>
    </row>
    <row r="458" spans="1:16" x14ac:dyDescent="0.3">
      <c r="A458" t="s">
        <v>58</v>
      </c>
      <c r="B458">
        <v>30</v>
      </c>
      <c r="C458" s="6">
        <v>70000</v>
      </c>
      <c r="D458" t="s">
        <v>36</v>
      </c>
      <c r="E458" t="s">
        <v>30</v>
      </c>
      <c r="F458" t="s">
        <v>43</v>
      </c>
      <c r="G458" s="7">
        <v>43195</v>
      </c>
      <c r="H458" t="s">
        <v>41</v>
      </c>
      <c r="I458" t="s">
        <v>22</v>
      </c>
      <c r="J458" t="s">
        <v>45</v>
      </c>
      <c r="K458" t="str">
        <f>IF(HR_Data5[[#This Row],[Age]]&lt;30,"Young",IF(HR_Data5[[#This Row],[Age]]&lt;=45,"Mid-Career","Senior"))</f>
        <v>Mid-Career</v>
      </c>
      <c r="L458" s="10">
        <f ca="1">DATEDIF(HR_Data5[[#This Row],[Joining Date]],TODAY(),"Y")</f>
        <v>7</v>
      </c>
      <c r="M458" s="10" t="str">
        <f>IF(HR_Data5[[#This Row],[Salary]]&lt;55000,"Low",IF(HR_Data5[[#This Row],[Salary]]&lt;=65000,"Medium","High"))</f>
        <v>High</v>
      </c>
      <c r="N458" s="10">
        <f>YEAR(HR_Data5[[#This Row],[Joining Date]])</f>
        <v>2018</v>
      </c>
      <c r="O458" s="10" cm="1">
        <f t="array" ref="O458">_xlfn.SWITCH(HR_Data5[[#This Row],[Performance Score]],
"A",5,
"B",4,
"C",3,
"D",2,
"F",1)</f>
        <v>4</v>
      </c>
      <c r="P458" s="10"/>
    </row>
    <row r="459" spans="1:16" x14ac:dyDescent="0.3">
      <c r="A459" t="s">
        <v>56</v>
      </c>
      <c r="B459">
        <v>25</v>
      </c>
      <c r="C459" s="6">
        <v>55000</v>
      </c>
      <c r="D459" t="s">
        <v>18</v>
      </c>
      <c r="E459" t="s">
        <v>30</v>
      </c>
      <c r="F459" t="s">
        <v>20</v>
      </c>
      <c r="G459" s="7">
        <v>43549</v>
      </c>
      <c r="H459" t="s">
        <v>27</v>
      </c>
      <c r="I459" t="s">
        <v>15</v>
      </c>
      <c r="J459" t="s">
        <v>69</v>
      </c>
      <c r="K459" t="str">
        <f>IF(HR_Data5[[#This Row],[Age]]&lt;30,"Young",IF(HR_Data5[[#This Row],[Age]]&lt;=45,"Mid-Career","Senior"))</f>
        <v>Young</v>
      </c>
      <c r="L459" s="10">
        <f ca="1">DATEDIF(HR_Data5[[#This Row],[Joining Date]],TODAY(),"Y")</f>
        <v>6</v>
      </c>
      <c r="M459" s="10" t="str">
        <f>IF(HR_Data5[[#This Row],[Salary]]&lt;55000,"Low",IF(HR_Data5[[#This Row],[Salary]]&lt;=65000,"Medium","High"))</f>
        <v>Medium</v>
      </c>
      <c r="N459" s="10">
        <f>YEAR(HR_Data5[[#This Row],[Joining Date]])</f>
        <v>2019</v>
      </c>
      <c r="O459" s="10" cm="1">
        <f t="array" ref="O459">_xlfn.SWITCH(HR_Data5[[#This Row],[Performance Score]],
"A",5,
"B",4,
"C",3,
"D",2,
"F",1)</f>
        <v>3</v>
      </c>
      <c r="P459" s="10"/>
    </row>
    <row r="460" spans="1:16" x14ac:dyDescent="0.3">
      <c r="A460" t="s">
        <v>58</v>
      </c>
      <c r="B460">
        <v>25</v>
      </c>
      <c r="C460" s="6">
        <v>55000</v>
      </c>
      <c r="D460" t="s">
        <v>18</v>
      </c>
      <c r="E460" t="s">
        <v>19</v>
      </c>
      <c r="F460" t="s">
        <v>43</v>
      </c>
      <c r="G460" s="7">
        <v>43845</v>
      </c>
      <c r="H460" t="s">
        <v>27</v>
      </c>
      <c r="I460" t="s">
        <v>15</v>
      </c>
      <c r="J460" t="s">
        <v>23</v>
      </c>
      <c r="K460" t="str">
        <f>IF(HR_Data5[[#This Row],[Age]]&lt;30,"Young",IF(HR_Data5[[#This Row],[Age]]&lt;=45,"Mid-Career","Senior"))</f>
        <v>Young</v>
      </c>
      <c r="L460" s="10">
        <f ca="1">DATEDIF(HR_Data5[[#This Row],[Joining Date]],TODAY(),"Y")</f>
        <v>6</v>
      </c>
      <c r="M460" s="10" t="str">
        <f>IF(HR_Data5[[#This Row],[Salary]]&lt;55000,"Low",IF(HR_Data5[[#This Row],[Salary]]&lt;=65000,"Medium","High"))</f>
        <v>Medium</v>
      </c>
      <c r="N460" s="10">
        <f>YEAR(HR_Data5[[#This Row],[Joining Date]])</f>
        <v>2020</v>
      </c>
      <c r="O460" s="10" cm="1">
        <f t="array" ref="O460">_xlfn.SWITCH(HR_Data5[[#This Row],[Performance Score]],
"A",5,
"B",4,
"C",3,
"D",2,
"F",1)</f>
        <v>3</v>
      </c>
      <c r="P460" s="10"/>
    </row>
    <row r="461" spans="1:16" x14ac:dyDescent="0.3">
      <c r="A461" t="s">
        <v>56</v>
      </c>
      <c r="B461">
        <v>30</v>
      </c>
      <c r="C461" s="6">
        <v>70000</v>
      </c>
      <c r="D461" t="s">
        <v>36</v>
      </c>
      <c r="E461" t="s">
        <v>37</v>
      </c>
      <c r="F461" t="s">
        <v>44</v>
      </c>
      <c r="G461" s="7">
        <v>43845</v>
      </c>
      <c r="H461" t="s">
        <v>31</v>
      </c>
      <c r="I461" t="s">
        <v>22</v>
      </c>
      <c r="J461" t="s">
        <v>69</v>
      </c>
      <c r="K461" t="str">
        <f>IF(HR_Data5[[#This Row],[Age]]&lt;30,"Young",IF(HR_Data5[[#This Row],[Age]]&lt;=45,"Mid-Career","Senior"))</f>
        <v>Mid-Career</v>
      </c>
      <c r="L461" s="10">
        <f ca="1">DATEDIF(HR_Data5[[#This Row],[Joining Date]],TODAY(),"Y")</f>
        <v>6</v>
      </c>
      <c r="M461" s="10" t="str">
        <f>IF(HR_Data5[[#This Row],[Salary]]&lt;55000,"Low",IF(HR_Data5[[#This Row],[Salary]]&lt;=65000,"Medium","High"))</f>
        <v>High</v>
      </c>
      <c r="N461" s="10">
        <f>YEAR(HR_Data5[[#This Row],[Joining Date]])</f>
        <v>2020</v>
      </c>
      <c r="O461" s="10" cm="1">
        <f t="array" ref="O461">_xlfn.SWITCH(HR_Data5[[#This Row],[Performance Score]],
"A",5,
"B",4,
"C",3,
"D",2,
"F",1)</f>
        <v>5</v>
      </c>
      <c r="P461" s="10"/>
    </row>
    <row r="462" spans="1:16" x14ac:dyDescent="0.3">
      <c r="A462" t="s">
        <v>51</v>
      </c>
      <c r="B462">
        <v>35</v>
      </c>
      <c r="C462" s="6">
        <v>50000</v>
      </c>
      <c r="D462" t="s">
        <v>11</v>
      </c>
      <c r="E462" t="s">
        <v>19</v>
      </c>
      <c r="F462" t="s">
        <v>44</v>
      </c>
      <c r="G462" s="7">
        <v>43845</v>
      </c>
      <c r="H462" t="s">
        <v>21</v>
      </c>
      <c r="I462" t="s">
        <v>69</v>
      </c>
      <c r="J462" t="s">
        <v>69</v>
      </c>
      <c r="K462" t="str">
        <f>IF(HR_Data5[[#This Row],[Age]]&lt;30,"Young",IF(HR_Data5[[#This Row],[Age]]&lt;=45,"Mid-Career","Senior"))</f>
        <v>Mid-Career</v>
      </c>
      <c r="L462" s="10">
        <f ca="1">DATEDIF(HR_Data5[[#This Row],[Joining Date]],TODAY(),"Y")</f>
        <v>6</v>
      </c>
      <c r="M462" s="10" t="str">
        <f>IF(HR_Data5[[#This Row],[Salary]]&lt;55000,"Low",IF(HR_Data5[[#This Row],[Salary]]&lt;=65000,"Medium","High"))</f>
        <v>Low</v>
      </c>
      <c r="N462" s="10">
        <f>YEAR(HR_Data5[[#This Row],[Joining Date]])</f>
        <v>2020</v>
      </c>
      <c r="O462" s="10" cm="1">
        <f t="array" ref="O462">_xlfn.SWITCH(HR_Data5[[#This Row],[Performance Score]],
"A",5,
"B",4,
"C",3,
"D",2,
"F",1)</f>
        <v>1</v>
      </c>
      <c r="P462" s="10"/>
    </row>
    <row r="463" spans="1:16" x14ac:dyDescent="0.3">
      <c r="A463" t="s">
        <v>59</v>
      </c>
      <c r="B463">
        <v>50</v>
      </c>
      <c r="C463" s="6">
        <v>70000</v>
      </c>
      <c r="D463" t="s">
        <v>36</v>
      </c>
      <c r="E463" t="s">
        <v>26</v>
      </c>
      <c r="F463" t="s">
        <v>39</v>
      </c>
      <c r="G463" s="7">
        <v>43549</v>
      </c>
      <c r="H463" t="s">
        <v>41</v>
      </c>
      <c r="I463" t="s">
        <v>69</v>
      </c>
      <c r="J463" t="s">
        <v>28</v>
      </c>
      <c r="K463" t="str">
        <f>IF(HR_Data5[[#This Row],[Age]]&lt;30,"Young",IF(HR_Data5[[#This Row],[Age]]&lt;=45,"Mid-Career","Senior"))</f>
        <v>Senior</v>
      </c>
      <c r="L463" s="10">
        <f ca="1">DATEDIF(HR_Data5[[#This Row],[Joining Date]],TODAY(),"Y")</f>
        <v>6</v>
      </c>
      <c r="M463" s="10" t="str">
        <f>IF(HR_Data5[[#This Row],[Salary]]&lt;55000,"Low",IF(HR_Data5[[#This Row],[Salary]]&lt;=65000,"Medium","High"))</f>
        <v>High</v>
      </c>
      <c r="N463" s="10">
        <f>YEAR(HR_Data5[[#This Row],[Joining Date]])</f>
        <v>2019</v>
      </c>
      <c r="O463" s="10" cm="1">
        <f t="array" ref="O463">_xlfn.SWITCH(HR_Data5[[#This Row],[Performance Score]],
"A",5,
"B",4,
"C",3,
"D",2,
"F",1)</f>
        <v>4</v>
      </c>
      <c r="P463" s="10"/>
    </row>
    <row r="464" spans="1:16" x14ac:dyDescent="0.3">
      <c r="A464" t="s">
        <v>55</v>
      </c>
      <c r="B464">
        <v>40</v>
      </c>
      <c r="C464" s="6">
        <v>70000</v>
      </c>
      <c r="D464" t="s">
        <v>11</v>
      </c>
      <c r="E464" t="s">
        <v>19</v>
      </c>
      <c r="F464" t="s">
        <v>39</v>
      </c>
      <c r="G464" s="7">
        <v>43845</v>
      </c>
      <c r="H464" t="s">
        <v>27</v>
      </c>
      <c r="I464" t="s">
        <v>69</v>
      </c>
      <c r="J464" t="s">
        <v>28</v>
      </c>
      <c r="K464" t="str">
        <f>IF(HR_Data5[[#This Row],[Age]]&lt;30,"Young",IF(HR_Data5[[#This Row],[Age]]&lt;=45,"Mid-Career","Senior"))</f>
        <v>Mid-Career</v>
      </c>
      <c r="L464" s="10">
        <f ca="1">DATEDIF(HR_Data5[[#This Row],[Joining Date]],TODAY(),"Y")</f>
        <v>6</v>
      </c>
      <c r="M464" s="10" t="str">
        <f>IF(HR_Data5[[#This Row],[Salary]]&lt;55000,"Low",IF(HR_Data5[[#This Row],[Salary]]&lt;=65000,"Medium","High"))</f>
        <v>High</v>
      </c>
      <c r="N464" s="10">
        <f>YEAR(HR_Data5[[#This Row],[Joining Date]])</f>
        <v>2020</v>
      </c>
      <c r="O464" s="10" cm="1">
        <f t="array" ref="O464">_xlfn.SWITCH(HR_Data5[[#This Row],[Performance Score]],
"A",5,
"B",4,
"C",3,
"D",2,
"F",1)</f>
        <v>3</v>
      </c>
      <c r="P464" s="10"/>
    </row>
    <row r="465" spans="1:16" x14ac:dyDescent="0.3">
      <c r="A465" t="s">
        <v>53</v>
      </c>
      <c r="B465">
        <v>40</v>
      </c>
      <c r="C465" s="6">
        <v>55000</v>
      </c>
      <c r="D465" t="s">
        <v>18</v>
      </c>
      <c r="E465" t="s">
        <v>30</v>
      </c>
      <c r="F465" t="s">
        <v>39</v>
      </c>
      <c r="G465" s="7">
        <v>43195</v>
      </c>
      <c r="H465" t="s">
        <v>14</v>
      </c>
      <c r="I465" t="s">
        <v>15</v>
      </c>
      <c r="J465" t="s">
        <v>28</v>
      </c>
      <c r="K465" t="str">
        <f>IF(HR_Data5[[#This Row],[Age]]&lt;30,"Young",IF(HR_Data5[[#This Row],[Age]]&lt;=45,"Mid-Career","Senior"))</f>
        <v>Mid-Career</v>
      </c>
      <c r="L465" s="10">
        <f ca="1">DATEDIF(HR_Data5[[#This Row],[Joining Date]],TODAY(),"Y")</f>
        <v>7</v>
      </c>
      <c r="M465" s="10" t="str">
        <f>IF(HR_Data5[[#This Row],[Salary]]&lt;55000,"Low",IF(HR_Data5[[#This Row],[Salary]]&lt;=65000,"Medium","High"))</f>
        <v>Medium</v>
      </c>
      <c r="N465" s="10">
        <f>YEAR(HR_Data5[[#This Row],[Joining Date]])</f>
        <v>2018</v>
      </c>
      <c r="O465" s="10" cm="1">
        <f t="array" ref="O465">_xlfn.SWITCH(HR_Data5[[#This Row],[Performance Score]],
"A",5,
"B",4,
"C",3,
"D",2,
"F",1)</f>
        <v>2</v>
      </c>
      <c r="P465" s="10"/>
    </row>
    <row r="466" spans="1:16" x14ac:dyDescent="0.3">
      <c r="A466" t="s">
        <v>55</v>
      </c>
      <c r="B466">
        <v>50</v>
      </c>
      <c r="C466" s="6">
        <v>55000</v>
      </c>
      <c r="D466" t="s">
        <v>18</v>
      </c>
      <c r="E466" t="s">
        <v>12</v>
      </c>
      <c r="F466" t="s">
        <v>43</v>
      </c>
      <c r="G466" s="7">
        <v>43549</v>
      </c>
      <c r="H466" t="s">
        <v>27</v>
      </c>
      <c r="I466" t="s">
        <v>69</v>
      </c>
      <c r="J466" t="s">
        <v>69</v>
      </c>
      <c r="K466" t="str">
        <f>IF(HR_Data5[[#This Row],[Age]]&lt;30,"Young",IF(HR_Data5[[#This Row],[Age]]&lt;=45,"Mid-Career","Senior"))</f>
        <v>Senior</v>
      </c>
      <c r="L466" s="10">
        <f ca="1">DATEDIF(HR_Data5[[#This Row],[Joining Date]],TODAY(),"Y")</f>
        <v>6</v>
      </c>
      <c r="M466" s="10" t="str">
        <f>IF(HR_Data5[[#This Row],[Salary]]&lt;55000,"Low",IF(HR_Data5[[#This Row],[Salary]]&lt;=65000,"Medium","High"))</f>
        <v>Medium</v>
      </c>
      <c r="N466" s="10">
        <f>YEAR(HR_Data5[[#This Row],[Joining Date]])</f>
        <v>2019</v>
      </c>
      <c r="O466" s="10" cm="1">
        <f t="array" ref="O466">_xlfn.SWITCH(HR_Data5[[#This Row],[Performance Score]],
"A",5,
"B",4,
"C",3,
"D",2,
"F",1)</f>
        <v>3</v>
      </c>
      <c r="P466" s="10"/>
    </row>
    <row r="467" spans="1:16" x14ac:dyDescent="0.3">
      <c r="A467" t="s">
        <v>55</v>
      </c>
      <c r="B467">
        <v>25</v>
      </c>
      <c r="C467" s="6">
        <v>70000</v>
      </c>
      <c r="D467" t="s">
        <v>11</v>
      </c>
      <c r="E467" t="s">
        <v>19</v>
      </c>
      <c r="F467" t="s">
        <v>43</v>
      </c>
      <c r="G467" s="7">
        <v>43800</v>
      </c>
      <c r="H467" t="s">
        <v>41</v>
      </c>
      <c r="I467" t="s">
        <v>15</v>
      </c>
      <c r="J467" t="s">
        <v>69</v>
      </c>
      <c r="K467" t="str">
        <f>IF(HR_Data5[[#This Row],[Age]]&lt;30,"Young",IF(HR_Data5[[#This Row],[Age]]&lt;=45,"Mid-Career","Senior"))</f>
        <v>Young</v>
      </c>
      <c r="L467" s="10">
        <f ca="1">DATEDIF(HR_Data5[[#This Row],[Joining Date]],TODAY(),"Y")</f>
        <v>6</v>
      </c>
      <c r="M467" s="10" t="str">
        <f>IF(HR_Data5[[#This Row],[Salary]]&lt;55000,"Low",IF(HR_Data5[[#This Row],[Salary]]&lt;=65000,"Medium","High"))</f>
        <v>High</v>
      </c>
      <c r="N467" s="10">
        <f>YEAR(HR_Data5[[#This Row],[Joining Date]])</f>
        <v>2019</v>
      </c>
      <c r="O467" s="10" cm="1">
        <f t="array" ref="O467">_xlfn.SWITCH(HR_Data5[[#This Row],[Performance Score]],
"A",5,
"B",4,
"C",3,
"D",2,
"F",1)</f>
        <v>4</v>
      </c>
      <c r="P467" s="10"/>
    </row>
    <row r="468" spans="1:16" x14ac:dyDescent="0.3">
      <c r="A468" t="s">
        <v>55</v>
      </c>
      <c r="B468">
        <v>25</v>
      </c>
      <c r="C468" s="6">
        <v>70000</v>
      </c>
      <c r="D468" t="s">
        <v>18</v>
      </c>
      <c r="E468" t="s">
        <v>19</v>
      </c>
      <c r="F468" t="s">
        <v>20</v>
      </c>
      <c r="G468" s="7">
        <v>43549</v>
      </c>
      <c r="H468" t="s">
        <v>27</v>
      </c>
      <c r="I468" t="s">
        <v>22</v>
      </c>
      <c r="J468" t="s">
        <v>45</v>
      </c>
      <c r="K468" t="str">
        <f>IF(HR_Data5[[#This Row],[Age]]&lt;30,"Young",IF(HR_Data5[[#This Row],[Age]]&lt;=45,"Mid-Career","Senior"))</f>
        <v>Young</v>
      </c>
      <c r="L468" s="10">
        <f ca="1">DATEDIF(HR_Data5[[#This Row],[Joining Date]],TODAY(),"Y")</f>
        <v>6</v>
      </c>
      <c r="M468" s="10" t="str">
        <f>IF(HR_Data5[[#This Row],[Salary]]&lt;55000,"Low",IF(HR_Data5[[#This Row],[Salary]]&lt;=65000,"Medium","High"))</f>
        <v>High</v>
      </c>
      <c r="N468" s="10">
        <f>YEAR(HR_Data5[[#This Row],[Joining Date]])</f>
        <v>2019</v>
      </c>
      <c r="O468" s="10" cm="1">
        <f t="array" ref="O468">_xlfn.SWITCH(HR_Data5[[#This Row],[Performance Score]],
"A",5,
"B",4,
"C",3,
"D",2,
"F",1)</f>
        <v>3</v>
      </c>
      <c r="P468" s="10"/>
    </row>
    <row r="469" spans="1:16" x14ac:dyDescent="0.3">
      <c r="A469" t="s">
        <v>58</v>
      </c>
      <c r="B469">
        <v>35</v>
      </c>
      <c r="C469" s="6">
        <v>70000</v>
      </c>
      <c r="D469" t="s">
        <v>11</v>
      </c>
      <c r="E469" t="s">
        <v>30</v>
      </c>
      <c r="F469" t="s">
        <v>39</v>
      </c>
      <c r="G469" s="7">
        <v>43195</v>
      </c>
      <c r="H469" t="s">
        <v>31</v>
      </c>
      <c r="I469" t="s">
        <v>69</v>
      </c>
      <c r="J469" t="s">
        <v>23</v>
      </c>
      <c r="K469" t="str">
        <f>IF(HR_Data5[[#This Row],[Age]]&lt;30,"Young",IF(HR_Data5[[#This Row],[Age]]&lt;=45,"Mid-Career","Senior"))</f>
        <v>Mid-Career</v>
      </c>
      <c r="L469" s="10">
        <f ca="1">DATEDIF(HR_Data5[[#This Row],[Joining Date]],TODAY(),"Y")</f>
        <v>7</v>
      </c>
      <c r="M469" s="10" t="str">
        <f>IF(HR_Data5[[#This Row],[Salary]]&lt;55000,"Low",IF(HR_Data5[[#This Row],[Salary]]&lt;=65000,"Medium","High"))</f>
        <v>High</v>
      </c>
      <c r="N469" s="10">
        <f>YEAR(HR_Data5[[#This Row],[Joining Date]])</f>
        <v>2018</v>
      </c>
      <c r="O469" s="10" cm="1">
        <f t="array" ref="O469">_xlfn.SWITCH(HR_Data5[[#This Row],[Performance Score]],
"A",5,
"B",4,
"C",3,
"D",2,
"F",1)</f>
        <v>5</v>
      </c>
      <c r="P469" s="10"/>
    </row>
    <row r="470" spans="1:16" x14ac:dyDescent="0.3">
      <c r="A470" t="s">
        <v>56</v>
      </c>
      <c r="B470">
        <v>36</v>
      </c>
      <c r="C470" s="6">
        <v>55000</v>
      </c>
      <c r="D470" t="s">
        <v>11</v>
      </c>
      <c r="E470" t="s">
        <v>12</v>
      </c>
      <c r="F470" t="s">
        <v>13</v>
      </c>
      <c r="G470" s="7">
        <v>43800</v>
      </c>
      <c r="H470" t="s">
        <v>27</v>
      </c>
      <c r="I470" t="s">
        <v>69</v>
      </c>
      <c r="J470" t="s">
        <v>45</v>
      </c>
      <c r="K470" t="str">
        <f>IF(HR_Data5[[#This Row],[Age]]&lt;30,"Young",IF(HR_Data5[[#This Row],[Age]]&lt;=45,"Mid-Career","Senior"))</f>
        <v>Mid-Career</v>
      </c>
      <c r="L470" s="10">
        <f ca="1">DATEDIF(HR_Data5[[#This Row],[Joining Date]],TODAY(),"Y")</f>
        <v>6</v>
      </c>
      <c r="M470" s="10" t="str">
        <f>IF(HR_Data5[[#This Row],[Salary]]&lt;55000,"Low",IF(HR_Data5[[#This Row],[Salary]]&lt;=65000,"Medium","High"))</f>
        <v>Medium</v>
      </c>
      <c r="N470" s="10">
        <f>YEAR(HR_Data5[[#This Row],[Joining Date]])</f>
        <v>2019</v>
      </c>
      <c r="O470" s="10" cm="1">
        <f t="array" ref="O470">_xlfn.SWITCH(HR_Data5[[#This Row],[Performance Score]],
"A",5,
"B",4,
"C",3,
"D",2,
"F",1)</f>
        <v>3</v>
      </c>
      <c r="P470" s="10"/>
    </row>
    <row r="471" spans="1:16" x14ac:dyDescent="0.3">
      <c r="A471" t="s">
        <v>60</v>
      </c>
      <c r="B471">
        <v>30</v>
      </c>
      <c r="C471" s="6">
        <v>70000</v>
      </c>
      <c r="D471" t="s">
        <v>18</v>
      </c>
      <c r="E471" t="s">
        <v>12</v>
      </c>
      <c r="F471" t="s">
        <v>20</v>
      </c>
      <c r="G471" s="7">
        <v>43549</v>
      </c>
      <c r="H471" t="s">
        <v>27</v>
      </c>
      <c r="I471" t="s">
        <v>22</v>
      </c>
      <c r="J471" t="s">
        <v>69</v>
      </c>
      <c r="K471" t="str">
        <f>IF(HR_Data5[[#This Row],[Age]]&lt;30,"Young",IF(HR_Data5[[#This Row],[Age]]&lt;=45,"Mid-Career","Senior"))</f>
        <v>Mid-Career</v>
      </c>
      <c r="L471" s="10">
        <f ca="1">DATEDIF(HR_Data5[[#This Row],[Joining Date]],TODAY(),"Y")</f>
        <v>6</v>
      </c>
      <c r="M471" s="10" t="str">
        <f>IF(HR_Data5[[#This Row],[Salary]]&lt;55000,"Low",IF(HR_Data5[[#This Row],[Salary]]&lt;=65000,"Medium","High"))</f>
        <v>High</v>
      </c>
      <c r="N471" s="10">
        <f>YEAR(HR_Data5[[#This Row],[Joining Date]])</f>
        <v>2019</v>
      </c>
      <c r="O471" s="10" cm="1">
        <f t="array" ref="O471">_xlfn.SWITCH(HR_Data5[[#This Row],[Performance Score]],
"A",5,
"B",4,
"C",3,
"D",2,
"F",1)</f>
        <v>3</v>
      </c>
      <c r="P471" s="10"/>
    </row>
    <row r="472" spans="1:16" x14ac:dyDescent="0.3">
      <c r="A472" t="s">
        <v>51</v>
      </c>
      <c r="B472">
        <v>25</v>
      </c>
      <c r="C472" s="6">
        <v>70000</v>
      </c>
      <c r="D472" t="s">
        <v>11</v>
      </c>
      <c r="E472" t="s">
        <v>26</v>
      </c>
      <c r="F472" t="s">
        <v>13</v>
      </c>
      <c r="G472" s="7">
        <v>43845</v>
      </c>
      <c r="H472" t="s">
        <v>14</v>
      </c>
      <c r="I472" t="s">
        <v>69</v>
      </c>
      <c r="J472" t="s">
        <v>45</v>
      </c>
      <c r="K472" t="str">
        <f>IF(HR_Data5[[#This Row],[Age]]&lt;30,"Young",IF(HR_Data5[[#This Row],[Age]]&lt;=45,"Mid-Career","Senior"))</f>
        <v>Young</v>
      </c>
      <c r="L472" s="10">
        <f ca="1">DATEDIF(HR_Data5[[#This Row],[Joining Date]],TODAY(),"Y")</f>
        <v>6</v>
      </c>
      <c r="M472" s="10" t="str">
        <f>IF(HR_Data5[[#This Row],[Salary]]&lt;55000,"Low",IF(HR_Data5[[#This Row],[Salary]]&lt;=65000,"Medium","High"))</f>
        <v>High</v>
      </c>
      <c r="N472" s="10">
        <f>YEAR(HR_Data5[[#This Row],[Joining Date]])</f>
        <v>2020</v>
      </c>
      <c r="O472" s="10" cm="1">
        <f t="array" ref="O472">_xlfn.SWITCH(HR_Data5[[#This Row],[Performance Score]],
"A",5,
"B",4,
"C",3,
"D",2,
"F",1)</f>
        <v>2</v>
      </c>
      <c r="P472" s="10"/>
    </row>
    <row r="473" spans="1:16" x14ac:dyDescent="0.3">
      <c r="A473" t="s">
        <v>52</v>
      </c>
      <c r="B473">
        <v>40</v>
      </c>
      <c r="C473" s="6">
        <v>65000</v>
      </c>
      <c r="D473" t="s">
        <v>36</v>
      </c>
      <c r="E473" t="s">
        <v>19</v>
      </c>
      <c r="F473" t="s">
        <v>43</v>
      </c>
      <c r="G473" s="7">
        <v>43881</v>
      </c>
      <c r="H473" t="s">
        <v>31</v>
      </c>
      <c r="I473" t="s">
        <v>69</v>
      </c>
      <c r="J473" t="s">
        <v>69</v>
      </c>
      <c r="K473" t="str">
        <f>IF(HR_Data5[[#This Row],[Age]]&lt;30,"Young",IF(HR_Data5[[#This Row],[Age]]&lt;=45,"Mid-Career","Senior"))</f>
        <v>Mid-Career</v>
      </c>
      <c r="L473" s="10">
        <f ca="1">DATEDIF(HR_Data5[[#This Row],[Joining Date]],TODAY(),"Y")</f>
        <v>6</v>
      </c>
      <c r="M473" s="10" t="str">
        <f>IF(HR_Data5[[#This Row],[Salary]]&lt;55000,"Low",IF(HR_Data5[[#This Row],[Salary]]&lt;=65000,"Medium","High"))</f>
        <v>Medium</v>
      </c>
      <c r="N473" s="10">
        <f>YEAR(HR_Data5[[#This Row],[Joining Date]])</f>
        <v>2020</v>
      </c>
      <c r="O473" s="10" cm="1">
        <f t="array" ref="O473">_xlfn.SWITCH(HR_Data5[[#This Row],[Performance Score]],
"A",5,
"B",4,
"C",3,
"D",2,
"F",1)</f>
        <v>5</v>
      </c>
      <c r="P473" s="10"/>
    </row>
    <row r="474" spans="1:16" x14ac:dyDescent="0.3">
      <c r="A474" t="s">
        <v>55</v>
      </c>
      <c r="B474">
        <v>35</v>
      </c>
      <c r="C474" s="6">
        <v>50000</v>
      </c>
      <c r="D474" t="s">
        <v>36</v>
      </c>
      <c r="E474" t="s">
        <v>12</v>
      </c>
      <c r="F474" t="s">
        <v>20</v>
      </c>
      <c r="G474" s="7">
        <v>43881</v>
      </c>
      <c r="H474" t="s">
        <v>31</v>
      </c>
      <c r="I474" t="s">
        <v>32</v>
      </c>
      <c r="J474" t="s">
        <v>28</v>
      </c>
      <c r="K474" t="str">
        <f>IF(HR_Data5[[#This Row],[Age]]&lt;30,"Young",IF(HR_Data5[[#This Row],[Age]]&lt;=45,"Mid-Career","Senior"))</f>
        <v>Mid-Career</v>
      </c>
      <c r="L474" s="10">
        <f ca="1">DATEDIF(HR_Data5[[#This Row],[Joining Date]],TODAY(),"Y")</f>
        <v>6</v>
      </c>
      <c r="M474" s="10" t="str">
        <f>IF(HR_Data5[[#This Row],[Salary]]&lt;55000,"Low",IF(HR_Data5[[#This Row],[Salary]]&lt;=65000,"Medium","High"))</f>
        <v>Low</v>
      </c>
      <c r="N474" s="10">
        <f>YEAR(HR_Data5[[#This Row],[Joining Date]])</f>
        <v>2020</v>
      </c>
      <c r="O474" s="10" cm="1">
        <f t="array" ref="O474">_xlfn.SWITCH(HR_Data5[[#This Row],[Performance Score]],
"A",5,
"B",4,
"C",3,
"D",2,
"F",1)</f>
        <v>5</v>
      </c>
      <c r="P474" s="10"/>
    </row>
    <row r="475" spans="1:16" x14ac:dyDescent="0.3">
      <c r="A475" t="s">
        <v>54</v>
      </c>
      <c r="B475">
        <v>30</v>
      </c>
      <c r="C475" s="6">
        <v>60000</v>
      </c>
      <c r="D475" t="s">
        <v>18</v>
      </c>
      <c r="E475" t="s">
        <v>12</v>
      </c>
      <c r="F475" t="s">
        <v>20</v>
      </c>
      <c r="G475" s="7">
        <v>43845</v>
      </c>
      <c r="H475" t="s">
        <v>27</v>
      </c>
      <c r="I475" t="s">
        <v>15</v>
      </c>
      <c r="J475" t="s">
        <v>69</v>
      </c>
      <c r="K475" t="str">
        <f>IF(HR_Data5[[#This Row],[Age]]&lt;30,"Young",IF(HR_Data5[[#This Row],[Age]]&lt;=45,"Mid-Career","Senior"))</f>
        <v>Mid-Career</v>
      </c>
      <c r="L475" s="10">
        <f ca="1">DATEDIF(HR_Data5[[#This Row],[Joining Date]],TODAY(),"Y")</f>
        <v>6</v>
      </c>
      <c r="M475" s="10" t="str">
        <f>IF(HR_Data5[[#This Row],[Salary]]&lt;55000,"Low",IF(HR_Data5[[#This Row],[Salary]]&lt;=65000,"Medium","High"))</f>
        <v>Medium</v>
      </c>
      <c r="N475" s="10">
        <f>YEAR(HR_Data5[[#This Row],[Joining Date]])</f>
        <v>2020</v>
      </c>
      <c r="O475" s="10" cm="1">
        <f t="array" ref="O475">_xlfn.SWITCH(HR_Data5[[#This Row],[Performance Score]],
"A",5,
"B",4,
"C",3,
"D",2,
"F",1)</f>
        <v>3</v>
      </c>
      <c r="P475" s="10"/>
    </row>
    <row r="476" spans="1:16" x14ac:dyDescent="0.3">
      <c r="A476" t="s">
        <v>58</v>
      </c>
      <c r="B476">
        <v>35</v>
      </c>
      <c r="C476" s="6">
        <v>50000</v>
      </c>
      <c r="D476" t="s">
        <v>18</v>
      </c>
      <c r="E476" t="s">
        <v>37</v>
      </c>
      <c r="F476" t="s">
        <v>44</v>
      </c>
      <c r="G476" s="7">
        <v>43881</v>
      </c>
      <c r="H476" t="s">
        <v>14</v>
      </c>
      <c r="I476" t="s">
        <v>69</v>
      </c>
      <c r="J476" t="s">
        <v>69</v>
      </c>
      <c r="K476" t="str">
        <f>IF(HR_Data5[[#This Row],[Age]]&lt;30,"Young",IF(HR_Data5[[#This Row],[Age]]&lt;=45,"Mid-Career","Senior"))</f>
        <v>Mid-Career</v>
      </c>
      <c r="L476" s="10">
        <f ca="1">DATEDIF(HR_Data5[[#This Row],[Joining Date]],TODAY(),"Y")</f>
        <v>6</v>
      </c>
      <c r="M476" s="10" t="str">
        <f>IF(HR_Data5[[#This Row],[Salary]]&lt;55000,"Low",IF(HR_Data5[[#This Row],[Salary]]&lt;=65000,"Medium","High"))</f>
        <v>Low</v>
      </c>
      <c r="N476" s="10">
        <f>YEAR(HR_Data5[[#This Row],[Joining Date]])</f>
        <v>2020</v>
      </c>
      <c r="O476" s="10" cm="1">
        <f t="array" ref="O476">_xlfn.SWITCH(HR_Data5[[#This Row],[Performance Score]],
"A",5,
"B",4,
"C",3,
"D",2,
"F",1)</f>
        <v>2</v>
      </c>
      <c r="P476" s="10"/>
    </row>
    <row r="477" spans="1:16" x14ac:dyDescent="0.3">
      <c r="A477" t="s">
        <v>53</v>
      </c>
      <c r="B477">
        <v>30</v>
      </c>
      <c r="C477" s="6">
        <v>65000</v>
      </c>
      <c r="D477" t="s">
        <v>11</v>
      </c>
      <c r="E477" t="s">
        <v>37</v>
      </c>
      <c r="F477" t="s">
        <v>43</v>
      </c>
      <c r="G477" s="7">
        <v>43881</v>
      </c>
      <c r="H477" t="s">
        <v>27</v>
      </c>
      <c r="I477" t="s">
        <v>22</v>
      </c>
      <c r="J477" t="s">
        <v>45</v>
      </c>
      <c r="K477" t="str">
        <f>IF(HR_Data5[[#This Row],[Age]]&lt;30,"Young",IF(HR_Data5[[#This Row],[Age]]&lt;=45,"Mid-Career","Senior"))</f>
        <v>Mid-Career</v>
      </c>
      <c r="L477" s="10">
        <f ca="1">DATEDIF(HR_Data5[[#This Row],[Joining Date]],TODAY(),"Y")</f>
        <v>6</v>
      </c>
      <c r="M477" s="10" t="str">
        <f>IF(HR_Data5[[#This Row],[Salary]]&lt;55000,"Low",IF(HR_Data5[[#This Row],[Salary]]&lt;=65000,"Medium","High"))</f>
        <v>Medium</v>
      </c>
      <c r="N477" s="10">
        <f>YEAR(HR_Data5[[#This Row],[Joining Date]])</f>
        <v>2020</v>
      </c>
      <c r="O477" s="10" cm="1">
        <f t="array" ref="O477">_xlfn.SWITCH(HR_Data5[[#This Row],[Performance Score]],
"A",5,
"B",4,
"C",3,
"D",2,
"F",1)</f>
        <v>3</v>
      </c>
      <c r="P477" s="10"/>
    </row>
    <row r="478" spans="1:16" x14ac:dyDescent="0.3">
      <c r="A478" t="s">
        <v>52</v>
      </c>
      <c r="B478">
        <v>30</v>
      </c>
      <c r="C478" s="6">
        <v>60000</v>
      </c>
      <c r="D478" t="s">
        <v>11</v>
      </c>
      <c r="E478" t="s">
        <v>12</v>
      </c>
      <c r="F478" t="s">
        <v>43</v>
      </c>
      <c r="G478" s="7">
        <v>43845</v>
      </c>
      <c r="H478" t="s">
        <v>27</v>
      </c>
      <c r="I478" t="s">
        <v>69</v>
      </c>
      <c r="J478" t="s">
        <v>69</v>
      </c>
      <c r="K478" t="str">
        <f>IF(HR_Data5[[#This Row],[Age]]&lt;30,"Young",IF(HR_Data5[[#This Row],[Age]]&lt;=45,"Mid-Career","Senior"))</f>
        <v>Mid-Career</v>
      </c>
      <c r="L478" s="10">
        <f ca="1">DATEDIF(HR_Data5[[#This Row],[Joining Date]],TODAY(),"Y")</f>
        <v>6</v>
      </c>
      <c r="M478" s="10" t="str">
        <f>IF(HR_Data5[[#This Row],[Salary]]&lt;55000,"Low",IF(HR_Data5[[#This Row],[Salary]]&lt;=65000,"Medium","High"))</f>
        <v>Medium</v>
      </c>
      <c r="N478" s="10">
        <f>YEAR(HR_Data5[[#This Row],[Joining Date]])</f>
        <v>2020</v>
      </c>
      <c r="O478" s="10" cm="1">
        <f t="array" ref="O478">_xlfn.SWITCH(HR_Data5[[#This Row],[Performance Score]],
"A",5,
"B",4,
"C",3,
"D",2,
"F",1)</f>
        <v>3</v>
      </c>
      <c r="P478" s="10"/>
    </row>
    <row r="479" spans="1:16" x14ac:dyDescent="0.3">
      <c r="A479" t="s">
        <v>60</v>
      </c>
      <c r="B479">
        <v>50</v>
      </c>
      <c r="C479" s="6">
        <v>70000</v>
      </c>
      <c r="D479" t="s">
        <v>11</v>
      </c>
      <c r="E479" t="s">
        <v>26</v>
      </c>
      <c r="F479" t="s">
        <v>20</v>
      </c>
      <c r="G479" s="7">
        <v>43845</v>
      </c>
      <c r="H479" t="s">
        <v>41</v>
      </c>
      <c r="I479" t="s">
        <v>69</v>
      </c>
      <c r="J479" t="s">
        <v>45</v>
      </c>
      <c r="K479" t="str">
        <f>IF(HR_Data5[[#This Row],[Age]]&lt;30,"Young",IF(HR_Data5[[#This Row],[Age]]&lt;=45,"Mid-Career","Senior"))</f>
        <v>Senior</v>
      </c>
      <c r="L479" s="10">
        <f ca="1">DATEDIF(HR_Data5[[#This Row],[Joining Date]],TODAY(),"Y")</f>
        <v>6</v>
      </c>
      <c r="M479" s="10" t="str">
        <f>IF(HR_Data5[[#This Row],[Salary]]&lt;55000,"Low",IF(HR_Data5[[#This Row],[Salary]]&lt;=65000,"Medium","High"))</f>
        <v>High</v>
      </c>
      <c r="N479" s="10">
        <f>YEAR(HR_Data5[[#This Row],[Joining Date]])</f>
        <v>2020</v>
      </c>
      <c r="O479" s="10" cm="1">
        <f t="array" ref="O479">_xlfn.SWITCH(HR_Data5[[#This Row],[Performance Score]],
"A",5,
"B",4,
"C",3,
"D",2,
"F",1)</f>
        <v>4</v>
      </c>
      <c r="P479" s="10"/>
    </row>
    <row r="480" spans="1:16" x14ac:dyDescent="0.3">
      <c r="A480" t="s">
        <v>54</v>
      </c>
      <c r="B480">
        <v>25</v>
      </c>
      <c r="C480" s="6">
        <v>65000</v>
      </c>
      <c r="D480" t="s">
        <v>11</v>
      </c>
      <c r="E480" t="s">
        <v>12</v>
      </c>
      <c r="F480" t="s">
        <v>43</v>
      </c>
      <c r="G480" s="7">
        <v>43549</v>
      </c>
      <c r="H480" t="s">
        <v>41</v>
      </c>
      <c r="I480" t="s">
        <v>15</v>
      </c>
      <c r="J480" t="s">
        <v>45</v>
      </c>
      <c r="K480" t="str">
        <f>IF(HR_Data5[[#This Row],[Age]]&lt;30,"Young",IF(HR_Data5[[#This Row],[Age]]&lt;=45,"Mid-Career","Senior"))</f>
        <v>Young</v>
      </c>
      <c r="L480" s="10">
        <f ca="1">DATEDIF(HR_Data5[[#This Row],[Joining Date]],TODAY(),"Y")</f>
        <v>6</v>
      </c>
      <c r="M480" s="10" t="str">
        <f>IF(HR_Data5[[#This Row],[Salary]]&lt;55000,"Low",IF(HR_Data5[[#This Row],[Salary]]&lt;=65000,"Medium","High"))</f>
        <v>Medium</v>
      </c>
      <c r="N480" s="10">
        <f>YEAR(HR_Data5[[#This Row],[Joining Date]])</f>
        <v>2019</v>
      </c>
      <c r="O480" s="10" cm="1">
        <f t="array" ref="O480">_xlfn.SWITCH(HR_Data5[[#This Row],[Performance Score]],
"A",5,
"B",4,
"C",3,
"D",2,
"F",1)</f>
        <v>4</v>
      </c>
      <c r="P480" s="10"/>
    </row>
    <row r="481" spans="1:16" x14ac:dyDescent="0.3">
      <c r="A481" t="s">
        <v>60</v>
      </c>
      <c r="B481">
        <v>35</v>
      </c>
      <c r="C481" s="6">
        <v>70000</v>
      </c>
      <c r="D481" t="s">
        <v>36</v>
      </c>
      <c r="E481" t="s">
        <v>30</v>
      </c>
      <c r="F481" t="s">
        <v>20</v>
      </c>
      <c r="G481" s="7">
        <v>43549</v>
      </c>
      <c r="H481" t="s">
        <v>14</v>
      </c>
      <c r="I481" t="s">
        <v>32</v>
      </c>
      <c r="J481" t="s">
        <v>69</v>
      </c>
      <c r="K481" t="str">
        <f>IF(HR_Data5[[#This Row],[Age]]&lt;30,"Young",IF(HR_Data5[[#This Row],[Age]]&lt;=45,"Mid-Career","Senior"))</f>
        <v>Mid-Career</v>
      </c>
      <c r="L481" s="10">
        <f ca="1">DATEDIF(HR_Data5[[#This Row],[Joining Date]],TODAY(),"Y")</f>
        <v>6</v>
      </c>
      <c r="M481" s="10" t="str">
        <f>IF(HR_Data5[[#This Row],[Salary]]&lt;55000,"Low",IF(HR_Data5[[#This Row],[Salary]]&lt;=65000,"Medium","High"))</f>
        <v>High</v>
      </c>
      <c r="N481" s="10">
        <f>YEAR(HR_Data5[[#This Row],[Joining Date]])</f>
        <v>2019</v>
      </c>
      <c r="O481" s="10" cm="1">
        <f t="array" ref="O481">_xlfn.SWITCH(HR_Data5[[#This Row],[Performance Score]],
"A",5,
"B",4,
"C",3,
"D",2,
"F",1)</f>
        <v>2</v>
      </c>
      <c r="P481" s="10"/>
    </row>
    <row r="482" spans="1:16" x14ac:dyDescent="0.3">
      <c r="A482" t="s">
        <v>52</v>
      </c>
      <c r="B482">
        <v>35</v>
      </c>
      <c r="C482" s="6">
        <v>55000</v>
      </c>
      <c r="D482" t="s">
        <v>36</v>
      </c>
      <c r="E482" t="s">
        <v>19</v>
      </c>
      <c r="F482" t="s">
        <v>44</v>
      </c>
      <c r="G482" s="7">
        <v>43845</v>
      </c>
      <c r="H482" t="s">
        <v>21</v>
      </c>
      <c r="I482" t="s">
        <v>15</v>
      </c>
      <c r="J482" t="s">
        <v>45</v>
      </c>
      <c r="K482" t="str">
        <f>IF(HR_Data5[[#This Row],[Age]]&lt;30,"Young",IF(HR_Data5[[#This Row],[Age]]&lt;=45,"Mid-Career","Senior"))</f>
        <v>Mid-Career</v>
      </c>
      <c r="L482" s="10">
        <f ca="1">DATEDIF(HR_Data5[[#This Row],[Joining Date]],TODAY(),"Y")</f>
        <v>6</v>
      </c>
      <c r="M482" s="10" t="str">
        <f>IF(HR_Data5[[#This Row],[Salary]]&lt;55000,"Low",IF(HR_Data5[[#This Row],[Salary]]&lt;=65000,"Medium","High"))</f>
        <v>Medium</v>
      </c>
      <c r="N482" s="10">
        <f>YEAR(HR_Data5[[#This Row],[Joining Date]])</f>
        <v>2020</v>
      </c>
      <c r="O482" s="10" cm="1">
        <f t="array" ref="O482">_xlfn.SWITCH(HR_Data5[[#This Row],[Performance Score]],
"A",5,
"B",4,
"C",3,
"D",2,
"F",1)</f>
        <v>1</v>
      </c>
      <c r="P482" s="10"/>
    </row>
    <row r="483" spans="1:16" x14ac:dyDescent="0.3">
      <c r="A483" t="s">
        <v>55</v>
      </c>
      <c r="B483">
        <v>50</v>
      </c>
      <c r="C483" s="6" t="s">
        <v>68</v>
      </c>
      <c r="D483" t="s">
        <v>18</v>
      </c>
      <c r="E483" t="s">
        <v>26</v>
      </c>
      <c r="F483" t="s">
        <v>20</v>
      </c>
      <c r="G483" s="7">
        <v>43195</v>
      </c>
      <c r="H483" t="s">
        <v>41</v>
      </c>
      <c r="I483" t="s">
        <v>69</v>
      </c>
      <c r="J483" t="s">
        <v>28</v>
      </c>
      <c r="K483" t="str">
        <f>IF(HR_Data5[[#This Row],[Age]]&lt;30,"Young",IF(HR_Data5[[#This Row],[Age]]&lt;=45,"Mid-Career","Senior"))</f>
        <v>Senior</v>
      </c>
      <c r="L483" s="10">
        <f ca="1">DATEDIF(HR_Data5[[#This Row],[Joining Date]],TODAY(),"Y")</f>
        <v>7</v>
      </c>
      <c r="M483" s="10" t="str">
        <f>IF(HR_Data5[[#This Row],[Salary]]&lt;55000,"Low",IF(HR_Data5[[#This Row],[Salary]]&lt;=65000,"Medium","High"))</f>
        <v>High</v>
      </c>
      <c r="N483" s="10">
        <f>YEAR(HR_Data5[[#This Row],[Joining Date]])</f>
        <v>2018</v>
      </c>
      <c r="O483" s="10" cm="1">
        <f t="array" ref="O483">_xlfn.SWITCH(HR_Data5[[#This Row],[Performance Score]],
"A",5,
"B",4,
"C",3,
"D",2,
"F",1)</f>
        <v>4</v>
      </c>
      <c r="P483" s="10"/>
    </row>
    <row r="484" spans="1:16" x14ac:dyDescent="0.3">
      <c r="A484" t="s">
        <v>54</v>
      </c>
      <c r="B484">
        <v>40</v>
      </c>
      <c r="C484" s="6">
        <v>65000</v>
      </c>
      <c r="D484" t="s">
        <v>11</v>
      </c>
      <c r="E484" t="s">
        <v>30</v>
      </c>
      <c r="F484" t="s">
        <v>43</v>
      </c>
      <c r="G484" s="7">
        <v>43881</v>
      </c>
      <c r="H484" t="s">
        <v>21</v>
      </c>
      <c r="I484" t="s">
        <v>69</v>
      </c>
      <c r="J484" t="s">
        <v>45</v>
      </c>
      <c r="K484" t="str">
        <f>IF(HR_Data5[[#This Row],[Age]]&lt;30,"Young",IF(HR_Data5[[#This Row],[Age]]&lt;=45,"Mid-Career","Senior"))</f>
        <v>Mid-Career</v>
      </c>
      <c r="L484" s="10">
        <f ca="1">DATEDIF(HR_Data5[[#This Row],[Joining Date]],TODAY(),"Y")</f>
        <v>6</v>
      </c>
      <c r="M484" s="10" t="str">
        <f>IF(HR_Data5[[#This Row],[Salary]]&lt;55000,"Low",IF(HR_Data5[[#This Row],[Salary]]&lt;=65000,"Medium","High"))</f>
        <v>Medium</v>
      </c>
      <c r="N484" s="10">
        <f>YEAR(HR_Data5[[#This Row],[Joining Date]])</f>
        <v>2020</v>
      </c>
      <c r="O484" s="10" cm="1">
        <f t="array" ref="O484">_xlfn.SWITCH(HR_Data5[[#This Row],[Performance Score]],
"A",5,
"B",4,
"C",3,
"D",2,
"F",1)</f>
        <v>1</v>
      </c>
      <c r="P484" s="10"/>
    </row>
    <row r="485" spans="1:16" x14ac:dyDescent="0.3">
      <c r="A485" t="s">
        <v>60</v>
      </c>
      <c r="B485">
        <v>40</v>
      </c>
      <c r="C485" s="6">
        <v>55000</v>
      </c>
      <c r="D485" t="s">
        <v>11</v>
      </c>
      <c r="E485" t="s">
        <v>26</v>
      </c>
      <c r="F485" t="s">
        <v>43</v>
      </c>
      <c r="G485" s="7">
        <v>43549</v>
      </c>
      <c r="H485" t="s">
        <v>31</v>
      </c>
      <c r="I485" t="s">
        <v>69</v>
      </c>
      <c r="J485" t="s">
        <v>28</v>
      </c>
      <c r="K485" t="str">
        <f>IF(HR_Data5[[#This Row],[Age]]&lt;30,"Young",IF(HR_Data5[[#This Row],[Age]]&lt;=45,"Mid-Career","Senior"))</f>
        <v>Mid-Career</v>
      </c>
      <c r="L485" s="10">
        <f ca="1">DATEDIF(HR_Data5[[#This Row],[Joining Date]],TODAY(),"Y")</f>
        <v>6</v>
      </c>
      <c r="M485" s="10" t="str">
        <f>IF(HR_Data5[[#This Row],[Salary]]&lt;55000,"Low",IF(HR_Data5[[#This Row],[Salary]]&lt;=65000,"Medium","High"))</f>
        <v>Medium</v>
      </c>
      <c r="N485" s="10">
        <f>YEAR(HR_Data5[[#This Row],[Joining Date]])</f>
        <v>2019</v>
      </c>
      <c r="O485" s="10" cm="1">
        <f t="array" ref="O485">_xlfn.SWITCH(HR_Data5[[#This Row],[Performance Score]],
"A",5,
"B",4,
"C",3,
"D",2,
"F",1)</f>
        <v>5</v>
      </c>
      <c r="P485" s="10"/>
    </row>
    <row r="486" spans="1:16" x14ac:dyDescent="0.3">
      <c r="A486" t="s">
        <v>53</v>
      </c>
      <c r="B486">
        <v>25</v>
      </c>
      <c r="C486" s="6">
        <v>65000</v>
      </c>
      <c r="D486" t="s">
        <v>18</v>
      </c>
      <c r="E486" t="s">
        <v>30</v>
      </c>
      <c r="F486" t="s">
        <v>20</v>
      </c>
      <c r="G486" s="7">
        <v>43881</v>
      </c>
      <c r="H486" t="s">
        <v>41</v>
      </c>
      <c r="I486" t="s">
        <v>69</v>
      </c>
      <c r="J486" t="s">
        <v>69</v>
      </c>
      <c r="K486" t="str">
        <f>IF(HR_Data5[[#This Row],[Age]]&lt;30,"Young",IF(HR_Data5[[#This Row],[Age]]&lt;=45,"Mid-Career","Senior"))</f>
        <v>Young</v>
      </c>
      <c r="L486" s="10">
        <f ca="1">DATEDIF(HR_Data5[[#This Row],[Joining Date]],TODAY(),"Y")</f>
        <v>6</v>
      </c>
      <c r="M486" s="10" t="str">
        <f>IF(HR_Data5[[#This Row],[Salary]]&lt;55000,"Low",IF(HR_Data5[[#This Row],[Salary]]&lt;=65000,"Medium","High"))</f>
        <v>Medium</v>
      </c>
      <c r="N486" s="10">
        <f>YEAR(HR_Data5[[#This Row],[Joining Date]])</f>
        <v>2020</v>
      </c>
      <c r="O486" s="10" cm="1">
        <f t="array" ref="O486">_xlfn.SWITCH(HR_Data5[[#This Row],[Performance Score]],
"A",5,
"B",4,
"C",3,
"D",2,
"F",1)</f>
        <v>4</v>
      </c>
      <c r="P486" s="10"/>
    </row>
    <row r="487" spans="1:16" x14ac:dyDescent="0.3">
      <c r="A487" t="s">
        <v>56</v>
      </c>
      <c r="B487">
        <v>25</v>
      </c>
      <c r="C487" s="6">
        <v>65000</v>
      </c>
      <c r="D487" t="s">
        <v>11</v>
      </c>
      <c r="E487" t="s">
        <v>19</v>
      </c>
      <c r="F487" t="s">
        <v>20</v>
      </c>
      <c r="G487" s="7">
        <v>43800</v>
      </c>
      <c r="H487" t="s">
        <v>41</v>
      </c>
      <c r="I487" t="s">
        <v>22</v>
      </c>
      <c r="J487" t="s">
        <v>69</v>
      </c>
      <c r="K487" t="str">
        <f>IF(HR_Data5[[#This Row],[Age]]&lt;30,"Young",IF(HR_Data5[[#This Row],[Age]]&lt;=45,"Mid-Career","Senior"))</f>
        <v>Young</v>
      </c>
      <c r="L487" s="10">
        <f ca="1">DATEDIF(HR_Data5[[#This Row],[Joining Date]],TODAY(),"Y")</f>
        <v>6</v>
      </c>
      <c r="M487" s="10" t="str">
        <f>IF(HR_Data5[[#This Row],[Salary]]&lt;55000,"Low",IF(HR_Data5[[#This Row],[Salary]]&lt;=65000,"Medium","High"))</f>
        <v>Medium</v>
      </c>
      <c r="N487" s="10">
        <f>YEAR(HR_Data5[[#This Row],[Joining Date]])</f>
        <v>2019</v>
      </c>
      <c r="O487" s="10" cm="1">
        <f t="array" ref="O487">_xlfn.SWITCH(HR_Data5[[#This Row],[Performance Score]],
"A",5,
"B",4,
"C",3,
"D",2,
"F",1)</f>
        <v>4</v>
      </c>
      <c r="P487" s="10"/>
    </row>
    <row r="488" spans="1:16" x14ac:dyDescent="0.3">
      <c r="A488" t="s">
        <v>59</v>
      </c>
      <c r="B488">
        <v>36</v>
      </c>
      <c r="C488" s="6">
        <v>55000</v>
      </c>
      <c r="D488" t="s">
        <v>11</v>
      </c>
      <c r="E488" t="s">
        <v>19</v>
      </c>
      <c r="F488" t="s">
        <v>20</v>
      </c>
      <c r="G488" s="7">
        <v>43845</v>
      </c>
      <c r="H488" t="s">
        <v>14</v>
      </c>
      <c r="I488" t="s">
        <v>32</v>
      </c>
      <c r="J488" t="s">
        <v>28</v>
      </c>
      <c r="K488" t="str">
        <f>IF(HR_Data5[[#This Row],[Age]]&lt;30,"Young",IF(HR_Data5[[#This Row],[Age]]&lt;=45,"Mid-Career","Senior"))</f>
        <v>Mid-Career</v>
      </c>
      <c r="L488" s="10">
        <f ca="1">DATEDIF(HR_Data5[[#This Row],[Joining Date]],TODAY(),"Y")</f>
        <v>6</v>
      </c>
      <c r="M488" s="10" t="str">
        <f>IF(HR_Data5[[#This Row],[Salary]]&lt;55000,"Low",IF(HR_Data5[[#This Row],[Salary]]&lt;=65000,"Medium","High"))</f>
        <v>Medium</v>
      </c>
      <c r="N488" s="10">
        <f>YEAR(HR_Data5[[#This Row],[Joining Date]])</f>
        <v>2020</v>
      </c>
      <c r="O488" s="10" cm="1">
        <f t="array" ref="O488">_xlfn.SWITCH(HR_Data5[[#This Row],[Performance Score]],
"A",5,
"B",4,
"C",3,
"D",2,
"F",1)</f>
        <v>2</v>
      </c>
      <c r="P488" s="10"/>
    </row>
    <row r="489" spans="1:16" x14ac:dyDescent="0.3">
      <c r="A489" t="s">
        <v>56</v>
      </c>
      <c r="B489">
        <v>50</v>
      </c>
      <c r="C489" s="6">
        <v>60000</v>
      </c>
      <c r="D489" t="s">
        <v>11</v>
      </c>
      <c r="E489" t="s">
        <v>37</v>
      </c>
      <c r="F489" t="s">
        <v>39</v>
      </c>
      <c r="G489" s="7">
        <v>43195</v>
      </c>
      <c r="H489" t="s">
        <v>21</v>
      </c>
      <c r="I489" t="s">
        <v>69</v>
      </c>
      <c r="J489" t="s">
        <v>69</v>
      </c>
      <c r="K489" t="str">
        <f>IF(HR_Data5[[#This Row],[Age]]&lt;30,"Young",IF(HR_Data5[[#This Row],[Age]]&lt;=45,"Mid-Career","Senior"))</f>
        <v>Senior</v>
      </c>
      <c r="L489" s="10">
        <f ca="1">DATEDIF(HR_Data5[[#This Row],[Joining Date]],TODAY(),"Y")</f>
        <v>7</v>
      </c>
      <c r="M489" s="10" t="str">
        <f>IF(HR_Data5[[#This Row],[Salary]]&lt;55000,"Low",IF(HR_Data5[[#This Row],[Salary]]&lt;=65000,"Medium","High"))</f>
        <v>Medium</v>
      </c>
      <c r="N489" s="10">
        <f>YEAR(HR_Data5[[#This Row],[Joining Date]])</f>
        <v>2018</v>
      </c>
      <c r="O489" s="10" cm="1">
        <f t="array" ref="O489">_xlfn.SWITCH(HR_Data5[[#This Row],[Performance Score]],
"A",5,
"B",4,
"C",3,
"D",2,
"F",1)</f>
        <v>1</v>
      </c>
      <c r="P489" s="10"/>
    </row>
    <row r="490" spans="1:16" x14ac:dyDescent="0.3">
      <c r="A490" t="s">
        <v>52</v>
      </c>
      <c r="B490">
        <v>40</v>
      </c>
      <c r="C490" s="6">
        <v>50000</v>
      </c>
      <c r="D490" t="s">
        <v>11</v>
      </c>
      <c r="E490" t="s">
        <v>30</v>
      </c>
      <c r="F490" t="s">
        <v>43</v>
      </c>
      <c r="G490" s="7">
        <v>43800</v>
      </c>
      <c r="H490" t="s">
        <v>41</v>
      </c>
      <c r="I490" t="s">
        <v>69</v>
      </c>
      <c r="J490" t="s">
        <v>69</v>
      </c>
      <c r="K490" t="str">
        <f>IF(HR_Data5[[#This Row],[Age]]&lt;30,"Young",IF(HR_Data5[[#This Row],[Age]]&lt;=45,"Mid-Career","Senior"))</f>
        <v>Mid-Career</v>
      </c>
      <c r="L490" s="10">
        <f ca="1">DATEDIF(HR_Data5[[#This Row],[Joining Date]],TODAY(),"Y")</f>
        <v>6</v>
      </c>
      <c r="M490" s="10" t="str">
        <f>IF(HR_Data5[[#This Row],[Salary]]&lt;55000,"Low",IF(HR_Data5[[#This Row],[Salary]]&lt;=65000,"Medium","High"))</f>
        <v>Low</v>
      </c>
      <c r="N490" s="10">
        <f>YEAR(HR_Data5[[#This Row],[Joining Date]])</f>
        <v>2019</v>
      </c>
      <c r="O490" s="10" cm="1">
        <f t="array" ref="O490">_xlfn.SWITCH(HR_Data5[[#This Row],[Performance Score]],
"A",5,
"B",4,
"C",3,
"D",2,
"F",1)</f>
        <v>4</v>
      </c>
      <c r="P490" s="10"/>
    </row>
    <row r="491" spans="1:16" x14ac:dyDescent="0.3">
      <c r="A491" t="s">
        <v>58</v>
      </c>
      <c r="B491">
        <v>30</v>
      </c>
      <c r="C491" s="6">
        <v>70000</v>
      </c>
      <c r="D491" t="s">
        <v>11</v>
      </c>
      <c r="E491" t="s">
        <v>37</v>
      </c>
      <c r="F491" t="s">
        <v>43</v>
      </c>
      <c r="G491" s="7">
        <v>43800</v>
      </c>
      <c r="H491" t="s">
        <v>41</v>
      </c>
      <c r="I491" t="s">
        <v>69</v>
      </c>
      <c r="J491" t="s">
        <v>28</v>
      </c>
      <c r="K491" t="str">
        <f>IF(HR_Data5[[#This Row],[Age]]&lt;30,"Young",IF(HR_Data5[[#This Row],[Age]]&lt;=45,"Mid-Career","Senior"))</f>
        <v>Mid-Career</v>
      </c>
      <c r="L491" s="10">
        <f ca="1">DATEDIF(HR_Data5[[#This Row],[Joining Date]],TODAY(),"Y")</f>
        <v>6</v>
      </c>
      <c r="M491" s="10" t="str">
        <f>IF(HR_Data5[[#This Row],[Salary]]&lt;55000,"Low",IF(HR_Data5[[#This Row],[Salary]]&lt;=65000,"Medium","High"))</f>
        <v>High</v>
      </c>
      <c r="N491" s="10">
        <f>YEAR(HR_Data5[[#This Row],[Joining Date]])</f>
        <v>2019</v>
      </c>
      <c r="O491" s="10" cm="1">
        <f t="array" ref="O491">_xlfn.SWITCH(HR_Data5[[#This Row],[Performance Score]],
"A",5,
"B",4,
"C",3,
"D",2,
"F",1)</f>
        <v>4</v>
      </c>
      <c r="P491" s="10"/>
    </row>
    <row r="492" spans="1:16" x14ac:dyDescent="0.3">
      <c r="A492" t="s">
        <v>59</v>
      </c>
      <c r="B492">
        <v>35</v>
      </c>
      <c r="C492" s="6">
        <v>65000</v>
      </c>
      <c r="D492" t="s">
        <v>18</v>
      </c>
      <c r="E492" t="s">
        <v>30</v>
      </c>
      <c r="F492" t="s">
        <v>39</v>
      </c>
      <c r="G492" s="7">
        <v>43800</v>
      </c>
      <c r="H492" t="s">
        <v>14</v>
      </c>
      <c r="I492" t="s">
        <v>32</v>
      </c>
      <c r="J492" t="s">
        <v>69</v>
      </c>
      <c r="K492" t="str">
        <f>IF(HR_Data5[[#This Row],[Age]]&lt;30,"Young",IF(HR_Data5[[#This Row],[Age]]&lt;=45,"Mid-Career","Senior"))</f>
        <v>Mid-Career</v>
      </c>
      <c r="L492" s="10">
        <f ca="1">DATEDIF(HR_Data5[[#This Row],[Joining Date]],TODAY(),"Y")</f>
        <v>6</v>
      </c>
      <c r="M492" s="10" t="str">
        <f>IF(HR_Data5[[#This Row],[Salary]]&lt;55000,"Low",IF(HR_Data5[[#This Row],[Salary]]&lt;=65000,"Medium","High"))</f>
        <v>Medium</v>
      </c>
      <c r="N492" s="10">
        <f>YEAR(HR_Data5[[#This Row],[Joining Date]])</f>
        <v>2019</v>
      </c>
      <c r="O492" s="10" cm="1">
        <f t="array" ref="O492">_xlfn.SWITCH(HR_Data5[[#This Row],[Performance Score]],
"A",5,
"B",4,
"C",3,
"D",2,
"F",1)</f>
        <v>2</v>
      </c>
      <c r="P492" s="10"/>
    </row>
    <row r="493" spans="1:16" x14ac:dyDescent="0.3">
      <c r="A493" t="s">
        <v>51</v>
      </c>
      <c r="B493">
        <v>25</v>
      </c>
      <c r="C493" s="6">
        <v>70000</v>
      </c>
      <c r="D493" t="s">
        <v>11</v>
      </c>
      <c r="E493" t="s">
        <v>37</v>
      </c>
      <c r="F493" t="s">
        <v>20</v>
      </c>
      <c r="G493" s="7">
        <v>43845</v>
      </c>
      <c r="H493" t="s">
        <v>14</v>
      </c>
      <c r="I493" t="s">
        <v>15</v>
      </c>
      <c r="J493" t="s">
        <v>23</v>
      </c>
      <c r="K493" t="str">
        <f>IF(HR_Data5[[#This Row],[Age]]&lt;30,"Young",IF(HR_Data5[[#This Row],[Age]]&lt;=45,"Mid-Career","Senior"))</f>
        <v>Young</v>
      </c>
      <c r="L493" s="10">
        <f ca="1">DATEDIF(HR_Data5[[#This Row],[Joining Date]],TODAY(),"Y")</f>
        <v>6</v>
      </c>
      <c r="M493" s="10" t="str">
        <f>IF(HR_Data5[[#This Row],[Salary]]&lt;55000,"Low",IF(HR_Data5[[#This Row],[Salary]]&lt;=65000,"Medium","High"))</f>
        <v>High</v>
      </c>
      <c r="N493" s="10">
        <f>YEAR(HR_Data5[[#This Row],[Joining Date]])</f>
        <v>2020</v>
      </c>
      <c r="O493" s="10" cm="1">
        <f t="array" ref="O493">_xlfn.SWITCH(HR_Data5[[#This Row],[Performance Score]],
"A",5,
"B",4,
"C",3,
"D",2,
"F",1)</f>
        <v>2</v>
      </c>
      <c r="P493" s="10"/>
    </row>
    <row r="494" spans="1:16" x14ac:dyDescent="0.3">
      <c r="A494" t="s">
        <v>53</v>
      </c>
      <c r="B494">
        <v>35</v>
      </c>
      <c r="C494" s="6" t="s">
        <v>68</v>
      </c>
      <c r="D494" t="s">
        <v>18</v>
      </c>
      <c r="E494" t="s">
        <v>19</v>
      </c>
      <c r="F494" t="s">
        <v>44</v>
      </c>
      <c r="G494" s="7">
        <v>43549</v>
      </c>
      <c r="H494" t="s">
        <v>21</v>
      </c>
      <c r="I494" t="s">
        <v>32</v>
      </c>
      <c r="J494" t="s">
        <v>69</v>
      </c>
      <c r="K494" t="str">
        <f>IF(HR_Data5[[#This Row],[Age]]&lt;30,"Young",IF(HR_Data5[[#This Row],[Age]]&lt;=45,"Mid-Career","Senior"))</f>
        <v>Mid-Career</v>
      </c>
      <c r="L494" s="10">
        <f ca="1">DATEDIF(HR_Data5[[#This Row],[Joining Date]],TODAY(),"Y")</f>
        <v>6</v>
      </c>
      <c r="M494" s="10" t="str">
        <f>IF(HR_Data5[[#This Row],[Salary]]&lt;55000,"Low",IF(HR_Data5[[#This Row],[Salary]]&lt;=65000,"Medium","High"))</f>
        <v>High</v>
      </c>
      <c r="N494" s="10">
        <f>YEAR(HR_Data5[[#This Row],[Joining Date]])</f>
        <v>2019</v>
      </c>
      <c r="O494" s="10" cm="1">
        <f t="array" ref="O494">_xlfn.SWITCH(HR_Data5[[#This Row],[Performance Score]],
"A",5,
"B",4,
"C",3,
"D",2,
"F",1)</f>
        <v>1</v>
      </c>
      <c r="P494" s="10"/>
    </row>
    <row r="495" spans="1:16" x14ac:dyDescent="0.3">
      <c r="A495" t="s">
        <v>51</v>
      </c>
      <c r="B495">
        <v>35</v>
      </c>
      <c r="C495" s="6">
        <v>55000</v>
      </c>
      <c r="D495" t="s">
        <v>11</v>
      </c>
      <c r="E495" t="s">
        <v>26</v>
      </c>
      <c r="F495" t="s">
        <v>20</v>
      </c>
      <c r="G495" s="7">
        <v>43845</v>
      </c>
      <c r="H495" t="s">
        <v>31</v>
      </c>
      <c r="I495" t="s">
        <v>32</v>
      </c>
      <c r="J495" t="s">
        <v>69</v>
      </c>
      <c r="K495" t="str">
        <f>IF(HR_Data5[[#This Row],[Age]]&lt;30,"Young",IF(HR_Data5[[#This Row],[Age]]&lt;=45,"Mid-Career","Senior"))</f>
        <v>Mid-Career</v>
      </c>
      <c r="L495" s="10">
        <f ca="1">DATEDIF(HR_Data5[[#This Row],[Joining Date]],TODAY(),"Y")</f>
        <v>6</v>
      </c>
      <c r="M495" s="10" t="str">
        <f>IF(HR_Data5[[#This Row],[Salary]]&lt;55000,"Low",IF(HR_Data5[[#This Row],[Salary]]&lt;=65000,"Medium","High"))</f>
        <v>Medium</v>
      </c>
      <c r="N495" s="10">
        <f>YEAR(HR_Data5[[#This Row],[Joining Date]])</f>
        <v>2020</v>
      </c>
      <c r="O495" s="10" cm="1">
        <f t="array" ref="O495">_xlfn.SWITCH(HR_Data5[[#This Row],[Performance Score]],
"A",5,
"B",4,
"C",3,
"D",2,
"F",1)</f>
        <v>5</v>
      </c>
      <c r="P495" s="10"/>
    </row>
    <row r="496" spans="1:16" x14ac:dyDescent="0.3">
      <c r="A496" t="s">
        <v>54</v>
      </c>
      <c r="B496">
        <v>36</v>
      </c>
      <c r="C496" s="6">
        <v>70000</v>
      </c>
      <c r="D496" t="s">
        <v>36</v>
      </c>
      <c r="E496" t="s">
        <v>37</v>
      </c>
      <c r="F496" t="s">
        <v>20</v>
      </c>
      <c r="G496" s="7">
        <v>43549</v>
      </c>
      <c r="H496" t="s">
        <v>31</v>
      </c>
      <c r="I496" t="s">
        <v>32</v>
      </c>
      <c r="J496" t="s">
        <v>69</v>
      </c>
      <c r="K496" t="str">
        <f>IF(HR_Data5[[#This Row],[Age]]&lt;30,"Young",IF(HR_Data5[[#This Row],[Age]]&lt;=45,"Mid-Career","Senior"))</f>
        <v>Mid-Career</v>
      </c>
      <c r="L496" s="10">
        <f ca="1">DATEDIF(HR_Data5[[#This Row],[Joining Date]],TODAY(),"Y")</f>
        <v>6</v>
      </c>
      <c r="M496" s="10" t="str">
        <f>IF(HR_Data5[[#This Row],[Salary]]&lt;55000,"Low",IF(HR_Data5[[#This Row],[Salary]]&lt;=65000,"Medium","High"))</f>
        <v>High</v>
      </c>
      <c r="N496" s="10">
        <f>YEAR(HR_Data5[[#This Row],[Joining Date]])</f>
        <v>2019</v>
      </c>
      <c r="O496" s="10" cm="1">
        <f t="array" ref="O496">_xlfn.SWITCH(HR_Data5[[#This Row],[Performance Score]],
"A",5,
"B",4,
"C",3,
"D",2,
"F",1)</f>
        <v>5</v>
      </c>
      <c r="P496" s="10"/>
    </row>
    <row r="497" spans="1:16" x14ac:dyDescent="0.3">
      <c r="A497" t="s">
        <v>59</v>
      </c>
      <c r="B497">
        <v>40</v>
      </c>
      <c r="C497" s="6">
        <v>55000</v>
      </c>
      <c r="D497" t="s">
        <v>36</v>
      </c>
      <c r="E497" t="s">
        <v>30</v>
      </c>
      <c r="F497" t="s">
        <v>39</v>
      </c>
      <c r="G497" s="7">
        <v>43800</v>
      </c>
      <c r="H497" t="s">
        <v>27</v>
      </c>
      <c r="I497" t="s">
        <v>69</v>
      </c>
      <c r="J497" t="s">
        <v>69</v>
      </c>
      <c r="K497" t="str">
        <f>IF(HR_Data5[[#This Row],[Age]]&lt;30,"Young",IF(HR_Data5[[#This Row],[Age]]&lt;=45,"Mid-Career","Senior"))</f>
        <v>Mid-Career</v>
      </c>
      <c r="L497" s="10">
        <f ca="1">DATEDIF(HR_Data5[[#This Row],[Joining Date]],TODAY(),"Y")</f>
        <v>6</v>
      </c>
      <c r="M497" s="10" t="str">
        <f>IF(HR_Data5[[#This Row],[Salary]]&lt;55000,"Low",IF(HR_Data5[[#This Row],[Salary]]&lt;=65000,"Medium","High"))</f>
        <v>Medium</v>
      </c>
      <c r="N497" s="10">
        <f>YEAR(HR_Data5[[#This Row],[Joining Date]])</f>
        <v>2019</v>
      </c>
      <c r="O497" s="10" cm="1">
        <f t="array" ref="O497">_xlfn.SWITCH(HR_Data5[[#This Row],[Performance Score]],
"A",5,
"B",4,
"C",3,
"D",2,
"F",1)</f>
        <v>3</v>
      </c>
      <c r="P497" s="10"/>
    </row>
    <row r="498" spans="1:16" x14ac:dyDescent="0.3">
      <c r="A498" t="s">
        <v>51</v>
      </c>
      <c r="B498">
        <v>25</v>
      </c>
      <c r="C498" s="6">
        <v>70000</v>
      </c>
      <c r="D498" t="s">
        <v>36</v>
      </c>
      <c r="E498" t="s">
        <v>30</v>
      </c>
      <c r="F498" t="s">
        <v>43</v>
      </c>
      <c r="G498" s="7">
        <v>43800</v>
      </c>
      <c r="H498" t="s">
        <v>41</v>
      </c>
      <c r="I498" t="s">
        <v>69</v>
      </c>
      <c r="J498" t="s">
        <v>45</v>
      </c>
      <c r="K498" t="str">
        <f>IF(HR_Data5[[#This Row],[Age]]&lt;30,"Young",IF(HR_Data5[[#This Row],[Age]]&lt;=45,"Mid-Career","Senior"))</f>
        <v>Young</v>
      </c>
      <c r="L498" s="10">
        <f ca="1">DATEDIF(HR_Data5[[#This Row],[Joining Date]],TODAY(),"Y")</f>
        <v>6</v>
      </c>
      <c r="M498" s="10" t="str">
        <f>IF(HR_Data5[[#This Row],[Salary]]&lt;55000,"Low",IF(HR_Data5[[#This Row],[Salary]]&lt;=65000,"Medium","High"))</f>
        <v>High</v>
      </c>
      <c r="N498" s="10">
        <f>YEAR(HR_Data5[[#This Row],[Joining Date]])</f>
        <v>2019</v>
      </c>
      <c r="O498" s="10" cm="1">
        <f t="array" ref="O498">_xlfn.SWITCH(HR_Data5[[#This Row],[Performance Score]],
"A",5,
"B",4,
"C",3,
"D",2,
"F",1)</f>
        <v>4</v>
      </c>
      <c r="P498" s="10"/>
    </row>
    <row r="499" spans="1:16" x14ac:dyDescent="0.3">
      <c r="A499" t="s">
        <v>51</v>
      </c>
      <c r="B499">
        <v>35</v>
      </c>
      <c r="C499" s="6">
        <v>50000</v>
      </c>
      <c r="D499" t="s">
        <v>36</v>
      </c>
      <c r="E499" t="s">
        <v>19</v>
      </c>
      <c r="F499" t="s">
        <v>20</v>
      </c>
      <c r="G499" s="7">
        <v>43195</v>
      </c>
      <c r="H499" t="s">
        <v>21</v>
      </c>
      <c r="I499" t="s">
        <v>22</v>
      </c>
      <c r="J499" t="s">
        <v>69</v>
      </c>
      <c r="K499" t="str">
        <f>IF(HR_Data5[[#This Row],[Age]]&lt;30,"Young",IF(HR_Data5[[#This Row],[Age]]&lt;=45,"Mid-Career","Senior"))</f>
        <v>Mid-Career</v>
      </c>
      <c r="L499" s="10">
        <f ca="1">DATEDIF(HR_Data5[[#This Row],[Joining Date]],TODAY(),"Y")</f>
        <v>7</v>
      </c>
      <c r="M499" s="10" t="str">
        <f>IF(HR_Data5[[#This Row],[Salary]]&lt;55000,"Low",IF(HR_Data5[[#This Row],[Salary]]&lt;=65000,"Medium","High"))</f>
        <v>Low</v>
      </c>
      <c r="N499" s="10">
        <f>YEAR(HR_Data5[[#This Row],[Joining Date]])</f>
        <v>2018</v>
      </c>
      <c r="O499" s="10" cm="1">
        <f t="array" ref="O499">_xlfn.SWITCH(HR_Data5[[#This Row],[Performance Score]],
"A",5,
"B",4,
"C",3,
"D",2,
"F",1)</f>
        <v>1</v>
      </c>
      <c r="P499" s="10"/>
    </row>
    <row r="500" spans="1:16" x14ac:dyDescent="0.3">
      <c r="A500" t="s">
        <v>60</v>
      </c>
      <c r="B500">
        <v>25</v>
      </c>
      <c r="C500" s="6">
        <v>50000</v>
      </c>
      <c r="D500" t="s">
        <v>18</v>
      </c>
      <c r="E500" t="s">
        <v>30</v>
      </c>
      <c r="F500" t="s">
        <v>43</v>
      </c>
      <c r="G500" s="7">
        <v>43549</v>
      </c>
      <c r="H500" t="s">
        <v>41</v>
      </c>
      <c r="I500" t="s">
        <v>15</v>
      </c>
      <c r="J500" t="s">
        <v>69</v>
      </c>
      <c r="K500" t="str">
        <f>IF(HR_Data5[[#This Row],[Age]]&lt;30,"Young",IF(HR_Data5[[#This Row],[Age]]&lt;=45,"Mid-Career","Senior"))</f>
        <v>Young</v>
      </c>
      <c r="L500" s="10">
        <f ca="1">DATEDIF(HR_Data5[[#This Row],[Joining Date]],TODAY(),"Y")</f>
        <v>6</v>
      </c>
      <c r="M500" s="10" t="str">
        <f>IF(HR_Data5[[#This Row],[Salary]]&lt;55000,"Low",IF(HR_Data5[[#This Row],[Salary]]&lt;=65000,"Medium","High"))</f>
        <v>Low</v>
      </c>
      <c r="N500" s="10">
        <f>YEAR(HR_Data5[[#This Row],[Joining Date]])</f>
        <v>2019</v>
      </c>
      <c r="O500" s="10" cm="1">
        <f t="array" ref="O500">_xlfn.SWITCH(HR_Data5[[#This Row],[Performance Score]],
"A",5,
"B",4,
"C",3,
"D",2,
"F",1)</f>
        <v>4</v>
      </c>
      <c r="P500" s="10"/>
    </row>
    <row r="501" spans="1:16" x14ac:dyDescent="0.3">
      <c r="A501" t="s">
        <v>56</v>
      </c>
      <c r="B501">
        <v>30</v>
      </c>
      <c r="C501" s="6">
        <v>50000</v>
      </c>
      <c r="D501" t="s">
        <v>18</v>
      </c>
      <c r="E501" t="s">
        <v>12</v>
      </c>
      <c r="F501" t="s">
        <v>13</v>
      </c>
      <c r="G501" s="7">
        <v>43800</v>
      </c>
      <c r="H501" t="s">
        <v>21</v>
      </c>
      <c r="I501" t="s">
        <v>69</v>
      </c>
      <c r="J501" t="s">
        <v>28</v>
      </c>
      <c r="K501" t="str">
        <f>IF(HR_Data5[[#This Row],[Age]]&lt;30,"Young",IF(HR_Data5[[#This Row],[Age]]&lt;=45,"Mid-Career","Senior"))</f>
        <v>Mid-Career</v>
      </c>
      <c r="L501" s="10">
        <f ca="1">DATEDIF(HR_Data5[[#This Row],[Joining Date]],TODAY(),"Y")</f>
        <v>6</v>
      </c>
      <c r="M501" s="10" t="str">
        <f>IF(HR_Data5[[#This Row],[Salary]]&lt;55000,"Low",IF(HR_Data5[[#This Row],[Salary]]&lt;=65000,"Medium","High"))</f>
        <v>Low</v>
      </c>
      <c r="N501" s="10">
        <f>YEAR(HR_Data5[[#This Row],[Joining Date]])</f>
        <v>2019</v>
      </c>
      <c r="O501" s="10" cm="1">
        <f t="array" ref="O501">_xlfn.SWITCH(HR_Data5[[#This Row],[Performance Score]],
"A",5,
"B",4,
"C",3,
"D",2,
"F",1)</f>
        <v>1</v>
      </c>
      <c r="P501" s="10"/>
    </row>
    <row r="502" spans="1:16" x14ac:dyDescent="0.3">
      <c r="A502" t="s">
        <v>60</v>
      </c>
      <c r="B502">
        <v>36</v>
      </c>
      <c r="C502" s="6">
        <v>50000</v>
      </c>
      <c r="D502" t="s">
        <v>11</v>
      </c>
      <c r="E502" t="s">
        <v>26</v>
      </c>
      <c r="F502" t="s">
        <v>43</v>
      </c>
      <c r="G502" s="7">
        <v>43881</v>
      </c>
      <c r="H502" t="s">
        <v>21</v>
      </c>
      <c r="I502" t="s">
        <v>32</v>
      </c>
      <c r="J502" t="s">
        <v>23</v>
      </c>
      <c r="K502" t="str">
        <f>IF(HR_Data5[[#This Row],[Age]]&lt;30,"Young",IF(HR_Data5[[#This Row],[Age]]&lt;=45,"Mid-Career","Senior"))</f>
        <v>Mid-Career</v>
      </c>
      <c r="L502" s="10">
        <f ca="1">DATEDIF(HR_Data5[[#This Row],[Joining Date]],TODAY(),"Y")</f>
        <v>6</v>
      </c>
      <c r="M502" s="10" t="str">
        <f>IF(HR_Data5[[#This Row],[Salary]]&lt;55000,"Low",IF(HR_Data5[[#This Row],[Salary]]&lt;=65000,"Medium","High"))</f>
        <v>Low</v>
      </c>
      <c r="N502" s="10">
        <f>YEAR(HR_Data5[[#This Row],[Joining Date]])</f>
        <v>2020</v>
      </c>
      <c r="O502" s="10" cm="1">
        <f t="array" ref="O502">_xlfn.SWITCH(HR_Data5[[#This Row],[Performance Score]],
"A",5,
"B",4,
"C",3,
"D",2,
"F",1)</f>
        <v>1</v>
      </c>
      <c r="P502" s="10"/>
    </row>
    <row r="503" spans="1:16" x14ac:dyDescent="0.3">
      <c r="A503" t="s">
        <v>59</v>
      </c>
      <c r="B503">
        <v>30</v>
      </c>
      <c r="C503" s="6">
        <v>50000</v>
      </c>
      <c r="D503" t="s">
        <v>36</v>
      </c>
      <c r="E503" t="s">
        <v>37</v>
      </c>
      <c r="F503" t="s">
        <v>44</v>
      </c>
      <c r="G503" s="7">
        <v>43195</v>
      </c>
      <c r="H503" t="s">
        <v>21</v>
      </c>
      <c r="I503" t="s">
        <v>15</v>
      </c>
      <c r="J503" t="s">
        <v>45</v>
      </c>
      <c r="K503" t="str">
        <f>IF(HR_Data5[[#This Row],[Age]]&lt;30,"Young",IF(HR_Data5[[#This Row],[Age]]&lt;=45,"Mid-Career","Senior"))</f>
        <v>Mid-Career</v>
      </c>
      <c r="L503" s="10">
        <f ca="1">DATEDIF(HR_Data5[[#This Row],[Joining Date]],TODAY(),"Y")</f>
        <v>7</v>
      </c>
      <c r="M503" s="10" t="str">
        <f>IF(HR_Data5[[#This Row],[Salary]]&lt;55000,"Low",IF(HR_Data5[[#This Row],[Salary]]&lt;=65000,"Medium","High"))</f>
        <v>Low</v>
      </c>
      <c r="N503" s="10">
        <f>YEAR(HR_Data5[[#This Row],[Joining Date]])</f>
        <v>2018</v>
      </c>
      <c r="O503" s="10" cm="1">
        <f t="array" ref="O503">_xlfn.SWITCH(HR_Data5[[#This Row],[Performance Score]],
"A",5,
"B",4,
"C",3,
"D",2,
"F",1)</f>
        <v>1</v>
      </c>
      <c r="P503" s="10"/>
    </row>
    <row r="504" spans="1:16" x14ac:dyDescent="0.3">
      <c r="A504" t="s">
        <v>59</v>
      </c>
      <c r="B504">
        <v>25</v>
      </c>
      <c r="C504" s="6">
        <v>50000</v>
      </c>
      <c r="D504" t="s">
        <v>18</v>
      </c>
      <c r="E504" t="s">
        <v>26</v>
      </c>
      <c r="F504" t="s">
        <v>44</v>
      </c>
      <c r="G504" s="7">
        <v>43845</v>
      </c>
      <c r="H504" t="s">
        <v>41</v>
      </c>
      <c r="I504" t="s">
        <v>15</v>
      </c>
      <c r="J504" t="s">
        <v>28</v>
      </c>
      <c r="K504" t="str">
        <f>IF(HR_Data5[[#This Row],[Age]]&lt;30,"Young",IF(HR_Data5[[#This Row],[Age]]&lt;=45,"Mid-Career","Senior"))</f>
        <v>Young</v>
      </c>
      <c r="L504" s="10">
        <f ca="1">DATEDIF(HR_Data5[[#This Row],[Joining Date]],TODAY(),"Y")</f>
        <v>6</v>
      </c>
      <c r="M504" s="10" t="str">
        <f>IF(HR_Data5[[#This Row],[Salary]]&lt;55000,"Low",IF(HR_Data5[[#This Row],[Salary]]&lt;=65000,"Medium","High"))</f>
        <v>Low</v>
      </c>
      <c r="N504" s="10">
        <f>YEAR(HR_Data5[[#This Row],[Joining Date]])</f>
        <v>2020</v>
      </c>
      <c r="O504" s="10" cm="1">
        <f t="array" ref="O504">_xlfn.SWITCH(HR_Data5[[#This Row],[Performance Score]],
"A",5,
"B",4,
"C",3,
"D",2,
"F",1)</f>
        <v>4</v>
      </c>
      <c r="P504" s="10"/>
    </row>
    <row r="505" spans="1:16" x14ac:dyDescent="0.3">
      <c r="A505" t="s">
        <v>52</v>
      </c>
      <c r="B505">
        <v>25</v>
      </c>
      <c r="C505" s="6">
        <v>55000</v>
      </c>
      <c r="D505" t="s">
        <v>11</v>
      </c>
      <c r="E505" t="s">
        <v>19</v>
      </c>
      <c r="F505" t="s">
        <v>20</v>
      </c>
      <c r="G505" s="7">
        <v>43195</v>
      </c>
      <c r="H505" t="s">
        <v>14</v>
      </c>
      <c r="I505" t="s">
        <v>22</v>
      </c>
      <c r="J505" t="s">
        <v>23</v>
      </c>
      <c r="K505" t="str">
        <f>IF(HR_Data5[[#This Row],[Age]]&lt;30,"Young",IF(HR_Data5[[#This Row],[Age]]&lt;=45,"Mid-Career","Senior"))</f>
        <v>Young</v>
      </c>
      <c r="L505" s="10">
        <f ca="1">DATEDIF(HR_Data5[[#This Row],[Joining Date]],TODAY(),"Y")</f>
        <v>7</v>
      </c>
      <c r="M505" s="10" t="str">
        <f>IF(HR_Data5[[#This Row],[Salary]]&lt;55000,"Low",IF(HR_Data5[[#This Row],[Salary]]&lt;=65000,"Medium","High"))</f>
        <v>Medium</v>
      </c>
      <c r="N505" s="10">
        <f>YEAR(HR_Data5[[#This Row],[Joining Date]])</f>
        <v>2018</v>
      </c>
      <c r="O505" s="10" cm="1">
        <f t="array" ref="O505">_xlfn.SWITCH(HR_Data5[[#This Row],[Performance Score]],
"A",5,
"B",4,
"C",3,
"D",2,
"F",1)</f>
        <v>2</v>
      </c>
      <c r="P505" s="10"/>
    </row>
    <row r="506" spans="1:16" x14ac:dyDescent="0.3">
      <c r="A506" t="s">
        <v>60</v>
      </c>
      <c r="B506">
        <v>40</v>
      </c>
      <c r="C506" s="6">
        <v>65000</v>
      </c>
      <c r="D506" t="s">
        <v>11</v>
      </c>
      <c r="E506" t="s">
        <v>37</v>
      </c>
      <c r="F506" t="s">
        <v>43</v>
      </c>
      <c r="G506" s="7">
        <v>43881</v>
      </c>
      <c r="H506" t="s">
        <v>41</v>
      </c>
      <c r="I506" t="s">
        <v>69</v>
      </c>
      <c r="J506" t="s">
        <v>23</v>
      </c>
      <c r="K506" t="str">
        <f>IF(HR_Data5[[#This Row],[Age]]&lt;30,"Young",IF(HR_Data5[[#This Row],[Age]]&lt;=45,"Mid-Career","Senior"))</f>
        <v>Mid-Career</v>
      </c>
      <c r="L506" s="10">
        <f ca="1">DATEDIF(HR_Data5[[#This Row],[Joining Date]],TODAY(),"Y")</f>
        <v>6</v>
      </c>
      <c r="M506" s="10" t="str">
        <f>IF(HR_Data5[[#This Row],[Salary]]&lt;55000,"Low",IF(HR_Data5[[#This Row],[Salary]]&lt;=65000,"Medium","High"))</f>
        <v>Medium</v>
      </c>
      <c r="N506" s="10">
        <f>YEAR(HR_Data5[[#This Row],[Joining Date]])</f>
        <v>2020</v>
      </c>
      <c r="O506" s="10" cm="1">
        <f t="array" ref="O506">_xlfn.SWITCH(HR_Data5[[#This Row],[Performance Score]],
"A",5,
"B",4,
"C",3,
"D",2,
"F",1)</f>
        <v>4</v>
      </c>
      <c r="P506" s="10"/>
    </row>
    <row r="507" spans="1:16" x14ac:dyDescent="0.3">
      <c r="A507" t="s">
        <v>57</v>
      </c>
      <c r="B507">
        <v>35</v>
      </c>
      <c r="C507" s="6">
        <v>70000</v>
      </c>
      <c r="D507" t="s">
        <v>18</v>
      </c>
      <c r="E507" t="s">
        <v>37</v>
      </c>
      <c r="F507" t="s">
        <v>20</v>
      </c>
      <c r="G507" s="7">
        <v>43549</v>
      </c>
      <c r="H507" t="s">
        <v>21</v>
      </c>
      <c r="I507" t="s">
        <v>32</v>
      </c>
      <c r="J507" t="s">
        <v>23</v>
      </c>
      <c r="K507" t="str">
        <f>IF(HR_Data5[[#This Row],[Age]]&lt;30,"Young",IF(HR_Data5[[#This Row],[Age]]&lt;=45,"Mid-Career","Senior"))</f>
        <v>Mid-Career</v>
      </c>
      <c r="L507" s="10">
        <f ca="1">DATEDIF(HR_Data5[[#This Row],[Joining Date]],TODAY(),"Y")</f>
        <v>6</v>
      </c>
      <c r="M507" s="10" t="str">
        <f>IF(HR_Data5[[#This Row],[Salary]]&lt;55000,"Low",IF(HR_Data5[[#This Row],[Salary]]&lt;=65000,"Medium","High"))</f>
        <v>High</v>
      </c>
      <c r="N507" s="10">
        <f>YEAR(HR_Data5[[#This Row],[Joining Date]])</f>
        <v>2019</v>
      </c>
      <c r="O507" s="10" cm="1">
        <f t="array" ref="O507">_xlfn.SWITCH(HR_Data5[[#This Row],[Performance Score]],
"A",5,
"B",4,
"C",3,
"D",2,
"F",1)</f>
        <v>1</v>
      </c>
      <c r="P507" s="10"/>
    </row>
    <row r="508" spans="1:16" x14ac:dyDescent="0.3">
      <c r="A508" t="s">
        <v>56</v>
      </c>
      <c r="B508">
        <v>35</v>
      </c>
      <c r="C508" s="6">
        <v>50000</v>
      </c>
      <c r="D508" t="s">
        <v>36</v>
      </c>
      <c r="E508" t="s">
        <v>12</v>
      </c>
      <c r="F508" t="s">
        <v>39</v>
      </c>
      <c r="G508" s="7">
        <v>43845</v>
      </c>
      <c r="H508" t="s">
        <v>27</v>
      </c>
      <c r="I508" t="s">
        <v>69</v>
      </c>
      <c r="J508" t="s">
        <v>28</v>
      </c>
      <c r="K508" t="str">
        <f>IF(HR_Data5[[#This Row],[Age]]&lt;30,"Young",IF(HR_Data5[[#This Row],[Age]]&lt;=45,"Mid-Career","Senior"))</f>
        <v>Mid-Career</v>
      </c>
      <c r="L508" s="10">
        <f ca="1">DATEDIF(HR_Data5[[#This Row],[Joining Date]],TODAY(),"Y")</f>
        <v>6</v>
      </c>
      <c r="M508" s="10" t="str">
        <f>IF(HR_Data5[[#This Row],[Salary]]&lt;55000,"Low",IF(HR_Data5[[#This Row],[Salary]]&lt;=65000,"Medium","High"))</f>
        <v>Low</v>
      </c>
      <c r="N508" s="10">
        <f>YEAR(HR_Data5[[#This Row],[Joining Date]])</f>
        <v>2020</v>
      </c>
      <c r="O508" s="10" cm="1">
        <f t="array" ref="O508">_xlfn.SWITCH(HR_Data5[[#This Row],[Performance Score]],
"A",5,
"B",4,
"C",3,
"D",2,
"F",1)</f>
        <v>3</v>
      </c>
      <c r="P508" s="10"/>
    </row>
    <row r="509" spans="1:16" x14ac:dyDescent="0.3">
      <c r="A509" t="s">
        <v>59</v>
      </c>
      <c r="B509">
        <v>30</v>
      </c>
      <c r="C509" s="6">
        <v>55000</v>
      </c>
      <c r="D509" t="s">
        <v>11</v>
      </c>
      <c r="E509" t="s">
        <v>19</v>
      </c>
      <c r="F509" t="s">
        <v>44</v>
      </c>
      <c r="G509" s="7">
        <v>43845</v>
      </c>
      <c r="H509" t="s">
        <v>31</v>
      </c>
      <c r="I509" t="s">
        <v>22</v>
      </c>
      <c r="J509" t="s">
        <v>45</v>
      </c>
      <c r="K509" t="str">
        <f>IF(HR_Data5[[#This Row],[Age]]&lt;30,"Young",IF(HR_Data5[[#This Row],[Age]]&lt;=45,"Mid-Career","Senior"))</f>
        <v>Mid-Career</v>
      </c>
      <c r="L509" s="10">
        <f ca="1">DATEDIF(HR_Data5[[#This Row],[Joining Date]],TODAY(),"Y")</f>
        <v>6</v>
      </c>
      <c r="M509" s="10" t="str">
        <f>IF(HR_Data5[[#This Row],[Salary]]&lt;55000,"Low",IF(HR_Data5[[#This Row],[Salary]]&lt;=65000,"Medium","High"))</f>
        <v>Medium</v>
      </c>
      <c r="N509" s="10">
        <f>YEAR(HR_Data5[[#This Row],[Joining Date]])</f>
        <v>2020</v>
      </c>
      <c r="O509" s="10" cm="1">
        <f t="array" ref="O509">_xlfn.SWITCH(HR_Data5[[#This Row],[Performance Score]],
"A",5,
"B",4,
"C",3,
"D",2,
"F",1)</f>
        <v>5</v>
      </c>
      <c r="P509" s="10"/>
    </row>
    <row r="510" spans="1:16" x14ac:dyDescent="0.3">
      <c r="A510" t="s">
        <v>52</v>
      </c>
      <c r="B510">
        <v>36</v>
      </c>
      <c r="C510" s="6">
        <v>55000</v>
      </c>
      <c r="D510" t="s">
        <v>36</v>
      </c>
      <c r="E510" t="s">
        <v>30</v>
      </c>
      <c r="F510" t="s">
        <v>20</v>
      </c>
      <c r="G510" s="7">
        <v>43549</v>
      </c>
      <c r="H510" t="s">
        <v>21</v>
      </c>
      <c r="I510" t="s">
        <v>69</v>
      </c>
      <c r="J510" t="s">
        <v>45</v>
      </c>
      <c r="K510" t="str">
        <f>IF(HR_Data5[[#This Row],[Age]]&lt;30,"Young",IF(HR_Data5[[#This Row],[Age]]&lt;=45,"Mid-Career","Senior"))</f>
        <v>Mid-Career</v>
      </c>
      <c r="L510" s="10">
        <f ca="1">DATEDIF(HR_Data5[[#This Row],[Joining Date]],TODAY(),"Y")</f>
        <v>6</v>
      </c>
      <c r="M510" s="10" t="str">
        <f>IF(HR_Data5[[#This Row],[Salary]]&lt;55000,"Low",IF(HR_Data5[[#This Row],[Salary]]&lt;=65000,"Medium","High"))</f>
        <v>Medium</v>
      </c>
      <c r="N510" s="10">
        <f>YEAR(HR_Data5[[#This Row],[Joining Date]])</f>
        <v>2019</v>
      </c>
      <c r="O510" s="10" cm="1">
        <f t="array" ref="O510">_xlfn.SWITCH(HR_Data5[[#This Row],[Performance Score]],
"A",5,
"B",4,
"C",3,
"D",2,
"F",1)</f>
        <v>1</v>
      </c>
      <c r="P510" s="10"/>
    </row>
    <row r="511" spans="1:16" x14ac:dyDescent="0.3">
      <c r="A511" t="s">
        <v>60</v>
      </c>
      <c r="B511">
        <v>50</v>
      </c>
      <c r="C511" s="6">
        <v>55000</v>
      </c>
      <c r="D511" t="s">
        <v>36</v>
      </c>
      <c r="E511" t="s">
        <v>12</v>
      </c>
      <c r="F511" t="s">
        <v>39</v>
      </c>
      <c r="G511" s="7">
        <v>43195</v>
      </c>
      <c r="H511" t="s">
        <v>27</v>
      </c>
      <c r="I511" t="s">
        <v>15</v>
      </c>
      <c r="J511" t="s">
        <v>23</v>
      </c>
      <c r="K511" t="str">
        <f>IF(HR_Data5[[#This Row],[Age]]&lt;30,"Young",IF(HR_Data5[[#This Row],[Age]]&lt;=45,"Mid-Career","Senior"))</f>
        <v>Senior</v>
      </c>
      <c r="L511" s="10">
        <f ca="1">DATEDIF(HR_Data5[[#This Row],[Joining Date]],TODAY(),"Y")</f>
        <v>7</v>
      </c>
      <c r="M511" s="10" t="str">
        <f>IF(HR_Data5[[#This Row],[Salary]]&lt;55000,"Low",IF(HR_Data5[[#This Row],[Salary]]&lt;=65000,"Medium","High"))</f>
        <v>Medium</v>
      </c>
      <c r="N511" s="10">
        <f>YEAR(HR_Data5[[#This Row],[Joining Date]])</f>
        <v>2018</v>
      </c>
      <c r="O511" s="10" cm="1">
        <f t="array" ref="O511">_xlfn.SWITCH(HR_Data5[[#This Row],[Performance Score]],
"A",5,
"B",4,
"C",3,
"D",2,
"F",1)</f>
        <v>3</v>
      </c>
      <c r="P511" s="10"/>
    </row>
    <row r="512" spans="1:16" x14ac:dyDescent="0.3">
      <c r="A512" t="s">
        <v>56</v>
      </c>
      <c r="B512">
        <v>35</v>
      </c>
      <c r="C512" s="6">
        <v>65000</v>
      </c>
      <c r="D512" t="s">
        <v>36</v>
      </c>
      <c r="E512" t="s">
        <v>12</v>
      </c>
      <c r="F512" t="s">
        <v>20</v>
      </c>
      <c r="G512" s="7">
        <v>43800</v>
      </c>
      <c r="H512" t="s">
        <v>14</v>
      </c>
      <c r="I512" t="s">
        <v>32</v>
      </c>
      <c r="J512" t="s">
        <v>28</v>
      </c>
      <c r="K512" t="str">
        <f>IF(HR_Data5[[#This Row],[Age]]&lt;30,"Young",IF(HR_Data5[[#This Row],[Age]]&lt;=45,"Mid-Career","Senior"))</f>
        <v>Mid-Career</v>
      </c>
      <c r="L512" s="10">
        <f ca="1">DATEDIF(HR_Data5[[#This Row],[Joining Date]],TODAY(),"Y")</f>
        <v>6</v>
      </c>
      <c r="M512" s="10" t="str">
        <f>IF(HR_Data5[[#This Row],[Salary]]&lt;55000,"Low",IF(HR_Data5[[#This Row],[Salary]]&lt;=65000,"Medium","High"))</f>
        <v>Medium</v>
      </c>
      <c r="N512" s="10">
        <f>YEAR(HR_Data5[[#This Row],[Joining Date]])</f>
        <v>2019</v>
      </c>
      <c r="O512" s="10" cm="1">
        <f t="array" ref="O512">_xlfn.SWITCH(HR_Data5[[#This Row],[Performance Score]],
"A",5,
"B",4,
"C",3,
"D",2,
"F",1)</f>
        <v>2</v>
      </c>
      <c r="P512" s="10"/>
    </row>
    <row r="513" spans="1:16" x14ac:dyDescent="0.3">
      <c r="A513" t="s">
        <v>60</v>
      </c>
      <c r="B513">
        <v>40</v>
      </c>
      <c r="C513" s="6">
        <v>70000</v>
      </c>
      <c r="D513" t="s">
        <v>11</v>
      </c>
      <c r="E513" t="s">
        <v>26</v>
      </c>
      <c r="F513" t="s">
        <v>43</v>
      </c>
      <c r="G513" s="7">
        <v>43195</v>
      </c>
      <c r="H513" t="s">
        <v>21</v>
      </c>
      <c r="I513" t="s">
        <v>69</v>
      </c>
      <c r="J513" t="s">
        <v>23</v>
      </c>
      <c r="K513" t="str">
        <f>IF(HR_Data5[[#This Row],[Age]]&lt;30,"Young",IF(HR_Data5[[#This Row],[Age]]&lt;=45,"Mid-Career","Senior"))</f>
        <v>Mid-Career</v>
      </c>
      <c r="L513" s="10">
        <f ca="1">DATEDIF(HR_Data5[[#This Row],[Joining Date]],TODAY(),"Y")</f>
        <v>7</v>
      </c>
      <c r="M513" s="10" t="str">
        <f>IF(HR_Data5[[#This Row],[Salary]]&lt;55000,"Low",IF(HR_Data5[[#This Row],[Salary]]&lt;=65000,"Medium","High"))</f>
        <v>High</v>
      </c>
      <c r="N513" s="10">
        <f>YEAR(HR_Data5[[#This Row],[Joining Date]])</f>
        <v>2018</v>
      </c>
      <c r="O513" s="10" cm="1">
        <f t="array" ref="O513">_xlfn.SWITCH(HR_Data5[[#This Row],[Performance Score]],
"A",5,
"B",4,
"C",3,
"D",2,
"F",1)</f>
        <v>1</v>
      </c>
      <c r="P513" s="10"/>
    </row>
    <row r="514" spans="1:16" x14ac:dyDescent="0.3">
      <c r="A514" t="s">
        <v>51</v>
      </c>
      <c r="B514">
        <v>30</v>
      </c>
      <c r="C514" s="6">
        <v>65000</v>
      </c>
      <c r="D514" t="s">
        <v>36</v>
      </c>
      <c r="E514" t="s">
        <v>26</v>
      </c>
      <c r="F514" t="s">
        <v>43</v>
      </c>
      <c r="G514" s="7">
        <v>43881</v>
      </c>
      <c r="H514" t="s">
        <v>27</v>
      </c>
      <c r="I514" t="s">
        <v>22</v>
      </c>
      <c r="J514" t="s">
        <v>69</v>
      </c>
      <c r="K514" t="str">
        <f>IF(HR_Data5[[#This Row],[Age]]&lt;30,"Young",IF(HR_Data5[[#This Row],[Age]]&lt;=45,"Mid-Career","Senior"))</f>
        <v>Mid-Career</v>
      </c>
      <c r="L514" s="10">
        <f ca="1">DATEDIF(HR_Data5[[#This Row],[Joining Date]],TODAY(),"Y")</f>
        <v>6</v>
      </c>
      <c r="M514" s="10" t="str">
        <f>IF(HR_Data5[[#This Row],[Salary]]&lt;55000,"Low",IF(HR_Data5[[#This Row],[Salary]]&lt;=65000,"Medium","High"))</f>
        <v>Medium</v>
      </c>
      <c r="N514" s="10">
        <f>YEAR(HR_Data5[[#This Row],[Joining Date]])</f>
        <v>2020</v>
      </c>
      <c r="O514" s="10" cm="1">
        <f t="array" ref="O514">_xlfn.SWITCH(HR_Data5[[#This Row],[Performance Score]],
"A",5,
"B",4,
"C",3,
"D",2,
"F",1)</f>
        <v>3</v>
      </c>
      <c r="P514" s="10"/>
    </row>
    <row r="515" spans="1:16" x14ac:dyDescent="0.3">
      <c r="A515" t="s">
        <v>52</v>
      </c>
      <c r="B515">
        <v>30</v>
      </c>
      <c r="C515" s="6">
        <v>60000</v>
      </c>
      <c r="D515" t="s">
        <v>11</v>
      </c>
      <c r="E515" t="s">
        <v>26</v>
      </c>
      <c r="F515" t="s">
        <v>43</v>
      </c>
      <c r="G515" s="7">
        <v>43800</v>
      </c>
      <c r="H515" t="s">
        <v>21</v>
      </c>
      <c r="I515" t="s">
        <v>69</v>
      </c>
      <c r="J515" t="s">
        <v>45</v>
      </c>
      <c r="K515" t="str">
        <f>IF(HR_Data5[[#This Row],[Age]]&lt;30,"Young",IF(HR_Data5[[#This Row],[Age]]&lt;=45,"Mid-Career","Senior"))</f>
        <v>Mid-Career</v>
      </c>
      <c r="L515" s="10">
        <f ca="1">DATEDIF(HR_Data5[[#This Row],[Joining Date]],TODAY(),"Y")</f>
        <v>6</v>
      </c>
      <c r="M515" s="10" t="str">
        <f>IF(HR_Data5[[#This Row],[Salary]]&lt;55000,"Low",IF(HR_Data5[[#This Row],[Salary]]&lt;=65000,"Medium","High"))</f>
        <v>Medium</v>
      </c>
      <c r="N515" s="10">
        <f>YEAR(HR_Data5[[#This Row],[Joining Date]])</f>
        <v>2019</v>
      </c>
      <c r="O515" s="10" cm="1">
        <f t="array" ref="O515">_xlfn.SWITCH(HR_Data5[[#This Row],[Performance Score]],
"A",5,
"B",4,
"C",3,
"D",2,
"F",1)</f>
        <v>1</v>
      </c>
      <c r="P515" s="10"/>
    </row>
    <row r="516" spans="1:16" x14ac:dyDescent="0.3">
      <c r="A516" t="s">
        <v>56</v>
      </c>
      <c r="B516">
        <v>50</v>
      </c>
      <c r="C516" s="6">
        <v>55000</v>
      </c>
      <c r="D516" t="s">
        <v>36</v>
      </c>
      <c r="E516" t="s">
        <v>12</v>
      </c>
      <c r="F516" t="s">
        <v>43</v>
      </c>
      <c r="G516" s="7">
        <v>43195</v>
      </c>
      <c r="H516" t="s">
        <v>41</v>
      </c>
      <c r="I516" t="s">
        <v>15</v>
      </c>
      <c r="J516" t="s">
        <v>69</v>
      </c>
      <c r="K516" t="str">
        <f>IF(HR_Data5[[#This Row],[Age]]&lt;30,"Young",IF(HR_Data5[[#This Row],[Age]]&lt;=45,"Mid-Career","Senior"))</f>
        <v>Senior</v>
      </c>
      <c r="L516" s="10">
        <f ca="1">DATEDIF(HR_Data5[[#This Row],[Joining Date]],TODAY(),"Y")</f>
        <v>7</v>
      </c>
      <c r="M516" s="10" t="str">
        <f>IF(HR_Data5[[#This Row],[Salary]]&lt;55000,"Low",IF(HR_Data5[[#This Row],[Salary]]&lt;=65000,"Medium","High"))</f>
        <v>Medium</v>
      </c>
      <c r="N516" s="10">
        <f>YEAR(HR_Data5[[#This Row],[Joining Date]])</f>
        <v>2018</v>
      </c>
      <c r="O516" s="10" cm="1">
        <f t="array" ref="O516">_xlfn.SWITCH(HR_Data5[[#This Row],[Performance Score]],
"A",5,
"B",4,
"C",3,
"D",2,
"F",1)</f>
        <v>4</v>
      </c>
      <c r="P516" s="10"/>
    </row>
    <row r="517" spans="1:16" x14ac:dyDescent="0.3">
      <c r="A517" t="s">
        <v>55</v>
      </c>
      <c r="B517">
        <v>40</v>
      </c>
      <c r="C517" s="6">
        <v>60000</v>
      </c>
      <c r="D517" t="s">
        <v>11</v>
      </c>
      <c r="E517" t="s">
        <v>30</v>
      </c>
      <c r="F517" t="s">
        <v>13</v>
      </c>
      <c r="G517" s="7">
        <v>43549</v>
      </c>
      <c r="H517" t="s">
        <v>27</v>
      </c>
      <c r="I517" t="s">
        <v>32</v>
      </c>
      <c r="J517" t="s">
        <v>23</v>
      </c>
      <c r="K517" t="str">
        <f>IF(HR_Data5[[#This Row],[Age]]&lt;30,"Young",IF(HR_Data5[[#This Row],[Age]]&lt;=45,"Mid-Career","Senior"))</f>
        <v>Mid-Career</v>
      </c>
      <c r="L517" s="10">
        <f ca="1">DATEDIF(HR_Data5[[#This Row],[Joining Date]],TODAY(),"Y")</f>
        <v>6</v>
      </c>
      <c r="M517" s="10" t="str">
        <f>IF(HR_Data5[[#This Row],[Salary]]&lt;55000,"Low",IF(HR_Data5[[#This Row],[Salary]]&lt;=65000,"Medium","High"))</f>
        <v>Medium</v>
      </c>
      <c r="N517" s="10">
        <f>YEAR(HR_Data5[[#This Row],[Joining Date]])</f>
        <v>2019</v>
      </c>
      <c r="O517" s="10" cm="1">
        <f t="array" ref="O517">_xlfn.SWITCH(HR_Data5[[#This Row],[Performance Score]],
"A",5,
"B",4,
"C",3,
"D",2,
"F",1)</f>
        <v>3</v>
      </c>
      <c r="P517" s="10"/>
    </row>
    <row r="518" spans="1:16" x14ac:dyDescent="0.3">
      <c r="A518" t="s">
        <v>54</v>
      </c>
      <c r="B518">
        <v>36</v>
      </c>
      <c r="C518" s="6" t="s">
        <v>68</v>
      </c>
      <c r="D518" t="s">
        <v>36</v>
      </c>
      <c r="E518" t="s">
        <v>37</v>
      </c>
      <c r="F518" t="s">
        <v>39</v>
      </c>
      <c r="G518" s="7">
        <v>43881</v>
      </c>
      <c r="H518" t="s">
        <v>41</v>
      </c>
      <c r="I518" t="s">
        <v>69</v>
      </c>
      <c r="J518" t="s">
        <v>69</v>
      </c>
      <c r="K518" t="str">
        <f>IF(HR_Data5[[#This Row],[Age]]&lt;30,"Young",IF(HR_Data5[[#This Row],[Age]]&lt;=45,"Mid-Career","Senior"))</f>
        <v>Mid-Career</v>
      </c>
      <c r="L518" s="10">
        <f ca="1">DATEDIF(HR_Data5[[#This Row],[Joining Date]],TODAY(),"Y")</f>
        <v>6</v>
      </c>
      <c r="M518" s="10" t="str">
        <f>IF(HR_Data5[[#This Row],[Salary]]&lt;55000,"Low",IF(HR_Data5[[#This Row],[Salary]]&lt;=65000,"Medium","High"))</f>
        <v>High</v>
      </c>
      <c r="N518" s="10">
        <f>YEAR(HR_Data5[[#This Row],[Joining Date]])</f>
        <v>2020</v>
      </c>
      <c r="O518" s="10" cm="1">
        <f t="array" ref="O518">_xlfn.SWITCH(HR_Data5[[#This Row],[Performance Score]],
"A",5,
"B",4,
"C",3,
"D",2,
"F",1)</f>
        <v>4</v>
      </c>
      <c r="P518" s="10"/>
    </row>
    <row r="519" spans="1:16" x14ac:dyDescent="0.3">
      <c r="A519" t="s">
        <v>54</v>
      </c>
      <c r="B519">
        <v>40</v>
      </c>
      <c r="C519" s="6">
        <v>50000</v>
      </c>
      <c r="D519" t="s">
        <v>18</v>
      </c>
      <c r="E519" t="s">
        <v>26</v>
      </c>
      <c r="F519" t="s">
        <v>39</v>
      </c>
      <c r="G519" s="7">
        <v>43881</v>
      </c>
      <c r="H519" t="s">
        <v>41</v>
      </c>
      <c r="I519" t="s">
        <v>69</v>
      </c>
      <c r="J519" t="s">
        <v>45</v>
      </c>
      <c r="K519" t="str">
        <f>IF(HR_Data5[[#This Row],[Age]]&lt;30,"Young",IF(HR_Data5[[#This Row],[Age]]&lt;=45,"Mid-Career","Senior"))</f>
        <v>Mid-Career</v>
      </c>
      <c r="L519" s="10">
        <f ca="1">DATEDIF(HR_Data5[[#This Row],[Joining Date]],TODAY(),"Y")</f>
        <v>6</v>
      </c>
      <c r="M519" s="10" t="str">
        <f>IF(HR_Data5[[#This Row],[Salary]]&lt;55000,"Low",IF(HR_Data5[[#This Row],[Salary]]&lt;=65000,"Medium","High"))</f>
        <v>Low</v>
      </c>
      <c r="N519" s="10">
        <f>YEAR(HR_Data5[[#This Row],[Joining Date]])</f>
        <v>2020</v>
      </c>
      <c r="O519" s="10" cm="1">
        <f t="array" ref="O519">_xlfn.SWITCH(HR_Data5[[#This Row],[Performance Score]],
"A",5,
"B",4,
"C",3,
"D",2,
"F",1)</f>
        <v>4</v>
      </c>
      <c r="P519" s="10"/>
    </row>
    <row r="520" spans="1:16" x14ac:dyDescent="0.3">
      <c r="A520" t="s">
        <v>56</v>
      </c>
      <c r="B520">
        <v>36</v>
      </c>
      <c r="C520" s="6">
        <v>50000</v>
      </c>
      <c r="D520" t="s">
        <v>36</v>
      </c>
      <c r="E520" t="s">
        <v>30</v>
      </c>
      <c r="F520" t="s">
        <v>43</v>
      </c>
      <c r="G520" s="7">
        <v>43881</v>
      </c>
      <c r="H520" t="s">
        <v>27</v>
      </c>
      <c r="I520" t="s">
        <v>15</v>
      </c>
      <c r="J520" t="s">
        <v>28</v>
      </c>
      <c r="K520" t="str">
        <f>IF(HR_Data5[[#This Row],[Age]]&lt;30,"Young",IF(HR_Data5[[#This Row],[Age]]&lt;=45,"Mid-Career","Senior"))</f>
        <v>Mid-Career</v>
      </c>
      <c r="L520" s="10">
        <f ca="1">DATEDIF(HR_Data5[[#This Row],[Joining Date]],TODAY(),"Y")</f>
        <v>6</v>
      </c>
      <c r="M520" s="10" t="str">
        <f>IF(HR_Data5[[#This Row],[Salary]]&lt;55000,"Low",IF(HR_Data5[[#This Row],[Salary]]&lt;=65000,"Medium","High"))</f>
        <v>Low</v>
      </c>
      <c r="N520" s="10">
        <f>YEAR(HR_Data5[[#This Row],[Joining Date]])</f>
        <v>2020</v>
      </c>
      <c r="O520" s="10" cm="1">
        <f t="array" ref="O520">_xlfn.SWITCH(HR_Data5[[#This Row],[Performance Score]],
"A",5,
"B",4,
"C",3,
"D",2,
"F",1)</f>
        <v>3</v>
      </c>
      <c r="P520" s="10"/>
    </row>
    <row r="521" spans="1:16" x14ac:dyDescent="0.3">
      <c r="A521" t="s">
        <v>60</v>
      </c>
      <c r="B521">
        <v>40</v>
      </c>
      <c r="C521" s="6">
        <v>65000</v>
      </c>
      <c r="D521" t="s">
        <v>36</v>
      </c>
      <c r="E521" t="s">
        <v>19</v>
      </c>
      <c r="F521" t="s">
        <v>13</v>
      </c>
      <c r="G521" s="7">
        <v>43800</v>
      </c>
      <c r="H521" t="s">
        <v>31</v>
      </c>
      <c r="I521" t="s">
        <v>69</v>
      </c>
      <c r="J521" t="s">
        <v>45</v>
      </c>
      <c r="K521" t="str">
        <f>IF(HR_Data5[[#This Row],[Age]]&lt;30,"Young",IF(HR_Data5[[#This Row],[Age]]&lt;=45,"Mid-Career","Senior"))</f>
        <v>Mid-Career</v>
      </c>
      <c r="L521" s="10">
        <f ca="1">DATEDIF(HR_Data5[[#This Row],[Joining Date]],TODAY(),"Y")</f>
        <v>6</v>
      </c>
      <c r="M521" s="10" t="str">
        <f>IF(HR_Data5[[#This Row],[Salary]]&lt;55000,"Low",IF(HR_Data5[[#This Row],[Salary]]&lt;=65000,"Medium","High"))</f>
        <v>Medium</v>
      </c>
      <c r="N521" s="10">
        <f>YEAR(HR_Data5[[#This Row],[Joining Date]])</f>
        <v>2019</v>
      </c>
      <c r="O521" s="10" cm="1">
        <f t="array" ref="O521">_xlfn.SWITCH(HR_Data5[[#This Row],[Performance Score]],
"A",5,
"B",4,
"C",3,
"D",2,
"F",1)</f>
        <v>5</v>
      </c>
      <c r="P521" s="10"/>
    </row>
    <row r="522" spans="1:16" x14ac:dyDescent="0.3">
      <c r="A522" t="s">
        <v>52</v>
      </c>
      <c r="B522">
        <v>40</v>
      </c>
      <c r="C522" s="6">
        <v>70000</v>
      </c>
      <c r="D522" t="s">
        <v>11</v>
      </c>
      <c r="E522" t="s">
        <v>26</v>
      </c>
      <c r="F522" t="s">
        <v>43</v>
      </c>
      <c r="G522" s="7">
        <v>43845</v>
      </c>
      <c r="H522" t="s">
        <v>27</v>
      </c>
      <c r="I522" t="s">
        <v>22</v>
      </c>
      <c r="J522" t="s">
        <v>28</v>
      </c>
      <c r="K522" t="str">
        <f>IF(HR_Data5[[#This Row],[Age]]&lt;30,"Young",IF(HR_Data5[[#This Row],[Age]]&lt;=45,"Mid-Career","Senior"))</f>
        <v>Mid-Career</v>
      </c>
      <c r="L522" s="10">
        <f ca="1">DATEDIF(HR_Data5[[#This Row],[Joining Date]],TODAY(),"Y")</f>
        <v>6</v>
      </c>
      <c r="M522" s="10" t="str">
        <f>IF(HR_Data5[[#This Row],[Salary]]&lt;55000,"Low",IF(HR_Data5[[#This Row],[Salary]]&lt;=65000,"Medium","High"))</f>
        <v>High</v>
      </c>
      <c r="N522" s="10">
        <f>YEAR(HR_Data5[[#This Row],[Joining Date]])</f>
        <v>2020</v>
      </c>
      <c r="O522" s="10" cm="1">
        <f t="array" ref="O522">_xlfn.SWITCH(HR_Data5[[#This Row],[Performance Score]],
"A",5,
"B",4,
"C",3,
"D",2,
"F",1)</f>
        <v>3</v>
      </c>
      <c r="P522" s="10"/>
    </row>
    <row r="523" spans="1:16" x14ac:dyDescent="0.3">
      <c r="A523" t="s">
        <v>54</v>
      </c>
      <c r="B523">
        <v>25</v>
      </c>
      <c r="C523" s="6">
        <v>60000</v>
      </c>
      <c r="D523" t="s">
        <v>11</v>
      </c>
      <c r="E523" t="s">
        <v>37</v>
      </c>
      <c r="F523" t="s">
        <v>13</v>
      </c>
      <c r="G523" s="7">
        <v>43800</v>
      </c>
      <c r="H523" t="s">
        <v>31</v>
      </c>
      <c r="I523" t="s">
        <v>69</v>
      </c>
      <c r="J523" t="s">
        <v>28</v>
      </c>
      <c r="K523" t="str">
        <f>IF(HR_Data5[[#This Row],[Age]]&lt;30,"Young",IF(HR_Data5[[#This Row],[Age]]&lt;=45,"Mid-Career","Senior"))</f>
        <v>Young</v>
      </c>
      <c r="L523" s="10">
        <f ca="1">DATEDIF(HR_Data5[[#This Row],[Joining Date]],TODAY(),"Y")</f>
        <v>6</v>
      </c>
      <c r="M523" s="10" t="str">
        <f>IF(HR_Data5[[#This Row],[Salary]]&lt;55000,"Low",IF(HR_Data5[[#This Row],[Salary]]&lt;=65000,"Medium","High"))</f>
        <v>Medium</v>
      </c>
      <c r="N523" s="10">
        <f>YEAR(HR_Data5[[#This Row],[Joining Date]])</f>
        <v>2019</v>
      </c>
      <c r="O523" s="10" cm="1">
        <f t="array" ref="O523">_xlfn.SWITCH(HR_Data5[[#This Row],[Performance Score]],
"A",5,
"B",4,
"C",3,
"D",2,
"F",1)</f>
        <v>5</v>
      </c>
      <c r="P523" s="10"/>
    </row>
    <row r="524" spans="1:16" x14ac:dyDescent="0.3">
      <c r="A524" t="s">
        <v>52</v>
      </c>
      <c r="B524">
        <v>30</v>
      </c>
      <c r="C524" s="6">
        <v>70000</v>
      </c>
      <c r="D524" t="s">
        <v>36</v>
      </c>
      <c r="E524" t="s">
        <v>19</v>
      </c>
      <c r="F524" t="s">
        <v>43</v>
      </c>
      <c r="G524" s="7">
        <v>43195</v>
      </c>
      <c r="H524" t="s">
        <v>21</v>
      </c>
      <c r="I524" t="s">
        <v>69</v>
      </c>
      <c r="J524" t="s">
        <v>23</v>
      </c>
      <c r="K524" t="str">
        <f>IF(HR_Data5[[#This Row],[Age]]&lt;30,"Young",IF(HR_Data5[[#This Row],[Age]]&lt;=45,"Mid-Career","Senior"))</f>
        <v>Mid-Career</v>
      </c>
      <c r="L524" s="10">
        <f ca="1">DATEDIF(HR_Data5[[#This Row],[Joining Date]],TODAY(),"Y")</f>
        <v>7</v>
      </c>
      <c r="M524" s="10" t="str">
        <f>IF(HR_Data5[[#This Row],[Salary]]&lt;55000,"Low",IF(HR_Data5[[#This Row],[Salary]]&lt;=65000,"Medium","High"))</f>
        <v>High</v>
      </c>
      <c r="N524" s="10">
        <f>YEAR(HR_Data5[[#This Row],[Joining Date]])</f>
        <v>2018</v>
      </c>
      <c r="O524" s="10" cm="1">
        <f t="array" ref="O524">_xlfn.SWITCH(HR_Data5[[#This Row],[Performance Score]],
"A",5,
"B",4,
"C",3,
"D",2,
"F",1)</f>
        <v>1</v>
      </c>
      <c r="P524" s="10"/>
    </row>
    <row r="525" spans="1:16" x14ac:dyDescent="0.3">
      <c r="A525" t="s">
        <v>54</v>
      </c>
      <c r="B525">
        <v>40</v>
      </c>
      <c r="C525" s="6">
        <v>65000</v>
      </c>
      <c r="D525" t="s">
        <v>18</v>
      </c>
      <c r="E525" t="s">
        <v>19</v>
      </c>
      <c r="F525" t="s">
        <v>44</v>
      </c>
      <c r="G525" s="7">
        <v>43845</v>
      </c>
      <c r="H525" t="s">
        <v>21</v>
      </c>
      <c r="I525" t="s">
        <v>69</v>
      </c>
      <c r="J525" t="s">
        <v>23</v>
      </c>
      <c r="K525" t="str">
        <f>IF(HR_Data5[[#This Row],[Age]]&lt;30,"Young",IF(HR_Data5[[#This Row],[Age]]&lt;=45,"Mid-Career","Senior"))</f>
        <v>Mid-Career</v>
      </c>
      <c r="L525" s="10">
        <f ca="1">DATEDIF(HR_Data5[[#This Row],[Joining Date]],TODAY(),"Y")</f>
        <v>6</v>
      </c>
      <c r="M525" s="10" t="str">
        <f>IF(HR_Data5[[#This Row],[Salary]]&lt;55000,"Low",IF(HR_Data5[[#This Row],[Salary]]&lt;=65000,"Medium","High"))</f>
        <v>Medium</v>
      </c>
      <c r="N525" s="10">
        <f>YEAR(HR_Data5[[#This Row],[Joining Date]])</f>
        <v>2020</v>
      </c>
      <c r="O525" s="10" cm="1">
        <f t="array" ref="O525">_xlfn.SWITCH(HR_Data5[[#This Row],[Performance Score]],
"A",5,
"B",4,
"C",3,
"D",2,
"F",1)</f>
        <v>1</v>
      </c>
      <c r="P525" s="10"/>
    </row>
    <row r="526" spans="1:16" x14ac:dyDescent="0.3">
      <c r="A526" t="s">
        <v>51</v>
      </c>
      <c r="B526">
        <v>50</v>
      </c>
      <c r="C526" s="6">
        <v>50000</v>
      </c>
      <c r="D526" t="s">
        <v>18</v>
      </c>
      <c r="E526" t="s">
        <v>37</v>
      </c>
      <c r="F526" t="s">
        <v>44</v>
      </c>
      <c r="G526" s="7">
        <v>43195</v>
      </c>
      <c r="H526" t="s">
        <v>27</v>
      </c>
      <c r="I526" t="s">
        <v>15</v>
      </c>
      <c r="J526" t="s">
        <v>45</v>
      </c>
      <c r="K526" t="str">
        <f>IF(HR_Data5[[#This Row],[Age]]&lt;30,"Young",IF(HR_Data5[[#This Row],[Age]]&lt;=45,"Mid-Career","Senior"))</f>
        <v>Senior</v>
      </c>
      <c r="L526" s="10">
        <f ca="1">DATEDIF(HR_Data5[[#This Row],[Joining Date]],TODAY(),"Y")</f>
        <v>7</v>
      </c>
      <c r="M526" s="10" t="str">
        <f>IF(HR_Data5[[#This Row],[Salary]]&lt;55000,"Low",IF(HR_Data5[[#This Row],[Salary]]&lt;=65000,"Medium","High"))</f>
        <v>Low</v>
      </c>
      <c r="N526" s="10">
        <f>YEAR(HR_Data5[[#This Row],[Joining Date]])</f>
        <v>2018</v>
      </c>
      <c r="O526" s="10" cm="1">
        <f t="array" ref="O526">_xlfn.SWITCH(HR_Data5[[#This Row],[Performance Score]],
"A",5,
"B",4,
"C",3,
"D",2,
"F",1)</f>
        <v>3</v>
      </c>
      <c r="P526" s="10"/>
    </row>
    <row r="527" spans="1:16" x14ac:dyDescent="0.3">
      <c r="A527" t="s">
        <v>60</v>
      </c>
      <c r="B527">
        <v>40</v>
      </c>
      <c r="C527" s="6">
        <v>70000</v>
      </c>
      <c r="D527" t="s">
        <v>11</v>
      </c>
      <c r="E527" t="s">
        <v>26</v>
      </c>
      <c r="F527" t="s">
        <v>20</v>
      </c>
      <c r="G527" s="7">
        <v>43845</v>
      </c>
      <c r="H527" t="s">
        <v>21</v>
      </c>
      <c r="I527" t="s">
        <v>15</v>
      </c>
      <c r="J527" t="s">
        <v>69</v>
      </c>
      <c r="K527" t="str">
        <f>IF(HR_Data5[[#This Row],[Age]]&lt;30,"Young",IF(HR_Data5[[#This Row],[Age]]&lt;=45,"Mid-Career","Senior"))</f>
        <v>Mid-Career</v>
      </c>
      <c r="L527" s="10">
        <f ca="1">DATEDIF(HR_Data5[[#This Row],[Joining Date]],TODAY(),"Y")</f>
        <v>6</v>
      </c>
      <c r="M527" s="10" t="str">
        <f>IF(HR_Data5[[#This Row],[Salary]]&lt;55000,"Low",IF(HR_Data5[[#This Row],[Salary]]&lt;=65000,"Medium","High"))</f>
        <v>High</v>
      </c>
      <c r="N527" s="10">
        <f>YEAR(HR_Data5[[#This Row],[Joining Date]])</f>
        <v>2020</v>
      </c>
      <c r="O527" s="10" cm="1">
        <f t="array" ref="O527">_xlfn.SWITCH(HR_Data5[[#This Row],[Performance Score]],
"A",5,
"B",4,
"C",3,
"D",2,
"F",1)</f>
        <v>1</v>
      </c>
      <c r="P527" s="10"/>
    </row>
    <row r="528" spans="1:16" x14ac:dyDescent="0.3">
      <c r="A528" t="s">
        <v>51</v>
      </c>
      <c r="B528">
        <v>35</v>
      </c>
      <c r="C528" s="6">
        <v>70000</v>
      </c>
      <c r="D528" t="s">
        <v>18</v>
      </c>
      <c r="E528" t="s">
        <v>12</v>
      </c>
      <c r="F528" t="s">
        <v>43</v>
      </c>
      <c r="G528" s="7">
        <v>43800</v>
      </c>
      <c r="H528" t="s">
        <v>14</v>
      </c>
      <c r="I528" t="s">
        <v>22</v>
      </c>
      <c r="J528" t="s">
        <v>45</v>
      </c>
      <c r="K528" t="str">
        <f>IF(HR_Data5[[#This Row],[Age]]&lt;30,"Young",IF(HR_Data5[[#This Row],[Age]]&lt;=45,"Mid-Career","Senior"))</f>
        <v>Mid-Career</v>
      </c>
      <c r="L528" s="10">
        <f ca="1">DATEDIF(HR_Data5[[#This Row],[Joining Date]],TODAY(),"Y")</f>
        <v>6</v>
      </c>
      <c r="M528" s="10" t="str">
        <f>IF(HR_Data5[[#This Row],[Salary]]&lt;55000,"Low",IF(HR_Data5[[#This Row],[Salary]]&lt;=65000,"Medium","High"))</f>
        <v>High</v>
      </c>
      <c r="N528" s="10">
        <f>YEAR(HR_Data5[[#This Row],[Joining Date]])</f>
        <v>2019</v>
      </c>
      <c r="O528" s="10" cm="1">
        <f t="array" ref="O528">_xlfn.SWITCH(HR_Data5[[#This Row],[Performance Score]],
"A",5,
"B",4,
"C",3,
"D",2,
"F",1)</f>
        <v>2</v>
      </c>
      <c r="P528" s="10"/>
    </row>
    <row r="529" spans="1:16" x14ac:dyDescent="0.3">
      <c r="A529" t="s">
        <v>54</v>
      </c>
      <c r="B529">
        <v>30</v>
      </c>
      <c r="C529" s="6">
        <v>50000</v>
      </c>
      <c r="D529" t="s">
        <v>36</v>
      </c>
      <c r="E529" t="s">
        <v>37</v>
      </c>
      <c r="F529" t="s">
        <v>39</v>
      </c>
      <c r="G529" s="7">
        <v>43881</v>
      </c>
      <c r="H529" t="s">
        <v>41</v>
      </c>
      <c r="I529" t="s">
        <v>69</v>
      </c>
      <c r="J529" t="s">
        <v>69</v>
      </c>
      <c r="K529" t="str">
        <f>IF(HR_Data5[[#This Row],[Age]]&lt;30,"Young",IF(HR_Data5[[#This Row],[Age]]&lt;=45,"Mid-Career","Senior"))</f>
        <v>Mid-Career</v>
      </c>
      <c r="L529" s="10">
        <f ca="1">DATEDIF(HR_Data5[[#This Row],[Joining Date]],TODAY(),"Y")</f>
        <v>6</v>
      </c>
      <c r="M529" s="10" t="str">
        <f>IF(HR_Data5[[#This Row],[Salary]]&lt;55000,"Low",IF(HR_Data5[[#This Row],[Salary]]&lt;=65000,"Medium","High"))</f>
        <v>Low</v>
      </c>
      <c r="N529" s="10">
        <f>YEAR(HR_Data5[[#This Row],[Joining Date]])</f>
        <v>2020</v>
      </c>
      <c r="O529" s="10" cm="1">
        <f t="array" ref="O529">_xlfn.SWITCH(HR_Data5[[#This Row],[Performance Score]],
"A",5,
"B",4,
"C",3,
"D",2,
"F",1)</f>
        <v>4</v>
      </c>
      <c r="P529" s="10"/>
    </row>
    <row r="530" spans="1:16" x14ac:dyDescent="0.3">
      <c r="A530" t="s">
        <v>55</v>
      </c>
      <c r="B530">
        <v>35</v>
      </c>
      <c r="C530" s="6">
        <v>60000</v>
      </c>
      <c r="D530" t="s">
        <v>11</v>
      </c>
      <c r="E530" t="s">
        <v>37</v>
      </c>
      <c r="F530" t="s">
        <v>20</v>
      </c>
      <c r="G530" s="7">
        <v>43549</v>
      </c>
      <c r="H530" t="s">
        <v>41</v>
      </c>
      <c r="I530" t="s">
        <v>15</v>
      </c>
      <c r="J530" t="s">
        <v>28</v>
      </c>
      <c r="K530" t="str">
        <f>IF(HR_Data5[[#This Row],[Age]]&lt;30,"Young",IF(HR_Data5[[#This Row],[Age]]&lt;=45,"Mid-Career","Senior"))</f>
        <v>Mid-Career</v>
      </c>
      <c r="L530" s="10">
        <f ca="1">DATEDIF(HR_Data5[[#This Row],[Joining Date]],TODAY(),"Y")</f>
        <v>6</v>
      </c>
      <c r="M530" s="10" t="str">
        <f>IF(HR_Data5[[#This Row],[Salary]]&lt;55000,"Low",IF(HR_Data5[[#This Row],[Salary]]&lt;=65000,"Medium","High"))</f>
        <v>Medium</v>
      </c>
      <c r="N530" s="10">
        <f>YEAR(HR_Data5[[#This Row],[Joining Date]])</f>
        <v>2019</v>
      </c>
      <c r="O530" s="10" cm="1">
        <f t="array" ref="O530">_xlfn.SWITCH(HR_Data5[[#This Row],[Performance Score]],
"A",5,
"B",4,
"C",3,
"D",2,
"F",1)</f>
        <v>4</v>
      </c>
      <c r="P530" s="10"/>
    </row>
    <row r="531" spans="1:16" x14ac:dyDescent="0.3">
      <c r="A531" t="s">
        <v>55</v>
      </c>
      <c r="B531">
        <v>30</v>
      </c>
      <c r="C531" s="6">
        <v>50000</v>
      </c>
      <c r="D531" t="s">
        <v>36</v>
      </c>
      <c r="E531" t="s">
        <v>37</v>
      </c>
      <c r="F531" t="s">
        <v>44</v>
      </c>
      <c r="G531" s="7">
        <v>43881</v>
      </c>
      <c r="H531" t="s">
        <v>31</v>
      </c>
      <c r="I531" t="s">
        <v>22</v>
      </c>
      <c r="J531" t="s">
        <v>28</v>
      </c>
      <c r="K531" t="str">
        <f>IF(HR_Data5[[#This Row],[Age]]&lt;30,"Young",IF(HR_Data5[[#This Row],[Age]]&lt;=45,"Mid-Career","Senior"))</f>
        <v>Mid-Career</v>
      </c>
      <c r="L531" s="10">
        <f ca="1">DATEDIF(HR_Data5[[#This Row],[Joining Date]],TODAY(),"Y")</f>
        <v>6</v>
      </c>
      <c r="M531" s="10" t="str">
        <f>IF(HR_Data5[[#This Row],[Salary]]&lt;55000,"Low",IF(HR_Data5[[#This Row],[Salary]]&lt;=65000,"Medium","High"))</f>
        <v>Low</v>
      </c>
      <c r="N531" s="10">
        <f>YEAR(HR_Data5[[#This Row],[Joining Date]])</f>
        <v>2020</v>
      </c>
      <c r="O531" s="10" cm="1">
        <f t="array" ref="O531">_xlfn.SWITCH(HR_Data5[[#This Row],[Performance Score]],
"A",5,
"B",4,
"C",3,
"D",2,
"F",1)</f>
        <v>5</v>
      </c>
      <c r="P531" s="10"/>
    </row>
    <row r="532" spans="1:16" x14ac:dyDescent="0.3">
      <c r="A532" t="s">
        <v>51</v>
      </c>
      <c r="B532">
        <v>35</v>
      </c>
      <c r="C532" s="6">
        <v>70000</v>
      </c>
      <c r="D532" t="s">
        <v>11</v>
      </c>
      <c r="E532" t="s">
        <v>19</v>
      </c>
      <c r="F532" t="s">
        <v>43</v>
      </c>
      <c r="G532" s="7">
        <v>43800</v>
      </c>
      <c r="H532" t="s">
        <v>21</v>
      </c>
      <c r="I532" t="s">
        <v>22</v>
      </c>
      <c r="J532" t="s">
        <v>23</v>
      </c>
      <c r="K532" t="str">
        <f>IF(HR_Data5[[#This Row],[Age]]&lt;30,"Young",IF(HR_Data5[[#This Row],[Age]]&lt;=45,"Mid-Career","Senior"))</f>
        <v>Mid-Career</v>
      </c>
      <c r="L532" s="10">
        <f ca="1">DATEDIF(HR_Data5[[#This Row],[Joining Date]],TODAY(),"Y")</f>
        <v>6</v>
      </c>
      <c r="M532" s="10" t="str">
        <f>IF(HR_Data5[[#This Row],[Salary]]&lt;55000,"Low",IF(HR_Data5[[#This Row],[Salary]]&lt;=65000,"Medium","High"))</f>
        <v>High</v>
      </c>
      <c r="N532" s="10">
        <f>YEAR(HR_Data5[[#This Row],[Joining Date]])</f>
        <v>2019</v>
      </c>
      <c r="O532" s="10" cm="1">
        <f t="array" ref="O532">_xlfn.SWITCH(HR_Data5[[#This Row],[Performance Score]],
"A",5,
"B",4,
"C",3,
"D",2,
"F",1)</f>
        <v>1</v>
      </c>
      <c r="P532" s="10"/>
    </row>
    <row r="533" spans="1:16" x14ac:dyDescent="0.3">
      <c r="A533" t="s">
        <v>55</v>
      </c>
      <c r="B533">
        <v>40</v>
      </c>
      <c r="C533" s="6">
        <v>60000</v>
      </c>
      <c r="D533" t="s">
        <v>11</v>
      </c>
      <c r="E533" t="s">
        <v>30</v>
      </c>
      <c r="F533" t="s">
        <v>20</v>
      </c>
      <c r="G533" s="7">
        <v>43845</v>
      </c>
      <c r="H533" t="s">
        <v>31</v>
      </c>
      <c r="I533" t="s">
        <v>69</v>
      </c>
      <c r="J533" t="s">
        <v>69</v>
      </c>
      <c r="K533" t="str">
        <f>IF(HR_Data5[[#This Row],[Age]]&lt;30,"Young",IF(HR_Data5[[#This Row],[Age]]&lt;=45,"Mid-Career","Senior"))</f>
        <v>Mid-Career</v>
      </c>
      <c r="L533" s="10">
        <f ca="1">DATEDIF(HR_Data5[[#This Row],[Joining Date]],TODAY(),"Y")</f>
        <v>6</v>
      </c>
      <c r="M533" s="10" t="str">
        <f>IF(HR_Data5[[#This Row],[Salary]]&lt;55000,"Low",IF(HR_Data5[[#This Row],[Salary]]&lt;=65000,"Medium","High"))</f>
        <v>Medium</v>
      </c>
      <c r="N533" s="10">
        <f>YEAR(HR_Data5[[#This Row],[Joining Date]])</f>
        <v>2020</v>
      </c>
      <c r="O533" s="10" cm="1">
        <f t="array" ref="O533">_xlfn.SWITCH(HR_Data5[[#This Row],[Performance Score]],
"A",5,
"B",4,
"C",3,
"D",2,
"F",1)</f>
        <v>5</v>
      </c>
      <c r="P533" s="10"/>
    </row>
    <row r="534" spans="1:16" x14ac:dyDescent="0.3">
      <c r="A534" t="s">
        <v>54</v>
      </c>
      <c r="B534">
        <v>40</v>
      </c>
      <c r="C534" s="6">
        <v>60000</v>
      </c>
      <c r="D534" t="s">
        <v>11</v>
      </c>
      <c r="E534" t="s">
        <v>12</v>
      </c>
      <c r="F534" t="s">
        <v>43</v>
      </c>
      <c r="G534" s="7">
        <v>43881</v>
      </c>
      <c r="H534" t="s">
        <v>41</v>
      </c>
      <c r="I534" t="s">
        <v>32</v>
      </c>
      <c r="J534" t="s">
        <v>23</v>
      </c>
      <c r="K534" t="str">
        <f>IF(HR_Data5[[#This Row],[Age]]&lt;30,"Young",IF(HR_Data5[[#This Row],[Age]]&lt;=45,"Mid-Career","Senior"))</f>
        <v>Mid-Career</v>
      </c>
      <c r="L534" s="10">
        <f ca="1">DATEDIF(HR_Data5[[#This Row],[Joining Date]],TODAY(),"Y")</f>
        <v>6</v>
      </c>
      <c r="M534" s="10" t="str">
        <f>IF(HR_Data5[[#This Row],[Salary]]&lt;55000,"Low",IF(HR_Data5[[#This Row],[Salary]]&lt;=65000,"Medium","High"))</f>
        <v>Medium</v>
      </c>
      <c r="N534" s="10">
        <f>YEAR(HR_Data5[[#This Row],[Joining Date]])</f>
        <v>2020</v>
      </c>
      <c r="O534" s="10" cm="1">
        <f t="array" ref="O534">_xlfn.SWITCH(HR_Data5[[#This Row],[Performance Score]],
"A",5,
"B",4,
"C",3,
"D",2,
"F",1)</f>
        <v>4</v>
      </c>
      <c r="P534" s="10"/>
    </row>
    <row r="535" spans="1:16" x14ac:dyDescent="0.3">
      <c r="A535" t="s">
        <v>56</v>
      </c>
      <c r="B535">
        <v>25</v>
      </c>
      <c r="C535" s="6">
        <v>50000</v>
      </c>
      <c r="D535" t="s">
        <v>11</v>
      </c>
      <c r="E535" t="s">
        <v>26</v>
      </c>
      <c r="F535" t="s">
        <v>44</v>
      </c>
      <c r="G535" s="7">
        <v>43800</v>
      </c>
      <c r="H535" t="s">
        <v>41</v>
      </c>
      <c r="I535" t="s">
        <v>69</v>
      </c>
      <c r="J535" t="s">
        <v>69</v>
      </c>
      <c r="K535" t="str">
        <f>IF(HR_Data5[[#This Row],[Age]]&lt;30,"Young",IF(HR_Data5[[#This Row],[Age]]&lt;=45,"Mid-Career","Senior"))</f>
        <v>Young</v>
      </c>
      <c r="L535" s="10">
        <f ca="1">DATEDIF(HR_Data5[[#This Row],[Joining Date]],TODAY(),"Y")</f>
        <v>6</v>
      </c>
      <c r="M535" s="10" t="str">
        <f>IF(HR_Data5[[#This Row],[Salary]]&lt;55000,"Low",IF(HR_Data5[[#This Row],[Salary]]&lt;=65000,"Medium","High"))</f>
        <v>Low</v>
      </c>
      <c r="N535" s="10">
        <f>YEAR(HR_Data5[[#This Row],[Joining Date]])</f>
        <v>2019</v>
      </c>
      <c r="O535" s="10" cm="1">
        <f t="array" ref="O535">_xlfn.SWITCH(HR_Data5[[#This Row],[Performance Score]],
"A",5,
"B",4,
"C",3,
"D",2,
"F",1)</f>
        <v>4</v>
      </c>
      <c r="P535" s="10"/>
    </row>
    <row r="536" spans="1:16" x14ac:dyDescent="0.3">
      <c r="A536" t="s">
        <v>51</v>
      </c>
      <c r="B536">
        <v>50</v>
      </c>
      <c r="C536" s="6">
        <v>70000</v>
      </c>
      <c r="D536" t="s">
        <v>18</v>
      </c>
      <c r="E536" t="s">
        <v>26</v>
      </c>
      <c r="F536" t="s">
        <v>20</v>
      </c>
      <c r="G536" s="7">
        <v>43195</v>
      </c>
      <c r="H536" t="s">
        <v>21</v>
      </c>
      <c r="I536" t="s">
        <v>32</v>
      </c>
      <c r="J536" t="s">
        <v>45</v>
      </c>
      <c r="K536" t="str">
        <f>IF(HR_Data5[[#This Row],[Age]]&lt;30,"Young",IF(HR_Data5[[#This Row],[Age]]&lt;=45,"Mid-Career","Senior"))</f>
        <v>Senior</v>
      </c>
      <c r="L536" s="10">
        <f ca="1">DATEDIF(HR_Data5[[#This Row],[Joining Date]],TODAY(),"Y")</f>
        <v>7</v>
      </c>
      <c r="M536" s="10" t="str">
        <f>IF(HR_Data5[[#This Row],[Salary]]&lt;55000,"Low",IF(HR_Data5[[#This Row],[Salary]]&lt;=65000,"Medium","High"))</f>
        <v>High</v>
      </c>
      <c r="N536" s="10">
        <f>YEAR(HR_Data5[[#This Row],[Joining Date]])</f>
        <v>2018</v>
      </c>
      <c r="O536" s="10" cm="1">
        <f t="array" ref="O536">_xlfn.SWITCH(HR_Data5[[#This Row],[Performance Score]],
"A",5,
"B",4,
"C",3,
"D",2,
"F",1)</f>
        <v>1</v>
      </c>
      <c r="P536" s="10"/>
    </row>
    <row r="537" spans="1:16" x14ac:dyDescent="0.3">
      <c r="A537" t="s">
        <v>58</v>
      </c>
      <c r="B537">
        <v>35</v>
      </c>
      <c r="C537" s="6">
        <v>65000</v>
      </c>
      <c r="D537" t="s">
        <v>36</v>
      </c>
      <c r="E537" t="s">
        <v>30</v>
      </c>
      <c r="F537" t="s">
        <v>44</v>
      </c>
      <c r="G537" s="7">
        <v>43549</v>
      </c>
      <c r="H537" t="s">
        <v>14</v>
      </c>
      <c r="I537" t="s">
        <v>22</v>
      </c>
      <c r="J537" t="s">
        <v>45</v>
      </c>
      <c r="K537" t="str">
        <f>IF(HR_Data5[[#This Row],[Age]]&lt;30,"Young",IF(HR_Data5[[#This Row],[Age]]&lt;=45,"Mid-Career","Senior"))</f>
        <v>Mid-Career</v>
      </c>
      <c r="L537" s="10">
        <f ca="1">DATEDIF(HR_Data5[[#This Row],[Joining Date]],TODAY(),"Y")</f>
        <v>6</v>
      </c>
      <c r="M537" s="10" t="str">
        <f>IF(HR_Data5[[#This Row],[Salary]]&lt;55000,"Low",IF(HR_Data5[[#This Row],[Salary]]&lt;=65000,"Medium","High"))</f>
        <v>Medium</v>
      </c>
      <c r="N537" s="10">
        <f>YEAR(HR_Data5[[#This Row],[Joining Date]])</f>
        <v>2019</v>
      </c>
      <c r="O537" s="10" cm="1">
        <f t="array" ref="O537">_xlfn.SWITCH(HR_Data5[[#This Row],[Performance Score]],
"A",5,
"B",4,
"C",3,
"D",2,
"F",1)</f>
        <v>2</v>
      </c>
      <c r="P537" s="10"/>
    </row>
    <row r="538" spans="1:16" x14ac:dyDescent="0.3">
      <c r="A538" t="s">
        <v>60</v>
      </c>
      <c r="B538">
        <v>36</v>
      </c>
      <c r="C538" s="6">
        <v>70000</v>
      </c>
      <c r="D538" t="s">
        <v>36</v>
      </c>
      <c r="E538" t="s">
        <v>37</v>
      </c>
      <c r="F538" t="s">
        <v>13</v>
      </c>
      <c r="G538" s="7">
        <v>43881</v>
      </c>
      <c r="H538" t="s">
        <v>14</v>
      </c>
      <c r="I538" t="s">
        <v>15</v>
      </c>
      <c r="J538" t="s">
        <v>69</v>
      </c>
      <c r="K538" t="str">
        <f>IF(HR_Data5[[#This Row],[Age]]&lt;30,"Young",IF(HR_Data5[[#This Row],[Age]]&lt;=45,"Mid-Career","Senior"))</f>
        <v>Mid-Career</v>
      </c>
      <c r="L538" s="10">
        <f ca="1">DATEDIF(HR_Data5[[#This Row],[Joining Date]],TODAY(),"Y")</f>
        <v>6</v>
      </c>
      <c r="M538" s="10" t="str">
        <f>IF(HR_Data5[[#This Row],[Salary]]&lt;55000,"Low",IF(HR_Data5[[#This Row],[Salary]]&lt;=65000,"Medium","High"))</f>
        <v>High</v>
      </c>
      <c r="N538" s="10">
        <f>YEAR(HR_Data5[[#This Row],[Joining Date]])</f>
        <v>2020</v>
      </c>
      <c r="O538" s="10" cm="1">
        <f t="array" ref="O538">_xlfn.SWITCH(HR_Data5[[#This Row],[Performance Score]],
"A",5,
"B",4,
"C",3,
"D",2,
"F",1)</f>
        <v>2</v>
      </c>
      <c r="P538" s="10"/>
    </row>
    <row r="539" spans="1:16" x14ac:dyDescent="0.3">
      <c r="A539" t="s">
        <v>55</v>
      </c>
      <c r="B539">
        <v>25</v>
      </c>
      <c r="C539" s="6">
        <v>55000</v>
      </c>
      <c r="D539" t="s">
        <v>36</v>
      </c>
      <c r="E539" t="s">
        <v>12</v>
      </c>
      <c r="F539" t="s">
        <v>44</v>
      </c>
      <c r="G539" s="7">
        <v>43845</v>
      </c>
      <c r="H539" t="s">
        <v>21</v>
      </c>
      <c r="I539" t="s">
        <v>69</v>
      </c>
      <c r="J539" t="s">
        <v>23</v>
      </c>
      <c r="K539" t="str">
        <f>IF(HR_Data5[[#This Row],[Age]]&lt;30,"Young",IF(HR_Data5[[#This Row],[Age]]&lt;=45,"Mid-Career","Senior"))</f>
        <v>Young</v>
      </c>
      <c r="L539" s="10">
        <f ca="1">DATEDIF(HR_Data5[[#This Row],[Joining Date]],TODAY(),"Y")</f>
        <v>6</v>
      </c>
      <c r="M539" s="10" t="str">
        <f>IF(HR_Data5[[#This Row],[Salary]]&lt;55000,"Low",IF(HR_Data5[[#This Row],[Salary]]&lt;=65000,"Medium","High"))</f>
        <v>Medium</v>
      </c>
      <c r="N539" s="10">
        <f>YEAR(HR_Data5[[#This Row],[Joining Date]])</f>
        <v>2020</v>
      </c>
      <c r="O539" s="10" cm="1">
        <f t="array" ref="O539">_xlfn.SWITCH(HR_Data5[[#This Row],[Performance Score]],
"A",5,
"B",4,
"C",3,
"D",2,
"F",1)</f>
        <v>1</v>
      </c>
      <c r="P539" s="10"/>
    </row>
    <row r="540" spans="1:16" x14ac:dyDescent="0.3">
      <c r="A540" t="s">
        <v>55</v>
      </c>
      <c r="B540">
        <v>35</v>
      </c>
      <c r="C540" s="6" t="s">
        <v>68</v>
      </c>
      <c r="D540" t="s">
        <v>11</v>
      </c>
      <c r="E540" t="s">
        <v>26</v>
      </c>
      <c r="F540" t="s">
        <v>43</v>
      </c>
      <c r="G540" s="7">
        <v>43195</v>
      </c>
      <c r="H540" t="s">
        <v>21</v>
      </c>
      <c r="I540" t="s">
        <v>22</v>
      </c>
      <c r="J540" t="s">
        <v>23</v>
      </c>
      <c r="K540" t="str">
        <f>IF(HR_Data5[[#This Row],[Age]]&lt;30,"Young",IF(HR_Data5[[#This Row],[Age]]&lt;=45,"Mid-Career","Senior"))</f>
        <v>Mid-Career</v>
      </c>
      <c r="L540" s="10">
        <f ca="1">DATEDIF(HR_Data5[[#This Row],[Joining Date]],TODAY(),"Y")</f>
        <v>7</v>
      </c>
      <c r="M540" s="10" t="str">
        <f>IF(HR_Data5[[#This Row],[Salary]]&lt;55000,"Low",IF(HR_Data5[[#This Row],[Salary]]&lt;=65000,"Medium","High"))</f>
        <v>High</v>
      </c>
      <c r="N540" s="10">
        <f>YEAR(HR_Data5[[#This Row],[Joining Date]])</f>
        <v>2018</v>
      </c>
      <c r="O540" s="10" cm="1">
        <f t="array" ref="O540">_xlfn.SWITCH(HR_Data5[[#This Row],[Performance Score]],
"A",5,
"B",4,
"C",3,
"D",2,
"F",1)</f>
        <v>1</v>
      </c>
      <c r="P540" s="10"/>
    </row>
    <row r="541" spans="1:16" x14ac:dyDescent="0.3">
      <c r="A541" t="s">
        <v>59</v>
      </c>
      <c r="B541">
        <v>35</v>
      </c>
      <c r="C541" s="6">
        <v>65000</v>
      </c>
      <c r="D541" t="s">
        <v>18</v>
      </c>
      <c r="E541" t="s">
        <v>26</v>
      </c>
      <c r="F541" t="s">
        <v>39</v>
      </c>
      <c r="G541" s="7">
        <v>43800</v>
      </c>
      <c r="H541" t="s">
        <v>31</v>
      </c>
      <c r="I541" t="s">
        <v>15</v>
      </c>
      <c r="J541" t="s">
        <v>69</v>
      </c>
      <c r="K541" t="str">
        <f>IF(HR_Data5[[#This Row],[Age]]&lt;30,"Young",IF(HR_Data5[[#This Row],[Age]]&lt;=45,"Mid-Career","Senior"))</f>
        <v>Mid-Career</v>
      </c>
      <c r="L541" s="10">
        <f ca="1">DATEDIF(HR_Data5[[#This Row],[Joining Date]],TODAY(),"Y")</f>
        <v>6</v>
      </c>
      <c r="M541" s="10" t="str">
        <f>IF(HR_Data5[[#This Row],[Salary]]&lt;55000,"Low",IF(HR_Data5[[#This Row],[Salary]]&lt;=65000,"Medium","High"))</f>
        <v>Medium</v>
      </c>
      <c r="N541" s="10">
        <f>YEAR(HR_Data5[[#This Row],[Joining Date]])</f>
        <v>2019</v>
      </c>
      <c r="O541" s="10" cm="1">
        <f t="array" ref="O541">_xlfn.SWITCH(HR_Data5[[#This Row],[Performance Score]],
"A",5,
"B",4,
"C",3,
"D",2,
"F",1)</f>
        <v>5</v>
      </c>
      <c r="P541" s="10"/>
    </row>
    <row r="542" spans="1:16" x14ac:dyDescent="0.3">
      <c r="A542" t="s">
        <v>57</v>
      </c>
      <c r="B542">
        <v>25</v>
      </c>
      <c r="C542" s="6">
        <v>60000</v>
      </c>
      <c r="D542" t="s">
        <v>36</v>
      </c>
      <c r="E542" t="s">
        <v>37</v>
      </c>
      <c r="F542" t="s">
        <v>44</v>
      </c>
      <c r="G542" s="7">
        <v>43549</v>
      </c>
      <c r="H542" t="s">
        <v>21</v>
      </c>
      <c r="I542" t="s">
        <v>22</v>
      </c>
      <c r="J542" t="s">
        <v>45</v>
      </c>
      <c r="K542" t="str">
        <f>IF(HR_Data5[[#This Row],[Age]]&lt;30,"Young",IF(HR_Data5[[#This Row],[Age]]&lt;=45,"Mid-Career","Senior"))</f>
        <v>Young</v>
      </c>
      <c r="L542" s="10">
        <f ca="1">DATEDIF(HR_Data5[[#This Row],[Joining Date]],TODAY(),"Y")</f>
        <v>6</v>
      </c>
      <c r="M542" s="10" t="str">
        <f>IF(HR_Data5[[#This Row],[Salary]]&lt;55000,"Low",IF(HR_Data5[[#This Row],[Salary]]&lt;=65000,"Medium","High"))</f>
        <v>Medium</v>
      </c>
      <c r="N542" s="10">
        <f>YEAR(HR_Data5[[#This Row],[Joining Date]])</f>
        <v>2019</v>
      </c>
      <c r="O542" s="10" cm="1">
        <f t="array" ref="O542">_xlfn.SWITCH(HR_Data5[[#This Row],[Performance Score]],
"A",5,
"B",4,
"C",3,
"D",2,
"F",1)</f>
        <v>1</v>
      </c>
      <c r="P542" s="10"/>
    </row>
    <row r="543" spans="1:16" x14ac:dyDescent="0.3">
      <c r="A543" t="s">
        <v>51</v>
      </c>
      <c r="B543">
        <v>40</v>
      </c>
      <c r="C543" s="6">
        <v>65000</v>
      </c>
      <c r="D543" t="s">
        <v>18</v>
      </c>
      <c r="E543" t="s">
        <v>30</v>
      </c>
      <c r="F543" t="s">
        <v>39</v>
      </c>
      <c r="G543" s="7">
        <v>43845</v>
      </c>
      <c r="H543" t="s">
        <v>14</v>
      </c>
      <c r="I543" t="s">
        <v>69</v>
      </c>
      <c r="J543" t="s">
        <v>23</v>
      </c>
      <c r="K543" t="str">
        <f>IF(HR_Data5[[#This Row],[Age]]&lt;30,"Young",IF(HR_Data5[[#This Row],[Age]]&lt;=45,"Mid-Career","Senior"))</f>
        <v>Mid-Career</v>
      </c>
      <c r="L543" s="10">
        <f ca="1">DATEDIF(HR_Data5[[#This Row],[Joining Date]],TODAY(),"Y")</f>
        <v>6</v>
      </c>
      <c r="M543" s="10" t="str">
        <f>IF(HR_Data5[[#This Row],[Salary]]&lt;55000,"Low",IF(HR_Data5[[#This Row],[Salary]]&lt;=65000,"Medium","High"))</f>
        <v>Medium</v>
      </c>
      <c r="N543" s="10">
        <f>YEAR(HR_Data5[[#This Row],[Joining Date]])</f>
        <v>2020</v>
      </c>
      <c r="O543" s="10" cm="1">
        <f t="array" ref="O543">_xlfn.SWITCH(HR_Data5[[#This Row],[Performance Score]],
"A",5,
"B",4,
"C",3,
"D",2,
"F",1)</f>
        <v>2</v>
      </c>
      <c r="P543" s="10"/>
    </row>
    <row r="544" spans="1:16" x14ac:dyDescent="0.3">
      <c r="A544" t="s">
        <v>53</v>
      </c>
      <c r="B544">
        <v>35</v>
      </c>
      <c r="C544" s="6">
        <v>60000</v>
      </c>
      <c r="D544" t="s">
        <v>11</v>
      </c>
      <c r="E544" t="s">
        <v>12</v>
      </c>
      <c r="F544" t="s">
        <v>13</v>
      </c>
      <c r="G544" s="7">
        <v>43800</v>
      </c>
      <c r="H544" t="s">
        <v>21</v>
      </c>
      <c r="I544" t="s">
        <v>32</v>
      </c>
      <c r="J544" t="s">
        <v>69</v>
      </c>
      <c r="K544" t="str">
        <f>IF(HR_Data5[[#This Row],[Age]]&lt;30,"Young",IF(HR_Data5[[#This Row],[Age]]&lt;=45,"Mid-Career","Senior"))</f>
        <v>Mid-Career</v>
      </c>
      <c r="L544" s="10">
        <f ca="1">DATEDIF(HR_Data5[[#This Row],[Joining Date]],TODAY(),"Y")</f>
        <v>6</v>
      </c>
      <c r="M544" s="10" t="str">
        <f>IF(HR_Data5[[#This Row],[Salary]]&lt;55000,"Low",IF(HR_Data5[[#This Row],[Salary]]&lt;=65000,"Medium","High"))</f>
        <v>Medium</v>
      </c>
      <c r="N544" s="10">
        <f>YEAR(HR_Data5[[#This Row],[Joining Date]])</f>
        <v>2019</v>
      </c>
      <c r="O544" s="10" cm="1">
        <f t="array" ref="O544">_xlfn.SWITCH(HR_Data5[[#This Row],[Performance Score]],
"A",5,
"B",4,
"C",3,
"D",2,
"F",1)</f>
        <v>1</v>
      </c>
      <c r="P544" s="10"/>
    </row>
    <row r="545" spans="1:16" x14ac:dyDescent="0.3">
      <c r="A545" t="s">
        <v>55</v>
      </c>
      <c r="B545">
        <v>40</v>
      </c>
      <c r="C545" s="6">
        <v>60000</v>
      </c>
      <c r="D545" t="s">
        <v>36</v>
      </c>
      <c r="E545" t="s">
        <v>30</v>
      </c>
      <c r="F545" t="s">
        <v>20</v>
      </c>
      <c r="G545" s="7">
        <v>43800</v>
      </c>
      <c r="H545" t="s">
        <v>31</v>
      </c>
      <c r="I545" t="s">
        <v>22</v>
      </c>
      <c r="J545" t="s">
        <v>45</v>
      </c>
      <c r="K545" t="str">
        <f>IF(HR_Data5[[#This Row],[Age]]&lt;30,"Young",IF(HR_Data5[[#This Row],[Age]]&lt;=45,"Mid-Career","Senior"))</f>
        <v>Mid-Career</v>
      </c>
      <c r="L545" s="10">
        <f ca="1">DATEDIF(HR_Data5[[#This Row],[Joining Date]],TODAY(),"Y")</f>
        <v>6</v>
      </c>
      <c r="M545" s="10" t="str">
        <f>IF(HR_Data5[[#This Row],[Salary]]&lt;55000,"Low",IF(HR_Data5[[#This Row],[Salary]]&lt;=65000,"Medium","High"))</f>
        <v>Medium</v>
      </c>
      <c r="N545" s="10">
        <f>YEAR(HR_Data5[[#This Row],[Joining Date]])</f>
        <v>2019</v>
      </c>
      <c r="O545" s="10" cm="1">
        <f t="array" ref="O545">_xlfn.SWITCH(HR_Data5[[#This Row],[Performance Score]],
"A",5,
"B",4,
"C",3,
"D",2,
"F",1)</f>
        <v>5</v>
      </c>
      <c r="P545" s="10"/>
    </row>
    <row r="546" spans="1:16" x14ac:dyDescent="0.3">
      <c r="A546" t="s">
        <v>60</v>
      </c>
      <c r="B546">
        <v>25</v>
      </c>
      <c r="C546" s="6">
        <v>65000</v>
      </c>
      <c r="D546" t="s">
        <v>18</v>
      </c>
      <c r="E546" t="s">
        <v>30</v>
      </c>
      <c r="F546" t="s">
        <v>20</v>
      </c>
      <c r="G546" s="7">
        <v>43881</v>
      </c>
      <c r="H546" t="s">
        <v>31</v>
      </c>
      <c r="I546" t="s">
        <v>15</v>
      </c>
      <c r="J546" t="s">
        <v>69</v>
      </c>
      <c r="K546" t="str">
        <f>IF(HR_Data5[[#This Row],[Age]]&lt;30,"Young",IF(HR_Data5[[#This Row],[Age]]&lt;=45,"Mid-Career","Senior"))</f>
        <v>Young</v>
      </c>
      <c r="L546" s="10">
        <f ca="1">DATEDIF(HR_Data5[[#This Row],[Joining Date]],TODAY(),"Y")</f>
        <v>6</v>
      </c>
      <c r="M546" s="10" t="str">
        <f>IF(HR_Data5[[#This Row],[Salary]]&lt;55000,"Low",IF(HR_Data5[[#This Row],[Salary]]&lt;=65000,"Medium","High"))</f>
        <v>Medium</v>
      </c>
      <c r="N546" s="10">
        <f>YEAR(HR_Data5[[#This Row],[Joining Date]])</f>
        <v>2020</v>
      </c>
      <c r="O546" s="10" cm="1">
        <f t="array" ref="O546">_xlfn.SWITCH(HR_Data5[[#This Row],[Performance Score]],
"A",5,
"B",4,
"C",3,
"D",2,
"F",1)</f>
        <v>5</v>
      </c>
      <c r="P546" s="10"/>
    </row>
    <row r="547" spans="1:16" x14ac:dyDescent="0.3">
      <c r="A547" t="s">
        <v>58</v>
      </c>
      <c r="B547">
        <v>40</v>
      </c>
      <c r="C547" s="6">
        <v>60000</v>
      </c>
      <c r="D547" t="s">
        <v>11</v>
      </c>
      <c r="E547" t="s">
        <v>12</v>
      </c>
      <c r="F547" t="s">
        <v>39</v>
      </c>
      <c r="G547" s="7">
        <v>43881</v>
      </c>
      <c r="H547" t="s">
        <v>31</v>
      </c>
      <c r="I547" t="s">
        <v>69</v>
      </c>
      <c r="J547" t="s">
        <v>69</v>
      </c>
      <c r="K547" t="str">
        <f>IF(HR_Data5[[#This Row],[Age]]&lt;30,"Young",IF(HR_Data5[[#This Row],[Age]]&lt;=45,"Mid-Career","Senior"))</f>
        <v>Mid-Career</v>
      </c>
      <c r="L547" s="10">
        <f ca="1">DATEDIF(HR_Data5[[#This Row],[Joining Date]],TODAY(),"Y")</f>
        <v>6</v>
      </c>
      <c r="M547" s="10" t="str">
        <f>IF(HR_Data5[[#This Row],[Salary]]&lt;55000,"Low",IF(HR_Data5[[#This Row],[Salary]]&lt;=65000,"Medium","High"))</f>
        <v>Medium</v>
      </c>
      <c r="N547" s="10">
        <f>YEAR(HR_Data5[[#This Row],[Joining Date]])</f>
        <v>2020</v>
      </c>
      <c r="O547" s="10" cm="1">
        <f t="array" ref="O547">_xlfn.SWITCH(HR_Data5[[#This Row],[Performance Score]],
"A",5,
"B",4,
"C",3,
"D",2,
"F",1)</f>
        <v>5</v>
      </c>
      <c r="P547" s="10"/>
    </row>
    <row r="548" spans="1:16" x14ac:dyDescent="0.3">
      <c r="A548" t="s">
        <v>55</v>
      </c>
      <c r="B548">
        <v>30</v>
      </c>
      <c r="C548" s="6">
        <v>60000</v>
      </c>
      <c r="D548" t="s">
        <v>18</v>
      </c>
      <c r="E548" t="s">
        <v>12</v>
      </c>
      <c r="F548" t="s">
        <v>20</v>
      </c>
      <c r="G548" s="7">
        <v>43845</v>
      </c>
      <c r="H548" t="s">
        <v>31</v>
      </c>
      <c r="I548" t="s">
        <v>69</v>
      </c>
      <c r="J548" t="s">
        <v>28</v>
      </c>
      <c r="K548" t="str">
        <f>IF(HR_Data5[[#This Row],[Age]]&lt;30,"Young",IF(HR_Data5[[#This Row],[Age]]&lt;=45,"Mid-Career","Senior"))</f>
        <v>Mid-Career</v>
      </c>
      <c r="L548" s="10">
        <f ca="1">DATEDIF(HR_Data5[[#This Row],[Joining Date]],TODAY(),"Y")</f>
        <v>6</v>
      </c>
      <c r="M548" s="10" t="str">
        <f>IF(HR_Data5[[#This Row],[Salary]]&lt;55000,"Low",IF(HR_Data5[[#This Row],[Salary]]&lt;=65000,"Medium","High"))</f>
        <v>Medium</v>
      </c>
      <c r="N548" s="10">
        <f>YEAR(HR_Data5[[#This Row],[Joining Date]])</f>
        <v>2020</v>
      </c>
      <c r="O548" s="10" cm="1">
        <f t="array" ref="O548">_xlfn.SWITCH(HR_Data5[[#This Row],[Performance Score]],
"A",5,
"B",4,
"C",3,
"D",2,
"F",1)</f>
        <v>5</v>
      </c>
      <c r="P548" s="10"/>
    </row>
    <row r="549" spans="1:16" x14ac:dyDescent="0.3">
      <c r="A549" t="s">
        <v>58</v>
      </c>
      <c r="B549">
        <v>36</v>
      </c>
      <c r="C549" s="6">
        <v>55000</v>
      </c>
      <c r="D549" t="s">
        <v>36</v>
      </c>
      <c r="E549" t="s">
        <v>26</v>
      </c>
      <c r="F549" t="s">
        <v>44</v>
      </c>
      <c r="G549" s="7">
        <v>43800</v>
      </c>
      <c r="H549" t="s">
        <v>27</v>
      </c>
      <c r="I549" t="s">
        <v>69</v>
      </c>
      <c r="J549" t="s">
        <v>69</v>
      </c>
      <c r="K549" t="str">
        <f>IF(HR_Data5[[#This Row],[Age]]&lt;30,"Young",IF(HR_Data5[[#This Row],[Age]]&lt;=45,"Mid-Career","Senior"))</f>
        <v>Mid-Career</v>
      </c>
      <c r="L549" s="10">
        <f ca="1">DATEDIF(HR_Data5[[#This Row],[Joining Date]],TODAY(),"Y")</f>
        <v>6</v>
      </c>
      <c r="M549" s="10" t="str">
        <f>IF(HR_Data5[[#This Row],[Salary]]&lt;55000,"Low",IF(HR_Data5[[#This Row],[Salary]]&lt;=65000,"Medium","High"))</f>
        <v>Medium</v>
      </c>
      <c r="N549" s="10">
        <f>YEAR(HR_Data5[[#This Row],[Joining Date]])</f>
        <v>2019</v>
      </c>
      <c r="O549" s="10" cm="1">
        <f t="array" ref="O549">_xlfn.SWITCH(HR_Data5[[#This Row],[Performance Score]],
"A",5,
"B",4,
"C",3,
"D",2,
"F",1)</f>
        <v>3</v>
      </c>
      <c r="P549" s="10"/>
    </row>
    <row r="550" spans="1:16" x14ac:dyDescent="0.3">
      <c r="A550" t="s">
        <v>54</v>
      </c>
      <c r="B550">
        <v>35</v>
      </c>
      <c r="C550" s="6">
        <v>70000</v>
      </c>
      <c r="D550" t="s">
        <v>36</v>
      </c>
      <c r="E550" t="s">
        <v>26</v>
      </c>
      <c r="F550" t="s">
        <v>39</v>
      </c>
      <c r="G550" s="7">
        <v>43881</v>
      </c>
      <c r="H550" t="s">
        <v>21</v>
      </c>
      <c r="I550" t="s">
        <v>32</v>
      </c>
      <c r="J550" t="s">
        <v>69</v>
      </c>
      <c r="K550" t="str">
        <f>IF(HR_Data5[[#This Row],[Age]]&lt;30,"Young",IF(HR_Data5[[#This Row],[Age]]&lt;=45,"Mid-Career","Senior"))</f>
        <v>Mid-Career</v>
      </c>
      <c r="L550" s="10">
        <f ca="1">DATEDIF(HR_Data5[[#This Row],[Joining Date]],TODAY(),"Y")</f>
        <v>6</v>
      </c>
      <c r="M550" s="10" t="str">
        <f>IF(HR_Data5[[#This Row],[Salary]]&lt;55000,"Low",IF(HR_Data5[[#This Row],[Salary]]&lt;=65000,"Medium","High"))</f>
        <v>High</v>
      </c>
      <c r="N550" s="10">
        <f>YEAR(HR_Data5[[#This Row],[Joining Date]])</f>
        <v>2020</v>
      </c>
      <c r="O550" s="10" cm="1">
        <f t="array" ref="O550">_xlfn.SWITCH(HR_Data5[[#This Row],[Performance Score]],
"A",5,
"B",4,
"C",3,
"D",2,
"F",1)</f>
        <v>1</v>
      </c>
      <c r="P550" s="10"/>
    </row>
    <row r="551" spans="1:16" x14ac:dyDescent="0.3">
      <c r="A551" t="s">
        <v>54</v>
      </c>
      <c r="B551">
        <v>50</v>
      </c>
      <c r="C551" s="6">
        <v>70000</v>
      </c>
      <c r="D551" t="s">
        <v>11</v>
      </c>
      <c r="E551" t="s">
        <v>12</v>
      </c>
      <c r="F551" t="s">
        <v>43</v>
      </c>
      <c r="G551" s="7">
        <v>43549</v>
      </c>
      <c r="H551" t="s">
        <v>41</v>
      </c>
      <c r="I551" t="s">
        <v>69</v>
      </c>
      <c r="J551" t="s">
        <v>23</v>
      </c>
      <c r="K551" t="str">
        <f>IF(HR_Data5[[#This Row],[Age]]&lt;30,"Young",IF(HR_Data5[[#This Row],[Age]]&lt;=45,"Mid-Career","Senior"))</f>
        <v>Senior</v>
      </c>
      <c r="L551" s="10">
        <f ca="1">DATEDIF(HR_Data5[[#This Row],[Joining Date]],TODAY(),"Y")</f>
        <v>6</v>
      </c>
      <c r="M551" s="10" t="str">
        <f>IF(HR_Data5[[#This Row],[Salary]]&lt;55000,"Low",IF(HR_Data5[[#This Row],[Salary]]&lt;=65000,"Medium","High"))</f>
        <v>High</v>
      </c>
      <c r="N551" s="10">
        <f>YEAR(HR_Data5[[#This Row],[Joining Date]])</f>
        <v>2019</v>
      </c>
      <c r="O551" s="10" cm="1">
        <f t="array" ref="O551">_xlfn.SWITCH(HR_Data5[[#This Row],[Performance Score]],
"A",5,
"B",4,
"C",3,
"D",2,
"F",1)</f>
        <v>4</v>
      </c>
      <c r="P551" s="10"/>
    </row>
    <row r="552" spans="1:16" x14ac:dyDescent="0.3">
      <c r="A552" t="s">
        <v>57</v>
      </c>
      <c r="B552">
        <v>36</v>
      </c>
      <c r="C552" s="6" t="s">
        <v>68</v>
      </c>
      <c r="D552" t="s">
        <v>11</v>
      </c>
      <c r="E552" t="s">
        <v>19</v>
      </c>
      <c r="F552" t="s">
        <v>44</v>
      </c>
      <c r="G552" s="7">
        <v>43549</v>
      </c>
      <c r="H552" t="s">
        <v>21</v>
      </c>
      <c r="I552" t="s">
        <v>69</v>
      </c>
      <c r="J552" t="s">
        <v>28</v>
      </c>
      <c r="K552" t="str">
        <f>IF(HR_Data5[[#This Row],[Age]]&lt;30,"Young",IF(HR_Data5[[#This Row],[Age]]&lt;=45,"Mid-Career","Senior"))</f>
        <v>Mid-Career</v>
      </c>
      <c r="L552" s="10">
        <f ca="1">DATEDIF(HR_Data5[[#This Row],[Joining Date]],TODAY(),"Y")</f>
        <v>6</v>
      </c>
      <c r="M552" s="10" t="str">
        <f>IF(HR_Data5[[#This Row],[Salary]]&lt;55000,"Low",IF(HR_Data5[[#This Row],[Salary]]&lt;=65000,"Medium","High"))</f>
        <v>High</v>
      </c>
      <c r="N552" s="10">
        <f>YEAR(HR_Data5[[#This Row],[Joining Date]])</f>
        <v>2019</v>
      </c>
      <c r="O552" s="10" cm="1">
        <f t="array" ref="O552">_xlfn.SWITCH(HR_Data5[[#This Row],[Performance Score]],
"A",5,
"B",4,
"C",3,
"D",2,
"F",1)</f>
        <v>1</v>
      </c>
      <c r="P552" s="10"/>
    </row>
    <row r="553" spans="1:16" x14ac:dyDescent="0.3">
      <c r="A553" t="s">
        <v>56</v>
      </c>
      <c r="B553">
        <v>40</v>
      </c>
      <c r="C553" s="6" t="s">
        <v>68</v>
      </c>
      <c r="D553" t="s">
        <v>11</v>
      </c>
      <c r="E553" t="s">
        <v>26</v>
      </c>
      <c r="F553" t="s">
        <v>44</v>
      </c>
      <c r="G553" s="7">
        <v>43800</v>
      </c>
      <c r="H553" t="s">
        <v>27</v>
      </c>
      <c r="I553" t="s">
        <v>15</v>
      </c>
      <c r="J553" t="s">
        <v>69</v>
      </c>
      <c r="K553" t="str">
        <f>IF(HR_Data5[[#This Row],[Age]]&lt;30,"Young",IF(HR_Data5[[#This Row],[Age]]&lt;=45,"Mid-Career","Senior"))</f>
        <v>Mid-Career</v>
      </c>
      <c r="L553" s="10">
        <f ca="1">DATEDIF(HR_Data5[[#This Row],[Joining Date]],TODAY(),"Y")</f>
        <v>6</v>
      </c>
      <c r="M553" s="10" t="str">
        <f>IF(HR_Data5[[#This Row],[Salary]]&lt;55000,"Low",IF(HR_Data5[[#This Row],[Salary]]&lt;=65000,"Medium","High"))</f>
        <v>High</v>
      </c>
      <c r="N553" s="10">
        <f>YEAR(HR_Data5[[#This Row],[Joining Date]])</f>
        <v>2019</v>
      </c>
      <c r="O553" s="10" cm="1">
        <f t="array" ref="O553">_xlfn.SWITCH(HR_Data5[[#This Row],[Performance Score]],
"A",5,
"B",4,
"C",3,
"D",2,
"F",1)</f>
        <v>3</v>
      </c>
      <c r="P553" s="10"/>
    </row>
    <row r="554" spans="1:16" x14ac:dyDescent="0.3">
      <c r="A554" t="s">
        <v>53</v>
      </c>
      <c r="B554">
        <v>35</v>
      </c>
      <c r="C554" s="6">
        <v>55000</v>
      </c>
      <c r="D554" t="s">
        <v>18</v>
      </c>
      <c r="E554" t="s">
        <v>19</v>
      </c>
      <c r="F554" t="s">
        <v>44</v>
      </c>
      <c r="G554" s="7">
        <v>43881</v>
      </c>
      <c r="H554" t="s">
        <v>31</v>
      </c>
      <c r="I554" t="s">
        <v>22</v>
      </c>
      <c r="J554" t="s">
        <v>23</v>
      </c>
      <c r="K554" t="str">
        <f>IF(HR_Data5[[#This Row],[Age]]&lt;30,"Young",IF(HR_Data5[[#This Row],[Age]]&lt;=45,"Mid-Career","Senior"))</f>
        <v>Mid-Career</v>
      </c>
      <c r="L554" s="10">
        <f ca="1">DATEDIF(HR_Data5[[#This Row],[Joining Date]],TODAY(),"Y")</f>
        <v>6</v>
      </c>
      <c r="M554" s="10" t="str">
        <f>IF(HR_Data5[[#This Row],[Salary]]&lt;55000,"Low",IF(HR_Data5[[#This Row],[Salary]]&lt;=65000,"Medium","High"))</f>
        <v>Medium</v>
      </c>
      <c r="N554" s="10">
        <f>YEAR(HR_Data5[[#This Row],[Joining Date]])</f>
        <v>2020</v>
      </c>
      <c r="O554" s="10" cm="1">
        <f t="array" ref="O554">_xlfn.SWITCH(HR_Data5[[#This Row],[Performance Score]],
"A",5,
"B",4,
"C",3,
"D",2,
"F",1)</f>
        <v>5</v>
      </c>
      <c r="P554" s="10"/>
    </row>
    <row r="555" spans="1:16" x14ac:dyDescent="0.3">
      <c r="A555" t="s">
        <v>59</v>
      </c>
      <c r="B555">
        <v>40</v>
      </c>
      <c r="C555" s="6" t="s">
        <v>68</v>
      </c>
      <c r="D555" t="s">
        <v>18</v>
      </c>
      <c r="E555" t="s">
        <v>12</v>
      </c>
      <c r="F555" t="s">
        <v>43</v>
      </c>
      <c r="G555" s="7">
        <v>43845</v>
      </c>
      <c r="H555" t="s">
        <v>27</v>
      </c>
      <c r="I555" t="s">
        <v>32</v>
      </c>
      <c r="J555" t="s">
        <v>28</v>
      </c>
      <c r="K555" t="str">
        <f>IF(HR_Data5[[#This Row],[Age]]&lt;30,"Young",IF(HR_Data5[[#This Row],[Age]]&lt;=45,"Mid-Career","Senior"))</f>
        <v>Mid-Career</v>
      </c>
      <c r="L555" s="10">
        <f ca="1">DATEDIF(HR_Data5[[#This Row],[Joining Date]],TODAY(),"Y")</f>
        <v>6</v>
      </c>
      <c r="M555" s="10" t="str">
        <f>IF(HR_Data5[[#This Row],[Salary]]&lt;55000,"Low",IF(HR_Data5[[#This Row],[Salary]]&lt;=65000,"Medium","High"))</f>
        <v>High</v>
      </c>
      <c r="N555" s="10">
        <f>YEAR(HR_Data5[[#This Row],[Joining Date]])</f>
        <v>2020</v>
      </c>
      <c r="O555" s="10" cm="1">
        <f t="array" ref="O555">_xlfn.SWITCH(HR_Data5[[#This Row],[Performance Score]],
"A",5,
"B",4,
"C",3,
"D",2,
"F",1)</f>
        <v>3</v>
      </c>
      <c r="P555" s="10"/>
    </row>
    <row r="556" spans="1:16" x14ac:dyDescent="0.3">
      <c r="A556" t="s">
        <v>57</v>
      </c>
      <c r="B556">
        <v>30</v>
      </c>
      <c r="C556" s="6">
        <v>65000</v>
      </c>
      <c r="D556" t="s">
        <v>18</v>
      </c>
      <c r="E556" t="s">
        <v>26</v>
      </c>
      <c r="F556" t="s">
        <v>13</v>
      </c>
      <c r="G556" s="7">
        <v>43845</v>
      </c>
      <c r="H556" t="s">
        <v>14</v>
      </c>
      <c r="I556" t="s">
        <v>69</v>
      </c>
      <c r="J556" t="s">
        <v>45</v>
      </c>
      <c r="K556" t="str">
        <f>IF(HR_Data5[[#This Row],[Age]]&lt;30,"Young",IF(HR_Data5[[#This Row],[Age]]&lt;=45,"Mid-Career","Senior"))</f>
        <v>Mid-Career</v>
      </c>
      <c r="L556" s="10">
        <f ca="1">DATEDIF(HR_Data5[[#This Row],[Joining Date]],TODAY(),"Y")</f>
        <v>6</v>
      </c>
      <c r="M556" s="10" t="str">
        <f>IF(HR_Data5[[#This Row],[Salary]]&lt;55000,"Low",IF(HR_Data5[[#This Row],[Salary]]&lt;=65000,"Medium","High"))</f>
        <v>Medium</v>
      </c>
      <c r="N556" s="10">
        <f>YEAR(HR_Data5[[#This Row],[Joining Date]])</f>
        <v>2020</v>
      </c>
      <c r="O556" s="10" cm="1">
        <f t="array" ref="O556">_xlfn.SWITCH(HR_Data5[[#This Row],[Performance Score]],
"A",5,
"B",4,
"C",3,
"D",2,
"F",1)</f>
        <v>2</v>
      </c>
      <c r="P556" s="10"/>
    </row>
    <row r="557" spans="1:16" x14ac:dyDescent="0.3">
      <c r="A557" t="s">
        <v>52</v>
      </c>
      <c r="B557">
        <v>25</v>
      </c>
      <c r="C557" s="6">
        <v>50000</v>
      </c>
      <c r="D557" t="s">
        <v>11</v>
      </c>
      <c r="E557" t="s">
        <v>30</v>
      </c>
      <c r="F557" t="s">
        <v>20</v>
      </c>
      <c r="G557" s="7">
        <v>43845</v>
      </c>
      <c r="H557" t="s">
        <v>14</v>
      </c>
      <c r="I557" t="s">
        <v>32</v>
      </c>
      <c r="J557" t="s">
        <v>23</v>
      </c>
      <c r="K557" t="str">
        <f>IF(HR_Data5[[#This Row],[Age]]&lt;30,"Young",IF(HR_Data5[[#This Row],[Age]]&lt;=45,"Mid-Career","Senior"))</f>
        <v>Young</v>
      </c>
      <c r="L557" s="10">
        <f ca="1">DATEDIF(HR_Data5[[#This Row],[Joining Date]],TODAY(),"Y")</f>
        <v>6</v>
      </c>
      <c r="M557" s="10" t="str">
        <f>IF(HR_Data5[[#This Row],[Salary]]&lt;55000,"Low",IF(HR_Data5[[#This Row],[Salary]]&lt;=65000,"Medium","High"))</f>
        <v>Low</v>
      </c>
      <c r="N557" s="10">
        <f>YEAR(HR_Data5[[#This Row],[Joining Date]])</f>
        <v>2020</v>
      </c>
      <c r="O557" s="10" cm="1">
        <f t="array" ref="O557">_xlfn.SWITCH(HR_Data5[[#This Row],[Performance Score]],
"A",5,
"B",4,
"C",3,
"D",2,
"F",1)</f>
        <v>2</v>
      </c>
      <c r="P557" s="10"/>
    </row>
    <row r="558" spans="1:16" x14ac:dyDescent="0.3">
      <c r="A558" t="s">
        <v>59</v>
      </c>
      <c r="B558">
        <v>35</v>
      </c>
      <c r="C558" s="6">
        <v>50000</v>
      </c>
      <c r="D558" t="s">
        <v>36</v>
      </c>
      <c r="E558" t="s">
        <v>12</v>
      </c>
      <c r="F558" t="s">
        <v>39</v>
      </c>
      <c r="G558" s="7">
        <v>43549</v>
      </c>
      <c r="H558" t="s">
        <v>21</v>
      </c>
      <c r="I558" t="s">
        <v>69</v>
      </c>
      <c r="J558" t="s">
        <v>69</v>
      </c>
      <c r="K558" t="str">
        <f>IF(HR_Data5[[#This Row],[Age]]&lt;30,"Young",IF(HR_Data5[[#This Row],[Age]]&lt;=45,"Mid-Career","Senior"))</f>
        <v>Mid-Career</v>
      </c>
      <c r="L558" s="10">
        <f ca="1">DATEDIF(HR_Data5[[#This Row],[Joining Date]],TODAY(),"Y")</f>
        <v>6</v>
      </c>
      <c r="M558" s="10" t="str">
        <f>IF(HR_Data5[[#This Row],[Salary]]&lt;55000,"Low",IF(HR_Data5[[#This Row],[Salary]]&lt;=65000,"Medium","High"))</f>
        <v>Low</v>
      </c>
      <c r="N558" s="10">
        <f>YEAR(HR_Data5[[#This Row],[Joining Date]])</f>
        <v>2019</v>
      </c>
      <c r="O558" s="10" cm="1">
        <f t="array" ref="O558">_xlfn.SWITCH(HR_Data5[[#This Row],[Performance Score]],
"A",5,
"B",4,
"C",3,
"D",2,
"F",1)</f>
        <v>1</v>
      </c>
      <c r="P558" s="10"/>
    </row>
    <row r="559" spans="1:16" x14ac:dyDescent="0.3">
      <c r="A559" t="s">
        <v>51</v>
      </c>
      <c r="B559">
        <v>30</v>
      </c>
      <c r="C559" s="6">
        <v>50000</v>
      </c>
      <c r="D559" t="s">
        <v>36</v>
      </c>
      <c r="E559" t="s">
        <v>37</v>
      </c>
      <c r="F559" t="s">
        <v>13</v>
      </c>
      <c r="G559" s="7">
        <v>43881</v>
      </c>
      <c r="H559" t="s">
        <v>21</v>
      </c>
      <c r="I559" t="s">
        <v>32</v>
      </c>
      <c r="J559" t="s">
        <v>69</v>
      </c>
      <c r="K559" t="str">
        <f>IF(HR_Data5[[#This Row],[Age]]&lt;30,"Young",IF(HR_Data5[[#This Row],[Age]]&lt;=45,"Mid-Career","Senior"))</f>
        <v>Mid-Career</v>
      </c>
      <c r="L559" s="10">
        <f ca="1">DATEDIF(HR_Data5[[#This Row],[Joining Date]],TODAY(),"Y")</f>
        <v>6</v>
      </c>
      <c r="M559" s="10" t="str">
        <f>IF(HR_Data5[[#This Row],[Salary]]&lt;55000,"Low",IF(HR_Data5[[#This Row],[Salary]]&lt;=65000,"Medium","High"))</f>
        <v>Low</v>
      </c>
      <c r="N559" s="10">
        <f>YEAR(HR_Data5[[#This Row],[Joining Date]])</f>
        <v>2020</v>
      </c>
      <c r="O559" s="10" cm="1">
        <f t="array" ref="O559">_xlfn.SWITCH(HR_Data5[[#This Row],[Performance Score]],
"A",5,
"B",4,
"C",3,
"D",2,
"F",1)</f>
        <v>1</v>
      </c>
      <c r="P559" s="10"/>
    </row>
    <row r="560" spans="1:16" x14ac:dyDescent="0.3">
      <c r="A560" t="s">
        <v>60</v>
      </c>
      <c r="B560">
        <v>30</v>
      </c>
      <c r="C560" s="6">
        <v>55000</v>
      </c>
      <c r="D560" t="s">
        <v>18</v>
      </c>
      <c r="E560" t="s">
        <v>19</v>
      </c>
      <c r="F560" t="s">
        <v>39</v>
      </c>
      <c r="G560" s="7">
        <v>43881</v>
      </c>
      <c r="H560" t="s">
        <v>41</v>
      </c>
      <c r="I560" t="s">
        <v>69</v>
      </c>
      <c r="J560" t="s">
        <v>28</v>
      </c>
      <c r="K560" t="str">
        <f>IF(HR_Data5[[#This Row],[Age]]&lt;30,"Young",IF(HR_Data5[[#This Row],[Age]]&lt;=45,"Mid-Career","Senior"))</f>
        <v>Mid-Career</v>
      </c>
      <c r="L560" s="10">
        <f ca="1">DATEDIF(HR_Data5[[#This Row],[Joining Date]],TODAY(),"Y")</f>
        <v>6</v>
      </c>
      <c r="M560" s="10" t="str">
        <f>IF(HR_Data5[[#This Row],[Salary]]&lt;55000,"Low",IF(HR_Data5[[#This Row],[Salary]]&lt;=65000,"Medium","High"))</f>
        <v>Medium</v>
      </c>
      <c r="N560" s="10">
        <f>YEAR(HR_Data5[[#This Row],[Joining Date]])</f>
        <v>2020</v>
      </c>
      <c r="O560" s="10" cm="1">
        <f t="array" ref="O560">_xlfn.SWITCH(HR_Data5[[#This Row],[Performance Score]],
"A",5,
"B",4,
"C",3,
"D",2,
"F",1)</f>
        <v>4</v>
      </c>
      <c r="P560" s="10"/>
    </row>
    <row r="561" spans="1:16" x14ac:dyDescent="0.3">
      <c r="A561" t="s">
        <v>52</v>
      </c>
      <c r="B561">
        <v>35</v>
      </c>
      <c r="C561" s="6">
        <v>55000</v>
      </c>
      <c r="D561" t="s">
        <v>18</v>
      </c>
      <c r="E561" t="s">
        <v>12</v>
      </c>
      <c r="F561" t="s">
        <v>20</v>
      </c>
      <c r="G561" s="7">
        <v>43549</v>
      </c>
      <c r="H561" t="s">
        <v>41</v>
      </c>
      <c r="I561" t="s">
        <v>22</v>
      </c>
      <c r="J561" t="s">
        <v>23</v>
      </c>
      <c r="K561" t="str">
        <f>IF(HR_Data5[[#This Row],[Age]]&lt;30,"Young",IF(HR_Data5[[#This Row],[Age]]&lt;=45,"Mid-Career","Senior"))</f>
        <v>Mid-Career</v>
      </c>
      <c r="L561" s="10">
        <f ca="1">DATEDIF(HR_Data5[[#This Row],[Joining Date]],TODAY(),"Y")</f>
        <v>6</v>
      </c>
      <c r="M561" s="10" t="str">
        <f>IF(HR_Data5[[#This Row],[Salary]]&lt;55000,"Low",IF(HR_Data5[[#This Row],[Salary]]&lt;=65000,"Medium","High"))</f>
        <v>Medium</v>
      </c>
      <c r="N561" s="10">
        <f>YEAR(HR_Data5[[#This Row],[Joining Date]])</f>
        <v>2019</v>
      </c>
      <c r="O561" s="10" cm="1">
        <f t="array" ref="O561">_xlfn.SWITCH(HR_Data5[[#This Row],[Performance Score]],
"A",5,
"B",4,
"C",3,
"D",2,
"F",1)</f>
        <v>4</v>
      </c>
      <c r="P561" s="10"/>
    </row>
    <row r="562" spans="1:16" x14ac:dyDescent="0.3">
      <c r="A562" t="s">
        <v>52</v>
      </c>
      <c r="B562">
        <v>40</v>
      </c>
      <c r="C562" s="6">
        <v>60000</v>
      </c>
      <c r="D562" t="s">
        <v>36</v>
      </c>
      <c r="E562" t="s">
        <v>12</v>
      </c>
      <c r="F562" t="s">
        <v>43</v>
      </c>
      <c r="G562" s="7">
        <v>43845</v>
      </c>
      <c r="H562" t="s">
        <v>14</v>
      </c>
      <c r="I562" t="s">
        <v>22</v>
      </c>
      <c r="J562" t="s">
        <v>45</v>
      </c>
      <c r="K562" t="str">
        <f>IF(HR_Data5[[#This Row],[Age]]&lt;30,"Young",IF(HR_Data5[[#This Row],[Age]]&lt;=45,"Mid-Career","Senior"))</f>
        <v>Mid-Career</v>
      </c>
      <c r="L562" s="10">
        <f ca="1">DATEDIF(HR_Data5[[#This Row],[Joining Date]],TODAY(),"Y")</f>
        <v>6</v>
      </c>
      <c r="M562" s="10" t="str">
        <f>IF(HR_Data5[[#This Row],[Salary]]&lt;55000,"Low",IF(HR_Data5[[#This Row],[Salary]]&lt;=65000,"Medium","High"))</f>
        <v>Medium</v>
      </c>
      <c r="N562" s="10">
        <f>YEAR(HR_Data5[[#This Row],[Joining Date]])</f>
        <v>2020</v>
      </c>
      <c r="O562" s="10" cm="1">
        <f t="array" ref="O562">_xlfn.SWITCH(HR_Data5[[#This Row],[Performance Score]],
"A",5,
"B",4,
"C",3,
"D",2,
"F",1)</f>
        <v>2</v>
      </c>
      <c r="P562" s="10"/>
    </row>
    <row r="563" spans="1:16" x14ac:dyDescent="0.3">
      <c r="A563" t="s">
        <v>57</v>
      </c>
      <c r="B563">
        <v>50</v>
      </c>
      <c r="C563" s="6">
        <v>50000</v>
      </c>
      <c r="D563" t="s">
        <v>36</v>
      </c>
      <c r="E563" t="s">
        <v>26</v>
      </c>
      <c r="F563" t="s">
        <v>44</v>
      </c>
      <c r="G563" s="7">
        <v>43845</v>
      </c>
      <c r="H563" t="s">
        <v>31</v>
      </c>
      <c r="I563" t="s">
        <v>32</v>
      </c>
      <c r="J563" t="s">
        <v>69</v>
      </c>
      <c r="K563" t="str">
        <f>IF(HR_Data5[[#This Row],[Age]]&lt;30,"Young",IF(HR_Data5[[#This Row],[Age]]&lt;=45,"Mid-Career","Senior"))</f>
        <v>Senior</v>
      </c>
      <c r="L563" s="10">
        <f ca="1">DATEDIF(HR_Data5[[#This Row],[Joining Date]],TODAY(),"Y")</f>
        <v>6</v>
      </c>
      <c r="M563" s="10" t="str">
        <f>IF(HR_Data5[[#This Row],[Salary]]&lt;55000,"Low",IF(HR_Data5[[#This Row],[Salary]]&lt;=65000,"Medium","High"))</f>
        <v>Low</v>
      </c>
      <c r="N563" s="10">
        <f>YEAR(HR_Data5[[#This Row],[Joining Date]])</f>
        <v>2020</v>
      </c>
      <c r="O563" s="10" cm="1">
        <f t="array" ref="O563">_xlfn.SWITCH(HR_Data5[[#This Row],[Performance Score]],
"A",5,
"B",4,
"C",3,
"D",2,
"F",1)</f>
        <v>5</v>
      </c>
      <c r="P563" s="10"/>
    </row>
    <row r="564" spans="1:16" x14ac:dyDescent="0.3">
      <c r="A564" t="s">
        <v>56</v>
      </c>
      <c r="B564">
        <v>30</v>
      </c>
      <c r="C564" s="6">
        <v>65000</v>
      </c>
      <c r="D564" t="s">
        <v>18</v>
      </c>
      <c r="E564" t="s">
        <v>26</v>
      </c>
      <c r="F564" t="s">
        <v>44</v>
      </c>
      <c r="G564" s="7">
        <v>43800</v>
      </c>
      <c r="H564" t="s">
        <v>27</v>
      </c>
      <c r="I564" t="s">
        <v>15</v>
      </c>
      <c r="J564" t="s">
        <v>69</v>
      </c>
      <c r="K564" t="str">
        <f>IF(HR_Data5[[#This Row],[Age]]&lt;30,"Young",IF(HR_Data5[[#This Row],[Age]]&lt;=45,"Mid-Career","Senior"))</f>
        <v>Mid-Career</v>
      </c>
      <c r="L564" s="10">
        <f ca="1">DATEDIF(HR_Data5[[#This Row],[Joining Date]],TODAY(),"Y")</f>
        <v>6</v>
      </c>
      <c r="M564" s="10" t="str">
        <f>IF(HR_Data5[[#This Row],[Salary]]&lt;55000,"Low",IF(HR_Data5[[#This Row],[Salary]]&lt;=65000,"Medium","High"))</f>
        <v>Medium</v>
      </c>
      <c r="N564" s="10">
        <f>YEAR(HR_Data5[[#This Row],[Joining Date]])</f>
        <v>2019</v>
      </c>
      <c r="O564" s="10" cm="1">
        <f t="array" ref="O564">_xlfn.SWITCH(HR_Data5[[#This Row],[Performance Score]],
"A",5,
"B",4,
"C",3,
"D",2,
"F",1)</f>
        <v>3</v>
      </c>
      <c r="P564" s="10"/>
    </row>
    <row r="565" spans="1:16" x14ac:dyDescent="0.3">
      <c r="A565" t="s">
        <v>57</v>
      </c>
      <c r="B565">
        <v>36</v>
      </c>
      <c r="C565" s="6" t="s">
        <v>68</v>
      </c>
      <c r="D565" t="s">
        <v>18</v>
      </c>
      <c r="E565" t="s">
        <v>26</v>
      </c>
      <c r="F565" t="s">
        <v>43</v>
      </c>
      <c r="G565" s="7">
        <v>43195</v>
      </c>
      <c r="H565" t="s">
        <v>41</v>
      </c>
      <c r="I565" t="s">
        <v>32</v>
      </c>
      <c r="J565" t="s">
        <v>23</v>
      </c>
      <c r="K565" t="str">
        <f>IF(HR_Data5[[#This Row],[Age]]&lt;30,"Young",IF(HR_Data5[[#This Row],[Age]]&lt;=45,"Mid-Career","Senior"))</f>
        <v>Mid-Career</v>
      </c>
      <c r="L565" s="10">
        <f ca="1">DATEDIF(HR_Data5[[#This Row],[Joining Date]],TODAY(),"Y")</f>
        <v>7</v>
      </c>
      <c r="M565" s="10" t="str">
        <f>IF(HR_Data5[[#This Row],[Salary]]&lt;55000,"Low",IF(HR_Data5[[#This Row],[Salary]]&lt;=65000,"Medium","High"))</f>
        <v>High</v>
      </c>
      <c r="N565" s="10">
        <f>YEAR(HR_Data5[[#This Row],[Joining Date]])</f>
        <v>2018</v>
      </c>
      <c r="O565" s="10" cm="1">
        <f t="array" ref="O565">_xlfn.SWITCH(HR_Data5[[#This Row],[Performance Score]],
"A",5,
"B",4,
"C",3,
"D",2,
"F",1)</f>
        <v>4</v>
      </c>
      <c r="P565" s="10"/>
    </row>
    <row r="566" spans="1:16" x14ac:dyDescent="0.3">
      <c r="A566" t="s">
        <v>51</v>
      </c>
      <c r="B566">
        <v>30</v>
      </c>
      <c r="C566" s="6">
        <v>65000</v>
      </c>
      <c r="D566" t="s">
        <v>36</v>
      </c>
      <c r="E566" t="s">
        <v>37</v>
      </c>
      <c r="F566" t="s">
        <v>13</v>
      </c>
      <c r="G566" s="7">
        <v>43881</v>
      </c>
      <c r="H566" t="s">
        <v>41</v>
      </c>
      <c r="I566" t="s">
        <v>69</v>
      </c>
      <c r="J566" t="s">
        <v>45</v>
      </c>
      <c r="K566" t="str">
        <f>IF(HR_Data5[[#This Row],[Age]]&lt;30,"Young",IF(HR_Data5[[#This Row],[Age]]&lt;=45,"Mid-Career","Senior"))</f>
        <v>Mid-Career</v>
      </c>
      <c r="L566" s="10">
        <f ca="1">DATEDIF(HR_Data5[[#This Row],[Joining Date]],TODAY(),"Y")</f>
        <v>6</v>
      </c>
      <c r="M566" s="10" t="str">
        <f>IF(HR_Data5[[#This Row],[Salary]]&lt;55000,"Low",IF(HR_Data5[[#This Row],[Salary]]&lt;=65000,"Medium","High"))</f>
        <v>Medium</v>
      </c>
      <c r="N566" s="10">
        <f>YEAR(HR_Data5[[#This Row],[Joining Date]])</f>
        <v>2020</v>
      </c>
      <c r="O566" s="10" cm="1">
        <f t="array" ref="O566">_xlfn.SWITCH(HR_Data5[[#This Row],[Performance Score]],
"A",5,
"B",4,
"C",3,
"D",2,
"F",1)</f>
        <v>4</v>
      </c>
      <c r="P566" s="10"/>
    </row>
    <row r="567" spans="1:16" x14ac:dyDescent="0.3">
      <c r="A567" t="s">
        <v>55</v>
      </c>
      <c r="B567">
        <v>50</v>
      </c>
      <c r="C567" s="6" t="s">
        <v>68</v>
      </c>
      <c r="D567" t="s">
        <v>11</v>
      </c>
      <c r="E567" t="s">
        <v>26</v>
      </c>
      <c r="F567" t="s">
        <v>13</v>
      </c>
      <c r="G567" s="7">
        <v>43881</v>
      </c>
      <c r="H567" t="s">
        <v>31</v>
      </c>
      <c r="I567" t="s">
        <v>22</v>
      </c>
      <c r="J567" t="s">
        <v>28</v>
      </c>
      <c r="K567" t="str">
        <f>IF(HR_Data5[[#This Row],[Age]]&lt;30,"Young",IF(HR_Data5[[#This Row],[Age]]&lt;=45,"Mid-Career","Senior"))</f>
        <v>Senior</v>
      </c>
      <c r="L567" s="10">
        <f ca="1">DATEDIF(HR_Data5[[#This Row],[Joining Date]],TODAY(),"Y")</f>
        <v>6</v>
      </c>
      <c r="M567" s="10" t="str">
        <f>IF(HR_Data5[[#This Row],[Salary]]&lt;55000,"Low",IF(HR_Data5[[#This Row],[Salary]]&lt;=65000,"Medium","High"))</f>
        <v>High</v>
      </c>
      <c r="N567" s="10">
        <f>YEAR(HR_Data5[[#This Row],[Joining Date]])</f>
        <v>2020</v>
      </c>
      <c r="O567" s="10" cm="1">
        <f t="array" ref="O567">_xlfn.SWITCH(HR_Data5[[#This Row],[Performance Score]],
"A",5,
"B",4,
"C",3,
"D",2,
"F",1)</f>
        <v>5</v>
      </c>
      <c r="P567" s="10"/>
    </row>
    <row r="568" spans="1:16" x14ac:dyDescent="0.3">
      <c r="A568" t="s">
        <v>55</v>
      </c>
      <c r="B568">
        <v>40</v>
      </c>
      <c r="C568" s="6">
        <v>50000</v>
      </c>
      <c r="D568" t="s">
        <v>18</v>
      </c>
      <c r="E568" t="s">
        <v>12</v>
      </c>
      <c r="F568" t="s">
        <v>39</v>
      </c>
      <c r="G568" s="7">
        <v>43881</v>
      </c>
      <c r="H568" t="s">
        <v>31</v>
      </c>
      <c r="I568" t="s">
        <v>22</v>
      </c>
      <c r="J568" t="s">
        <v>23</v>
      </c>
      <c r="K568" t="str">
        <f>IF(HR_Data5[[#This Row],[Age]]&lt;30,"Young",IF(HR_Data5[[#This Row],[Age]]&lt;=45,"Mid-Career","Senior"))</f>
        <v>Mid-Career</v>
      </c>
      <c r="L568" s="10">
        <f ca="1">DATEDIF(HR_Data5[[#This Row],[Joining Date]],TODAY(),"Y")</f>
        <v>6</v>
      </c>
      <c r="M568" s="10" t="str">
        <f>IF(HR_Data5[[#This Row],[Salary]]&lt;55000,"Low",IF(HR_Data5[[#This Row],[Salary]]&lt;=65000,"Medium","High"))</f>
        <v>Low</v>
      </c>
      <c r="N568" s="10">
        <f>YEAR(HR_Data5[[#This Row],[Joining Date]])</f>
        <v>2020</v>
      </c>
      <c r="O568" s="10" cm="1">
        <f t="array" ref="O568">_xlfn.SWITCH(HR_Data5[[#This Row],[Performance Score]],
"A",5,
"B",4,
"C",3,
"D",2,
"F",1)</f>
        <v>5</v>
      </c>
      <c r="P568" s="10"/>
    </row>
    <row r="569" spans="1:16" x14ac:dyDescent="0.3">
      <c r="A569" t="s">
        <v>56</v>
      </c>
      <c r="B569">
        <v>40</v>
      </c>
      <c r="C569" s="6">
        <v>50000</v>
      </c>
      <c r="D569" t="s">
        <v>36</v>
      </c>
      <c r="E569" t="s">
        <v>26</v>
      </c>
      <c r="F569" t="s">
        <v>43</v>
      </c>
      <c r="G569" s="7">
        <v>43195</v>
      </c>
      <c r="H569" t="s">
        <v>21</v>
      </c>
      <c r="I569" t="s">
        <v>22</v>
      </c>
      <c r="J569" t="s">
        <v>28</v>
      </c>
      <c r="K569" t="str">
        <f>IF(HR_Data5[[#This Row],[Age]]&lt;30,"Young",IF(HR_Data5[[#This Row],[Age]]&lt;=45,"Mid-Career","Senior"))</f>
        <v>Mid-Career</v>
      </c>
      <c r="L569" s="10">
        <f ca="1">DATEDIF(HR_Data5[[#This Row],[Joining Date]],TODAY(),"Y")</f>
        <v>7</v>
      </c>
      <c r="M569" s="10" t="str">
        <f>IF(HR_Data5[[#This Row],[Salary]]&lt;55000,"Low",IF(HR_Data5[[#This Row],[Salary]]&lt;=65000,"Medium","High"))</f>
        <v>Low</v>
      </c>
      <c r="N569" s="10">
        <f>YEAR(HR_Data5[[#This Row],[Joining Date]])</f>
        <v>2018</v>
      </c>
      <c r="O569" s="10" cm="1">
        <f t="array" ref="O569">_xlfn.SWITCH(HR_Data5[[#This Row],[Performance Score]],
"A",5,
"B",4,
"C",3,
"D",2,
"F",1)</f>
        <v>1</v>
      </c>
      <c r="P569" s="10"/>
    </row>
    <row r="570" spans="1:16" x14ac:dyDescent="0.3">
      <c r="A570" t="s">
        <v>51</v>
      </c>
      <c r="B570">
        <v>36</v>
      </c>
      <c r="C570" s="6">
        <v>50000</v>
      </c>
      <c r="D570" t="s">
        <v>36</v>
      </c>
      <c r="E570" t="s">
        <v>30</v>
      </c>
      <c r="F570" t="s">
        <v>13</v>
      </c>
      <c r="G570" s="7">
        <v>43800</v>
      </c>
      <c r="H570" t="s">
        <v>27</v>
      </c>
      <c r="I570" t="s">
        <v>15</v>
      </c>
      <c r="J570" t="s">
        <v>69</v>
      </c>
      <c r="K570" t="str">
        <f>IF(HR_Data5[[#This Row],[Age]]&lt;30,"Young",IF(HR_Data5[[#This Row],[Age]]&lt;=45,"Mid-Career","Senior"))</f>
        <v>Mid-Career</v>
      </c>
      <c r="L570" s="10">
        <f ca="1">DATEDIF(HR_Data5[[#This Row],[Joining Date]],TODAY(),"Y")</f>
        <v>6</v>
      </c>
      <c r="M570" s="10" t="str">
        <f>IF(HR_Data5[[#This Row],[Salary]]&lt;55000,"Low",IF(HR_Data5[[#This Row],[Salary]]&lt;=65000,"Medium","High"))</f>
        <v>Low</v>
      </c>
      <c r="N570" s="10">
        <f>YEAR(HR_Data5[[#This Row],[Joining Date]])</f>
        <v>2019</v>
      </c>
      <c r="O570" s="10" cm="1">
        <f t="array" ref="O570">_xlfn.SWITCH(HR_Data5[[#This Row],[Performance Score]],
"A",5,
"B",4,
"C",3,
"D",2,
"F",1)</f>
        <v>3</v>
      </c>
      <c r="P570" s="10"/>
    </row>
    <row r="571" spans="1:16" x14ac:dyDescent="0.3">
      <c r="A571" t="s">
        <v>56</v>
      </c>
      <c r="B571">
        <v>30</v>
      </c>
      <c r="C571" s="6">
        <v>55000</v>
      </c>
      <c r="D571" t="s">
        <v>36</v>
      </c>
      <c r="E571" t="s">
        <v>26</v>
      </c>
      <c r="F571" t="s">
        <v>43</v>
      </c>
      <c r="G571" s="7">
        <v>43195</v>
      </c>
      <c r="H571" t="s">
        <v>31</v>
      </c>
      <c r="I571" t="s">
        <v>15</v>
      </c>
      <c r="J571" t="s">
        <v>28</v>
      </c>
      <c r="K571" t="str">
        <f>IF(HR_Data5[[#This Row],[Age]]&lt;30,"Young",IF(HR_Data5[[#This Row],[Age]]&lt;=45,"Mid-Career","Senior"))</f>
        <v>Mid-Career</v>
      </c>
      <c r="L571" s="10">
        <f ca="1">DATEDIF(HR_Data5[[#This Row],[Joining Date]],TODAY(),"Y")</f>
        <v>7</v>
      </c>
      <c r="M571" s="10" t="str">
        <f>IF(HR_Data5[[#This Row],[Salary]]&lt;55000,"Low",IF(HR_Data5[[#This Row],[Salary]]&lt;=65000,"Medium","High"))</f>
        <v>Medium</v>
      </c>
      <c r="N571" s="10">
        <f>YEAR(HR_Data5[[#This Row],[Joining Date]])</f>
        <v>2018</v>
      </c>
      <c r="O571" s="10" cm="1">
        <f t="array" ref="O571">_xlfn.SWITCH(HR_Data5[[#This Row],[Performance Score]],
"A",5,
"B",4,
"C",3,
"D",2,
"F",1)</f>
        <v>5</v>
      </c>
      <c r="P571" s="10"/>
    </row>
    <row r="572" spans="1:16" x14ac:dyDescent="0.3">
      <c r="A572" t="s">
        <v>58</v>
      </c>
      <c r="B572">
        <v>40</v>
      </c>
      <c r="C572" s="6" t="s">
        <v>68</v>
      </c>
      <c r="D572" t="s">
        <v>36</v>
      </c>
      <c r="E572" t="s">
        <v>37</v>
      </c>
      <c r="F572" t="s">
        <v>20</v>
      </c>
      <c r="G572" s="7">
        <v>43845</v>
      </c>
      <c r="H572" t="s">
        <v>41</v>
      </c>
      <c r="I572" t="s">
        <v>69</v>
      </c>
      <c r="J572" t="s">
        <v>45</v>
      </c>
      <c r="K572" t="str">
        <f>IF(HR_Data5[[#This Row],[Age]]&lt;30,"Young",IF(HR_Data5[[#This Row],[Age]]&lt;=45,"Mid-Career","Senior"))</f>
        <v>Mid-Career</v>
      </c>
      <c r="L572" s="10">
        <f ca="1">DATEDIF(HR_Data5[[#This Row],[Joining Date]],TODAY(),"Y")</f>
        <v>6</v>
      </c>
      <c r="M572" s="10" t="str">
        <f>IF(HR_Data5[[#This Row],[Salary]]&lt;55000,"Low",IF(HR_Data5[[#This Row],[Salary]]&lt;=65000,"Medium","High"))</f>
        <v>High</v>
      </c>
      <c r="N572" s="10">
        <f>YEAR(HR_Data5[[#This Row],[Joining Date]])</f>
        <v>2020</v>
      </c>
      <c r="O572" s="10" cm="1">
        <f t="array" ref="O572">_xlfn.SWITCH(HR_Data5[[#This Row],[Performance Score]],
"A",5,
"B",4,
"C",3,
"D",2,
"F",1)</f>
        <v>4</v>
      </c>
      <c r="P572" s="10"/>
    </row>
    <row r="573" spans="1:16" x14ac:dyDescent="0.3">
      <c r="A573" t="s">
        <v>55</v>
      </c>
      <c r="B573">
        <v>50</v>
      </c>
      <c r="C573" s="6">
        <v>55000</v>
      </c>
      <c r="D573" t="s">
        <v>11</v>
      </c>
      <c r="E573" t="s">
        <v>30</v>
      </c>
      <c r="F573" t="s">
        <v>44</v>
      </c>
      <c r="G573" s="7">
        <v>43845</v>
      </c>
      <c r="H573" t="s">
        <v>41</v>
      </c>
      <c r="I573" t="s">
        <v>32</v>
      </c>
      <c r="J573" t="s">
        <v>69</v>
      </c>
      <c r="K573" t="str">
        <f>IF(HR_Data5[[#This Row],[Age]]&lt;30,"Young",IF(HR_Data5[[#This Row],[Age]]&lt;=45,"Mid-Career","Senior"))</f>
        <v>Senior</v>
      </c>
      <c r="L573" s="10">
        <f ca="1">DATEDIF(HR_Data5[[#This Row],[Joining Date]],TODAY(),"Y")</f>
        <v>6</v>
      </c>
      <c r="M573" s="10" t="str">
        <f>IF(HR_Data5[[#This Row],[Salary]]&lt;55000,"Low",IF(HR_Data5[[#This Row],[Salary]]&lt;=65000,"Medium","High"))</f>
        <v>Medium</v>
      </c>
      <c r="N573" s="10">
        <f>YEAR(HR_Data5[[#This Row],[Joining Date]])</f>
        <v>2020</v>
      </c>
      <c r="O573" s="10" cm="1">
        <f t="array" ref="O573">_xlfn.SWITCH(HR_Data5[[#This Row],[Performance Score]],
"A",5,
"B",4,
"C",3,
"D",2,
"F",1)</f>
        <v>4</v>
      </c>
      <c r="P573" s="10"/>
    </row>
    <row r="574" spans="1:16" x14ac:dyDescent="0.3">
      <c r="A574" t="s">
        <v>52</v>
      </c>
      <c r="B574">
        <v>35</v>
      </c>
      <c r="C574" s="6">
        <v>55000</v>
      </c>
      <c r="D574" t="s">
        <v>36</v>
      </c>
      <c r="E574" t="s">
        <v>12</v>
      </c>
      <c r="F574" t="s">
        <v>44</v>
      </c>
      <c r="G574" s="7">
        <v>43881</v>
      </c>
      <c r="H574" t="s">
        <v>14</v>
      </c>
      <c r="I574" t="s">
        <v>32</v>
      </c>
      <c r="J574" t="s">
        <v>45</v>
      </c>
      <c r="K574" t="str">
        <f>IF(HR_Data5[[#This Row],[Age]]&lt;30,"Young",IF(HR_Data5[[#This Row],[Age]]&lt;=45,"Mid-Career","Senior"))</f>
        <v>Mid-Career</v>
      </c>
      <c r="L574" s="10">
        <f ca="1">DATEDIF(HR_Data5[[#This Row],[Joining Date]],TODAY(),"Y")</f>
        <v>6</v>
      </c>
      <c r="M574" s="10" t="str">
        <f>IF(HR_Data5[[#This Row],[Salary]]&lt;55000,"Low",IF(HR_Data5[[#This Row],[Salary]]&lt;=65000,"Medium","High"))</f>
        <v>Medium</v>
      </c>
      <c r="N574" s="10">
        <f>YEAR(HR_Data5[[#This Row],[Joining Date]])</f>
        <v>2020</v>
      </c>
      <c r="O574" s="10" cm="1">
        <f t="array" ref="O574">_xlfn.SWITCH(HR_Data5[[#This Row],[Performance Score]],
"A",5,
"B",4,
"C",3,
"D",2,
"F",1)</f>
        <v>2</v>
      </c>
      <c r="P574" s="10"/>
    </row>
    <row r="575" spans="1:16" x14ac:dyDescent="0.3">
      <c r="A575" t="s">
        <v>53</v>
      </c>
      <c r="B575">
        <v>25</v>
      </c>
      <c r="C575" s="6">
        <v>70000</v>
      </c>
      <c r="D575" t="s">
        <v>18</v>
      </c>
      <c r="E575" t="s">
        <v>12</v>
      </c>
      <c r="F575" t="s">
        <v>44</v>
      </c>
      <c r="G575" s="7">
        <v>43549</v>
      </c>
      <c r="H575" t="s">
        <v>31</v>
      </c>
      <c r="I575" t="s">
        <v>69</v>
      </c>
      <c r="J575" t="s">
        <v>28</v>
      </c>
      <c r="K575" t="str">
        <f>IF(HR_Data5[[#This Row],[Age]]&lt;30,"Young",IF(HR_Data5[[#This Row],[Age]]&lt;=45,"Mid-Career","Senior"))</f>
        <v>Young</v>
      </c>
      <c r="L575" s="10">
        <f ca="1">DATEDIF(HR_Data5[[#This Row],[Joining Date]],TODAY(),"Y")</f>
        <v>6</v>
      </c>
      <c r="M575" s="10" t="str">
        <f>IF(HR_Data5[[#This Row],[Salary]]&lt;55000,"Low",IF(HR_Data5[[#This Row],[Salary]]&lt;=65000,"Medium","High"))</f>
        <v>High</v>
      </c>
      <c r="N575" s="10">
        <f>YEAR(HR_Data5[[#This Row],[Joining Date]])</f>
        <v>2019</v>
      </c>
      <c r="O575" s="10" cm="1">
        <f t="array" ref="O575">_xlfn.SWITCH(HR_Data5[[#This Row],[Performance Score]],
"A",5,
"B",4,
"C",3,
"D",2,
"F",1)</f>
        <v>5</v>
      </c>
      <c r="P575" s="10"/>
    </row>
    <row r="576" spans="1:16" x14ac:dyDescent="0.3">
      <c r="A576" t="s">
        <v>60</v>
      </c>
      <c r="B576">
        <v>25</v>
      </c>
      <c r="C576" s="6">
        <v>65000</v>
      </c>
      <c r="D576" t="s">
        <v>11</v>
      </c>
      <c r="E576" t="s">
        <v>19</v>
      </c>
      <c r="F576" t="s">
        <v>43</v>
      </c>
      <c r="G576" s="7">
        <v>43881</v>
      </c>
      <c r="H576" t="s">
        <v>21</v>
      </c>
      <c r="I576" t="s">
        <v>22</v>
      </c>
      <c r="J576" t="s">
        <v>23</v>
      </c>
      <c r="K576" t="str">
        <f>IF(HR_Data5[[#This Row],[Age]]&lt;30,"Young",IF(HR_Data5[[#This Row],[Age]]&lt;=45,"Mid-Career","Senior"))</f>
        <v>Young</v>
      </c>
      <c r="L576" s="10">
        <f ca="1">DATEDIF(HR_Data5[[#This Row],[Joining Date]],TODAY(),"Y")</f>
        <v>6</v>
      </c>
      <c r="M576" s="10" t="str">
        <f>IF(HR_Data5[[#This Row],[Salary]]&lt;55000,"Low",IF(HR_Data5[[#This Row],[Salary]]&lt;=65000,"Medium","High"))</f>
        <v>Medium</v>
      </c>
      <c r="N576" s="10">
        <f>YEAR(HR_Data5[[#This Row],[Joining Date]])</f>
        <v>2020</v>
      </c>
      <c r="O576" s="10" cm="1">
        <f t="array" ref="O576">_xlfn.SWITCH(HR_Data5[[#This Row],[Performance Score]],
"A",5,
"B",4,
"C",3,
"D",2,
"F",1)</f>
        <v>1</v>
      </c>
      <c r="P576" s="10"/>
    </row>
    <row r="577" spans="1:16" x14ac:dyDescent="0.3">
      <c r="A577" t="s">
        <v>51</v>
      </c>
      <c r="B577">
        <v>25</v>
      </c>
      <c r="C577" s="6">
        <v>65000</v>
      </c>
      <c r="D577" t="s">
        <v>36</v>
      </c>
      <c r="E577" t="s">
        <v>30</v>
      </c>
      <c r="F577" t="s">
        <v>43</v>
      </c>
      <c r="G577" s="7">
        <v>43549</v>
      </c>
      <c r="H577" t="s">
        <v>27</v>
      </c>
      <c r="I577" t="s">
        <v>15</v>
      </c>
      <c r="J577" t="s">
        <v>69</v>
      </c>
      <c r="K577" t="str">
        <f>IF(HR_Data5[[#This Row],[Age]]&lt;30,"Young",IF(HR_Data5[[#This Row],[Age]]&lt;=45,"Mid-Career","Senior"))</f>
        <v>Young</v>
      </c>
      <c r="L577" s="10">
        <f ca="1">DATEDIF(HR_Data5[[#This Row],[Joining Date]],TODAY(),"Y")</f>
        <v>6</v>
      </c>
      <c r="M577" s="10" t="str">
        <f>IF(HR_Data5[[#This Row],[Salary]]&lt;55000,"Low",IF(HR_Data5[[#This Row],[Salary]]&lt;=65000,"Medium","High"))</f>
        <v>Medium</v>
      </c>
      <c r="N577" s="10">
        <f>YEAR(HR_Data5[[#This Row],[Joining Date]])</f>
        <v>2019</v>
      </c>
      <c r="O577" s="10" cm="1">
        <f t="array" ref="O577">_xlfn.SWITCH(HR_Data5[[#This Row],[Performance Score]],
"A",5,
"B",4,
"C",3,
"D",2,
"F",1)</f>
        <v>3</v>
      </c>
      <c r="P577" s="10"/>
    </row>
    <row r="578" spans="1:16" x14ac:dyDescent="0.3">
      <c r="A578" t="s">
        <v>59</v>
      </c>
      <c r="B578">
        <v>30</v>
      </c>
      <c r="C578" s="6">
        <v>60000</v>
      </c>
      <c r="D578" t="s">
        <v>11</v>
      </c>
      <c r="E578" t="s">
        <v>19</v>
      </c>
      <c r="F578" t="s">
        <v>39</v>
      </c>
      <c r="G578" s="7">
        <v>43195</v>
      </c>
      <c r="H578" t="s">
        <v>21</v>
      </c>
      <c r="I578" t="s">
        <v>69</v>
      </c>
      <c r="J578" t="s">
        <v>69</v>
      </c>
      <c r="K578" t="str">
        <f>IF(HR_Data5[[#This Row],[Age]]&lt;30,"Young",IF(HR_Data5[[#This Row],[Age]]&lt;=45,"Mid-Career","Senior"))</f>
        <v>Mid-Career</v>
      </c>
      <c r="L578" s="10">
        <f ca="1">DATEDIF(HR_Data5[[#This Row],[Joining Date]],TODAY(),"Y")</f>
        <v>7</v>
      </c>
      <c r="M578" s="10" t="str">
        <f>IF(HR_Data5[[#This Row],[Salary]]&lt;55000,"Low",IF(HR_Data5[[#This Row],[Salary]]&lt;=65000,"Medium","High"))</f>
        <v>Medium</v>
      </c>
      <c r="N578" s="10">
        <f>YEAR(HR_Data5[[#This Row],[Joining Date]])</f>
        <v>2018</v>
      </c>
      <c r="O578" s="10" cm="1">
        <f t="array" ref="O578">_xlfn.SWITCH(HR_Data5[[#This Row],[Performance Score]],
"A",5,
"B",4,
"C",3,
"D",2,
"F",1)</f>
        <v>1</v>
      </c>
      <c r="P578" s="10"/>
    </row>
    <row r="579" spans="1:16" x14ac:dyDescent="0.3">
      <c r="A579" t="s">
        <v>56</v>
      </c>
      <c r="B579">
        <v>36</v>
      </c>
      <c r="C579" s="6">
        <v>55000</v>
      </c>
      <c r="D579" t="s">
        <v>18</v>
      </c>
      <c r="E579" t="s">
        <v>30</v>
      </c>
      <c r="F579" t="s">
        <v>44</v>
      </c>
      <c r="G579" s="7">
        <v>43845</v>
      </c>
      <c r="H579" t="s">
        <v>41</v>
      </c>
      <c r="I579" t="s">
        <v>69</v>
      </c>
      <c r="J579" t="s">
        <v>23</v>
      </c>
      <c r="K579" t="str">
        <f>IF(HR_Data5[[#This Row],[Age]]&lt;30,"Young",IF(HR_Data5[[#This Row],[Age]]&lt;=45,"Mid-Career","Senior"))</f>
        <v>Mid-Career</v>
      </c>
      <c r="L579" s="10">
        <f ca="1">DATEDIF(HR_Data5[[#This Row],[Joining Date]],TODAY(),"Y")</f>
        <v>6</v>
      </c>
      <c r="M579" s="10" t="str">
        <f>IF(HR_Data5[[#This Row],[Salary]]&lt;55000,"Low",IF(HR_Data5[[#This Row],[Salary]]&lt;=65000,"Medium","High"))</f>
        <v>Medium</v>
      </c>
      <c r="N579" s="10">
        <f>YEAR(HR_Data5[[#This Row],[Joining Date]])</f>
        <v>2020</v>
      </c>
      <c r="O579" s="10" cm="1">
        <f t="array" ref="O579">_xlfn.SWITCH(HR_Data5[[#This Row],[Performance Score]],
"A",5,
"B",4,
"C",3,
"D",2,
"F",1)</f>
        <v>4</v>
      </c>
      <c r="P579" s="10"/>
    </row>
    <row r="580" spans="1:16" x14ac:dyDescent="0.3">
      <c r="A580" t="s">
        <v>60</v>
      </c>
      <c r="B580">
        <v>40</v>
      </c>
      <c r="C580" s="6" t="s">
        <v>68</v>
      </c>
      <c r="D580" t="s">
        <v>36</v>
      </c>
      <c r="E580" t="s">
        <v>30</v>
      </c>
      <c r="F580" t="s">
        <v>39</v>
      </c>
      <c r="G580" s="7">
        <v>43549</v>
      </c>
      <c r="H580" t="s">
        <v>21</v>
      </c>
      <c r="I580" t="s">
        <v>15</v>
      </c>
      <c r="J580" t="s">
        <v>23</v>
      </c>
      <c r="K580" t="str">
        <f>IF(HR_Data5[[#This Row],[Age]]&lt;30,"Young",IF(HR_Data5[[#This Row],[Age]]&lt;=45,"Mid-Career","Senior"))</f>
        <v>Mid-Career</v>
      </c>
      <c r="L580" s="10">
        <f ca="1">DATEDIF(HR_Data5[[#This Row],[Joining Date]],TODAY(),"Y")</f>
        <v>6</v>
      </c>
      <c r="M580" s="10" t="str">
        <f>IF(HR_Data5[[#This Row],[Salary]]&lt;55000,"Low",IF(HR_Data5[[#This Row],[Salary]]&lt;=65000,"Medium","High"))</f>
        <v>High</v>
      </c>
      <c r="N580" s="10">
        <f>YEAR(HR_Data5[[#This Row],[Joining Date]])</f>
        <v>2019</v>
      </c>
      <c r="O580" s="10" cm="1">
        <f t="array" ref="O580">_xlfn.SWITCH(HR_Data5[[#This Row],[Performance Score]],
"A",5,
"B",4,
"C",3,
"D",2,
"F",1)</f>
        <v>1</v>
      </c>
      <c r="P580" s="10"/>
    </row>
    <row r="581" spans="1:16" x14ac:dyDescent="0.3">
      <c r="A581" t="s">
        <v>59</v>
      </c>
      <c r="B581">
        <v>35</v>
      </c>
      <c r="C581" s="6">
        <v>70000</v>
      </c>
      <c r="D581" t="s">
        <v>18</v>
      </c>
      <c r="E581" t="s">
        <v>37</v>
      </c>
      <c r="F581" t="s">
        <v>44</v>
      </c>
      <c r="G581" s="7">
        <v>43195</v>
      </c>
      <c r="H581" t="s">
        <v>41</v>
      </c>
      <c r="I581" t="s">
        <v>32</v>
      </c>
      <c r="J581" t="s">
        <v>45</v>
      </c>
      <c r="K581" t="str">
        <f>IF(HR_Data5[[#This Row],[Age]]&lt;30,"Young",IF(HR_Data5[[#This Row],[Age]]&lt;=45,"Mid-Career","Senior"))</f>
        <v>Mid-Career</v>
      </c>
      <c r="L581" s="10">
        <f ca="1">DATEDIF(HR_Data5[[#This Row],[Joining Date]],TODAY(),"Y")</f>
        <v>7</v>
      </c>
      <c r="M581" s="10" t="str">
        <f>IF(HR_Data5[[#This Row],[Salary]]&lt;55000,"Low",IF(HR_Data5[[#This Row],[Salary]]&lt;=65000,"Medium","High"))</f>
        <v>High</v>
      </c>
      <c r="N581" s="10">
        <f>YEAR(HR_Data5[[#This Row],[Joining Date]])</f>
        <v>2018</v>
      </c>
      <c r="O581" s="10" cm="1">
        <f t="array" ref="O581">_xlfn.SWITCH(HR_Data5[[#This Row],[Performance Score]],
"A",5,
"B",4,
"C",3,
"D",2,
"F",1)</f>
        <v>4</v>
      </c>
      <c r="P581" s="10"/>
    </row>
    <row r="582" spans="1:16" x14ac:dyDescent="0.3">
      <c r="A582" t="s">
        <v>60</v>
      </c>
      <c r="B582">
        <v>50</v>
      </c>
      <c r="C582" s="6">
        <v>70000</v>
      </c>
      <c r="D582" t="s">
        <v>36</v>
      </c>
      <c r="E582" t="s">
        <v>19</v>
      </c>
      <c r="F582" t="s">
        <v>39</v>
      </c>
      <c r="G582" s="7">
        <v>43845</v>
      </c>
      <c r="H582" t="s">
        <v>41</v>
      </c>
      <c r="I582" t="s">
        <v>22</v>
      </c>
      <c r="J582" t="s">
        <v>28</v>
      </c>
      <c r="K582" t="str">
        <f>IF(HR_Data5[[#This Row],[Age]]&lt;30,"Young",IF(HR_Data5[[#This Row],[Age]]&lt;=45,"Mid-Career","Senior"))</f>
        <v>Senior</v>
      </c>
      <c r="L582" s="10">
        <f ca="1">DATEDIF(HR_Data5[[#This Row],[Joining Date]],TODAY(),"Y")</f>
        <v>6</v>
      </c>
      <c r="M582" s="10" t="str">
        <f>IF(HR_Data5[[#This Row],[Salary]]&lt;55000,"Low",IF(HR_Data5[[#This Row],[Salary]]&lt;=65000,"Medium","High"))</f>
        <v>High</v>
      </c>
      <c r="N582" s="10">
        <f>YEAR(HR_Data5[[#This Row],[Joining Date]])</f>
        <v>2020</v>
      </c>
      <c r="O582" s="10" cm="1">
        <f t="array" ref="O582">_xlfn.SWITCH(HR_Data5[[#This Row],[Performance Score]],
"A",5,
"B",4,
"C",3,
"D",2,
"F",1)</f>
        <v>4</v>
      </c>
      <c r="P582" s="10"/>
    </row>
    <row r="583" spans="1:16" x14ac:dyDescent="0.3">
      <c r="A583" t="s">
        <v>53</v>
      </c>
      <c r="B583">
        <v>35</v>
      </c>
      <c r="C583" s="6">
        <v>65000</v>
      </c>
      <c r="D583" t="s">
        <v>36</v>
      </c>
      <c r="E583" t="s">
        <v>37</v>
      </c>
      <c r="F583" t="s">
        <v>39</v>
      </c>
      <c r="G583" s="7">
        <v>43549</v>
      </c>
      <c r="H583" t="s">
        <v>41</v>
      </c>
      <c r="I583" t="s">
        <v>32</v>
      </c>
      <c r="J583" t="s">
        <v>45</v>
      </c>
      <c r="K583" t="str">
        <f>IF(HR_Data5[[#This Row],[Age]]&lt;30,"Young",IF(HR_Data5[[#This Row],[Age]]&lt;=45,"Mid-Career","Senior"))</f>
        <v>Mid-Career</v>
      </c>
      <c r="L583" s="10">
        <f ca="1">DATEDIF(HR_Data5[[#This Row],[Joining Date]],TODAY(),"Y")</f>
        <v>6</v>
      </c>
      <c r="M583" s="10" t="str">
        <f>IF(HR_Data5[[#This Row],[Salary]]&lt;55000,"Low",IF(HR_Data5[[#This Row],[Salary]]&lt;=65000,"Medium","High"))</f>
        <v>Medium</v>
      </c>
      <c r="N583" s="10">
        <f>YEAR(HR_Data5[[#This Row],[Joining Date]])</f>
        <v>2019</v>
      </c>
      <c r="O583" s="10" cm="1">
        <f t="array" ref="O583">_xlfn.SWITCH(HR_Data5[[#This Row],[Performance Score]],
"A",5,
"B",4,
"C",3,
"D",2,
"F",1)</f>
        <v>4</v>
      </c>
      <c r="P583" s="10"/>
    </row>
    <row r="584" spans="1:16" x14ac:dyDescent="0.3">
      <c r="A584" t="s">
        <v>59</v>
      </c>
      <c r="B584">
        <v>50</v>
      </c>
      <c r="C584" s="6">
        <v>55000</v>
      </c>
      <c r="D584" t="s">
        <v>36</v>
      </c>
      <c r="E584" t="s">
        <v>30</v>
      </c>
      <c r="F584" t="s">
        <v>20</v>
      </c>
      <c r="G584" s="7">
        <v>43881</v>
      </c>
      <c r="H584" t="s">
        <v>41</v>
      </c>
      <c r="I584" t="s">
        <v>69</v>
      </c>
      <c r="J584" t="s">
        <v>28</v>
      </c>
      <c r="K584" t="str">
        <f>IF(HR_Data5[[#This Row],[Age]]&lt;30,"Young",IF(HR_Data5[[#This Row],[Age]]&lt;=45,"Mid-Career","Senior"))</f>
        <v>Senior</v>
      </c>
      <c r="L584" s="10">
        <f ca="1">DATEDIF(HR_Data5[[#This Row],[Joining Date]],TODAY(),"Y")</f>
        <v>6</v>
      </c>
      <c r="M584" s="10" t="str">
        <f>IF(HR_Data5[[#This Row],[Salary]]&lt;55000,"Low",IF(HR_Data5[[#This Row],[Salary]]&lt;=65000,"Medium","High"))</f>
        <v>Medium</v>
      </c>
      <c r="N584" s="10">
        <f>YEAR(HR_Data5[[#This Row],[Joining Date]])</f>
        <v>2020</v>
      </c>
      <c r="O584" s="10" cm="1">
        <f t="array" ref="O584">_xlfn.SWITCH(HR_Data5[[#This Row],[Performance Score]],
"A",5,
"B",4,
"C",3,
"D",2,
"F",1)</f>
        <v>4</v>
      </c>
      <c r="P584" s="10"/>
    </row>
    <row r="585" spans="1:16" x14ac:dyDescent="0.3">
      <c r="A585" t="s">
        <v>57</v>
      </c>
      <c r="B585">
        <v>30</v>
      </c>
      <c r="C585" s="6">
        <v>60000</v>
      </c>
      <c r="D585" t="s">
        <v>36</v>
      </c>
      <c r="E585" t="s">
        <v>12</v>
      </c>
      <c r="F585" t="s">
        <v>39</v>
      </c>
      <c r="G585" s="7">
        <v>43881</v>
      </c>
      <c r="H585" t="s">
        <v>41</v>
      </c>
      <c r="I585" t="s">
        <v>22</v>
      </c>
      <c r="J585" t="s">
        <v>45</v>
      </c>
      <c r="K585" t="str">
        <f>IF(HR_Data5[[#This Row],[Age]]&lt;30,"Young",IF(HR_Data5[[#This Row],[Age]]&lt;=45,"Mid-Career","Senior"))</f>
        <v>Mid-Career</v>
      </c>
      <c r="L585" s="10">
        <f ca="1">DATEDIF(HR_Data5[[#This Row],[Joining Date]],TODAY(),"Y")</f>
        <v>6</v>
      </c>
      <c r="M585" s="10" t="str">
        <f>IF(HR_Data5[[#This Row],[Salary]]&lt;55000,"Low",IF(HR_Data5[[#This Row],[Salary]]&lt;=65000,"Medium","High"))</f>
        <v>Medium</v>
      </c>
      <c r="N585" s="10">
        <f>YEAR(HR_Data5[[#This Row],[Joining Date]])</f>
        <v>2020</v>
      </c>
      <c r="O585" s="10" cm="1">
        <f t="array" ref="O585">_xlfn.SWITCH(HR_Data5[[#This Row],[Performance Score]],
"A",5,
"B",4,
"C",3,
"D",2,
"F",1)</f>
        <v>4</v>
      </c>
      <c r="P585" s="10"/>
    </row>
    <row r="586" spans="1:16" x14ac:dyDescent="0.3">
      <c r="A586" t="s">
        <v>54</v>
      </c>
      <c r="B586">
        <v>25</v>
      </c>
      <c r="C586" s="6">
        <v>55000</v>
      </c>
      <c r="D586" t="s">
        <v>36</v>
      </c>
      <c r="E586" t="s">
        <v>30</v>
      </c>
      <c r="F586" t="s">
        <v>43</v>
      </c>
      <c r="G586" s="7">
        <v>43881</v>
      </c>
      <c r="H586" t="s">
        <v>14</v>
      </c>
      <c r="I586" t="s">
        <v>69</v>
      </c>
      <c r="J586" t="s">
        <v>23</v>
      </c>
      <c r="K586" t="str">
        <f>IF(HR_Data5[[#This Row],[Age]]&lt;30,"Young",IF(HR_Data5[[#This Row],[Age]]&lt;=45,"Mid-Career","Senior"))</f>
        <v>Young</v>
      </c>
      <c r="L586" s="10">
        <f ca="1">DATEDIF(HR_Data5[[#This Row],[Joining Date]],TODAY(),"Y")</f>
        <v>6</v>
      </c>
      <c r="M586" s="10" t="str">
        <f>IF(HR_Data5[[#This Row],[Salary]]&lt;55000,"Low",IF(HR_Data5[[#This Row],[Salary]]&lt;=65000,"Medium","High"))</f>
        <v>Medium</v>
      </c>
      <c r="N586" s="10">
        <f>YEAR(HR_Data5[[#This Row],[Joining Date]])</f>
        <v>2020</v>
      </c>
      <c r="O586" s="10" cm="1">
        <f t="array" ref="O586">_xlfn.SWITCH(HR_Data5[[#This Row],[Performance Score]],
"A",5,
"B",4,
"C",3,
"D",2,
"F",1)</f>
        <v>2</v>
      </c>
      <c r="P586" s="10"/>
    </row>
    <row r="587" spans="1:16" x14ac:dyDescent="0.3">
      <c r="A587" t="s">
        <v>57</v>
      </c>
      <c r="B587">
        <v>30</v>
      </c>
      <c r="C587" s="6">
        <v>50000</v>
      </c>
      <c r="D587" t="s">
        <v>11</v>
      </c>
      <c r="E587" t="s">
        <v>37</v>
      </c>
      <c r="F587" t="s">
        <v>39</v>
      </c>
      <c r="G587" s="7">
        <v>43195</v>
      </c>
      <c r="H587" t="s">
        <v>21</v>
      </c>
      <c r="I587" t="s">
        <v>69</v>
      </c>
      <c r="J587" t="s">
        <v>69</v>
      </c>
      <c r="K587" t="str">
        <f>IF(HR_Data5[[#This Row],[Age]]&lt;30,"Young",IF(HR_Data5[[#This Row],[Age]]&lt;=45,"Mid-Career","Senior"))</f>
        <v>Mid-Career</v>
      </c>
      <c r="L587" s="10">
        <f ca="1">DATEDIF(HR_Data5[[#This Row],[Joining Date]],TODAY(),"Y")</f>
        <v>7</v>
      </c>
      <c r="M587" s="10" t="str">
        <f>IF(HR_Data5[[#This Row],[Salary]]&lt;55000,"Low",IF(HR_Data5[[#This Row],[Salary]]&lt;=65000,"Medium","High"))</f>
        <v>Low</v>
      </c>
      <c r="N587" s="10">
        <f>YEAR(HR_Data5[[#This Row],[Joining Date]])</f>
        <v>2018</v>
      </c>
      <c r="O587" s="10" cm="1">
        <f t="array" ref="O587">_xlfn.SWITCH(HR_Data5[[#This Row],[Performance Score]],
"A",5,
"B",4,
"C",3,
"D",2,
"F",1)</f>
        <v>1</v>
      </c>
      <c r="P587" s="10"/>
    </row>
    <row r="588" spans="1:16" x14ac:dyDescent="0.3">
      <c r="A588" t="s">
        <v>55</v>
      </c>
      <c r="B588">
        <v>36</v>
      </c>
      <c r="C588" s="6">
        <v>55000</v>
      </c>
      <c r="D588" t="s">
        <v>36</v>
      </c>
      <c r="E588" t="s">
        <v>19</v>
      </c>
      <c r="F588" t="s">
        <v>44</v>
      </c>
      <c r="G588" s="7">
        <v>43881</v>
      </c>
      <c r="H588" t="s">
        <v>14</v>
      </c>
      <c r="I588" t="s">
        <v>32</v>
      </c>
      <c r="J588" t="s">
        <v>28</v>
      </c>
      <c r="K588" t="str">
        <f>IF(HR_Data5[[#This Row],[Age]]&lt;30,"Young",IF(HR_Data5[[#This Row],[Age]]&lt;=45,"Mid-Career","Senior"))</f>
        <v>Mid-Career</v>
      </c>
      <c r="L588" s="10">
        <f ca="1">DATEDIF(HR_Data5[[#This Row],[Joining Date]],TODAY(),"Y")</f>
        <v>6</v>
      </c>
      <c r="M588" s="10" t="str">
        <f>IF(HR_Data5[[#This Row],[Salary]]&lt;55000,"Low",IF(HR_Data5[[#This Row],[Salary]]&lt;=65000,"Medium","High"))</f>
        <v>Medium</v>
      </c>
      <c r="N588" s="10">
        <f>YEAR(HR_Data5[[#This Row],[Joining Date]])</f>
        <v>2020</v>
      </c>
      <c r="O588" s="10" cm="1">
        <f t="array" ref="O588">_xlfn.SWITCH(HR_Data5[[#This Row],[Performance Score]],
"A",5,
"B",4,
"C",3,
"D",2,
"F",1)</f>
        <v>2</v>
      </c>
      <c r="P588" s="10"/>
    </row>
    <row r="589" spans="1:16" x14ac:dyDescent="0.3">
      <c r="A589" t="s">
        <v>54</v>
      </c>
      <c r="B589">
        <v>36</v>
      </c>
      <c r="C589" s="6">
        <v>50000</v>
      </c>
      <c r="D589" t="s">
        <v>36</v>
      </c>
      <c r="E589" t="s">
        <v>19</v>
      </c>
      <c r="F589" t="s">
        <v>39</v>
      </c>
      <c r="G589" s="7">
        <v>43800</v>
      </c>
      <c r="H589" t="s">
        <v>14</v>
      </c>
      <c r="I589" t="s">
        <v>32</v>
      </c>
      <c r="J589" t="s">
        <v>69</v>
      </c>
      <c r="K589" t="str">
        <f>IF(HR_Data5[[#This Row],[Age]]&lt;30,"Young",IF(HR_Data5[[#This Row],[Age]]&lt;=45,"Mid-Career","Senior"))</f>
        <v>Mid-Career</v>
      </c>
      <c r="L589" s="10">
        <f ca="1">DATEDIF(HR_Data5[[#This Row],[Joining Date]],TODAY(),"Y")</f>
        <v>6</v>
      </c>
      <c r="M589" s="10" t="str">
        <f>IF(HR_Data5[[#This Row],[Salary]]&lt;55000,"Low",IF(HR_Data5[[#This Row],[Salary]]&lt;=65000,"Medium","High"))</f>
        <v>Low</v>
      </c>
      <c r="N589" s="10">
        <f>YEAR(HR_Data5[[#This Row],[Joining Date]])</f>
        <v>2019</v>
      </c>
      <c r="O589" s="10" cm="1">
        <f t="array" ref="O589">_xlfn.SWITCH(HR_Data5[[#This Row],[Performance Score]],
"A",5,
"B",4,
"C",3,
"D",2,
"F",1)</f>
        <v>2</v>
      </c>
      <c r="P589" s="10"/>
    </row>
    <row r="590" spans="1:16" x14ac:dyDescent="0.3">
      <c r="A590" t="s">
        <v>57</v>
      </c>
      <c r="B590">
        <v>50</v>
      </c>
      <c r="C590" s="6">
        <v>50000</v>
      </c>
      <c r="D590" t="s">
        <v>11</v>
      </c>
      <c r="E590" t="s">
        <v>37</v>
      </c>
      <c r="F590" t="s">
        <v>13</v>
      </c>
      <c r="G590" s="7">
        <v>43845</v>
      </c>
      <c r="H590" t="s">
        <v>31</v>
      </c>
      <c r="I590" t="s">
        <v>32</v>
      </c>
      <c r="J590" t="s">
        <v>69</v>
      </c>
      <c r="K590" t="str">
        <f>IF(HR_Data5[[#This Row],[Age]]&lt;30,"Young",IF(HR_Data5[[#This Row],[Age]]&lt;=45,"Mid-Career","Senior"))</f>
        <v>Senior</v>
      </c>
      <c r="L590" s="10">
        <f ca="1">DATEDIF(HR_Data5[[#This Row],[Joining Date]],TODAY(),"Y")</f>
        <v>6</v>
      </c>
      <c r="M590" s="10" t="str">
        <f>IF(HR_Data5[[#This Row],[Salary]]&lt;55000,"Low",IF(HR_Data5[[#This Row],[Salary]]&lt;=65000,"Medium","High"))</f>
        <v>Low</v>
      </c>
      <c r="N590" s="10">
        <f>YEAR(HR_Data5[[#This Row],[Joining Date]])</f>
        <v>2020</v>
      </c>
      <c r="O590" s="10" cm="1">
        <f t="array" ref="O590">_xlfn.SWITCH(HR_Data5[[#This Row],[Performance Score]],
"A",5,
"B",4,
"C",3,
"D",2,
"F",1)</f>
        <v>5</v>
      </c>
      <c r="P590" s="10"/>
    </row>
    <row r="591" spans="1:16" x14ac:dyDescent="0.3">
      <c r="A591" t="s">
        <v>54</v>
      </c>
      <c r="B591">
        <v>40</v>
      </c>
      <c r="C591" s="6">
        <v>60000</v>
      </c>
      <c r="D591" t="s">
        <v>11</v>
      </c>
      <c r="E591" t="s">
        <v>19</v>
      </c>
      <c r="F591" t="s">
        <v>44</v>
      </c>
      <c r="G591" s="7">
        <v>43195</v>
      </c>
      <c r="H591" t="s">
        <v>31</v>
      </c>
      <c r="I591" t="s">
        <v>15</v>
      </c>
      <c r="J591" t="s">
        <v>23</v>
      </c>
      <c r="K591" t="str">
        <f>IF(HR_Data5[[#This Row],[Age]]&lt;30,"Young",IF(HR_Data5[[#This Row],[Age]]&lt;=45,"Mid-Career","Senior"))</f>
        <v>Mid-Career</v>
      </c>
      <c r="L591" s="10">
        <f ca="1">DATEDIF(HR_Data5[[#This Row],[Joining Date]],TODAY(),"Y")</f>
        <v>7</v>
      </c>
      <c r="M591" s="10" t="str">
        <f>IF(HR_Data5[[#This Row],[Salary]]&lt;55000,"Low",IF(HR_Data5[[#This Row],[Salary]]&lt;=65000,"Medium","High"))</f>
        <v>Medium</v>
      </c>
      <c r="N591" s="10">
        <f>YEAR(HR_Data5[[#This Row],[Joining Date]])</f>
        <v>2018</v>
      </c>
      <c r="O591" s="10" cm="1">
        <f t="array" ref="O591">_xlfn.SWITCH(HR_Data5[[#This Row],[Performance Score]],
"A",5,
"B",4,
"C",3,
"D",2,
"F",1)</f>
        <v>5</v>
      </c>
      <c r="P591" s="10"/>
    </row>
    <row r="592" spans="1:16" x14ac:dyDescent="0.3">
      <c r="A592" t="s">
        <v>54</v>
      </c>
      <c r="B592">
        <v>40</v>
      </c>
      <c r="C592" s="6" t="s">
        <v>68</v>
      </c>
      <c r="D592" t="s">
        <v>11</v>
      </c>
      <c r="E592" t="s">
        <v>26</v>
      </c>
      <c r="F592" t="s">
        <v>13</v>
      </c>
      <c r="G592" s="7">
        <v>43881</v>
      </c>
      <c r="H592" t="s">
        <v>31</v>
      </c>
      <c r="I592" t="s">
        <v>69</v>
      </c>
      <c r="J592" t="s">
        <v>45</v>
      </c>
      <c r="K592" t="str">
        <f>IF(HR_Data5[[#This Row],[Age]]&lt;30,"Young",IF(HR_Data5[[#This Row],[Age]]&lt;=45,"Mid-Career","Senior"))</f>
        <v>Mid-Career</v>
      </c>
      <c r="L592" s="10">
        <f ca="1">DATEDIF(HR_Data5[[#This Row],[Joining Date]],TODAY(),"Y")</f>
        <v>6</v>
      </c>
      <c r="M592" s="10" t="str">
        <f>IF(HR_Data5[[#This Row],[Salary]]&lt;55000,"Low",IF(HR_Data5[[#This Row],[Salary]]&lt;=65000,"Medium","High"))</f>
        <v>High</v>
      </c>
      <c r="N592" s="10">
        <f>YEAR(HR_Data5[[#This Row],[Joining Date]])</f>
        <v>2020</v>
      </c>
      <c r="O592" s="10" cm="1">
        <f t="array" ref="O592">_xlfn.SWITCH(HR_Data5[[#This Row],[Performance Score]],
"A",5,
"B",4,
"C",3,
"D",2,
"F",1)</f>
        <v>5</v>
      </c>
      <c r="P592" s="10"/>
    </row>
    <row r="593" spans="1:16" x14ac:dyDescent="0.3">
      <c r="A593" t="s">
        <v>52</v>
      </c>
      <c r="B593">
        <v>50</v>
      </c>
      <c r="C593" s="6">
        <v>65000</v>
      </c>
      <c r="D593" t="s">
        <v>11</v>
      </c>
      <c r="E593" t="s">
        <v>12</v>
      </c>
      <c r="F593" t="s">
        <v>44</v>
      </c>
      <c r="G593" s="7">
        <v>43845</v>
      </c>
      <c r="H593" t="s">
        <v>27</v>
      </c>
      <c r="I593" t="s">
        <v>22</v>
      </c>
      <c r="J593" t="s">
        <v>45</v>
      </c>
      <c r="K593" t="str">
        <f>IF(HR_Data5[[#This Row],[Age]]&lt;30,"Young",IF(HR_Data5[[#This Row],[Age]]&lt;=45,"Mid-Career","Senior"))</f>
        <v>Senior</v>
      </c>
      <c r="L593" s="10">
        <f ca="1">DATEDIF(HR_Data5[[#This Row],[Joining Date]],TODAY(),"Y")</f>
        <v>6</v>
      </c>
      <c r="M593" s="10" t="str">
        <f>IF(HR_Data5[[#This Row],[Salary]]&lt;55000,"Low",IF(HR_Data5[[#This Row],[Salary]]&lt;=65000,"Medium","High"))</f>
        <v>Medium</v>
      </c>
      <c r="N593" s="10">
        <f>YEAR(HR_Data5[[#This Row],[Joining Date]])</f>
        <v>2020</v>
      </c>
      <c r="O593" s="10" cm="1">
        <f t="array" ref="O593">_xlfn.SWITCH(HR_Data5[[#This Row],[Performance Score]],
"A",5,
"B",4,
"C",3,
"D",2,
"F",1)</f>
        <v>3</v>
      </c>
      <c r="P593" s="10"/>
    </row>
    <row r="594" spans="1:16" x14ac:dyDescent="0.3">
      <c r="A594" t="s">
        <v>56</v>
      </c>
      <c r="B594">
        <v>36</v>
      </c>
      <c r="C594" s="6">
        <v>55000</v>
      </c>
      <c r="D594" t="s">
        <v>11</v>
      </c>
      <c r="E594" t="s">
        <v>12</v>
      </c>
      <c r="F594" t="s">
        <v>43</v>
      </c>
      <c r="G594" s="7">
        <v>43549</v>
      </c>
      <c r="H594" t="s">
        <v>31</v>
      </c>
      <c r="I594" t="s">
        <v>32</v>
      </c>
      <c r="J594" t="s">
        <v>23</v>
      </c>
      <c r="K594" t="str">
        <f>IF(HR_Data5[[#This Row],[Age]]&lt;30,"Young",IF(HR_Data5[[#This Row],[Age]]&lt;=45,"Mid-Career","Senior"))</f>
        <v>Mid-Career</v>
      </c>
      <c r="L594" s="10">
        <f ca="1">DATEDIF(HR_Data5[[#This Row],[Joining Date]],TODAY(),"Y")</f>
        <v>6</v>
      </c>
      <c r="M594" s="10" t="str">
        <f>IF(HR_Data5[[#This Row],[Salary]]&lt;55000,"Low",IF(HR_Data5[[#This Row],[Salary]]&lt;=65000,"Medium","High"))</f>
        <v>Medium</v>
      </c>
      <c r="N594" s="10">
        <f>YEAR(HR_Data5[[#This Row],[Joining Date]])</f>
        <v>2019</v>
      </c>
      <c r="O594" s="10" cm="1">
        <f t="array" ref="O594">_xlfn.SWITCH(HR_Data5[[#This Row],[Performance Score]],
"A",5,
"B",4,
"C",3,
"D",2,
"F",1)</f>
        <v>5</v>
      </c>
      <c r="P594" s="10"/>
    </row>
    <row r="595" spans="1:16" x14ac:dyDescent="0.3">
      <c r="A595" t="s">
        <v>56</v>
      </c>
      <c r="B595">
        <v>36</v>
      </c>
      <c r="C595" s="6">
        <v>50000</v>
      </c>
      <c r="D595" t="s">
        <v>11</v>
      </c>
      <c r="E595" t="s">
        <v>12</v>
      </c>
      <c r="F595" t="s">
        <v>43</v>
      </c>
      <c r="G595" s="7">
        <v>43881</v>
      </c>
      <c r="H595" t="s">
        <v>21</v>
      </c>
      <c r="I595" t="s">
        <v>32</v>
      </c>
      <c r="J595" t="s">
        <v>69</v>
      </c>
      <c r="K595" t="str">
        <f>IF(HR_Data5[[#This Row],[Age]]&lt;30,"Young",IF(HR_Data5[[#This Row],[Age]]&lt;=45,"Mid-Career","Senior"))</f>
        <v>Mid-Career</v>
      </c>
      <c r="L595" s="10">
        <f ca="1">DATEDIF(HR_Data5[[#This Row],[Joining Date]],TODAY(),"Y")</f>
        <v>6</v>
      </c>
      <c r="M595" s="10" t="str">
        <f>IF(HR_Data5[[#This Row],[Salary]]&lt;55000,"Low",IF(HR_Data5[[#This Row],[Salary]]&lt;=65000,"Medium","High"))</f>
        <v>Low</v>
      </c>
      <c r="N595" s="10">
        <f>YEAR(HR_Data5[[#This Row],[Joining Date]])</f>
        <v>2020</v>
      </c>
      <c r="O595" s="10" cm="1">
        <f t="array" ref="O595">_xlfn.SWITCH(HR_Data5[[#This Row],[Performance Score]],
"A",5,
"B",4,
"C",3,
"D",2,
"F",1)</f>
        <v>1</v>
      </c>
      <c r="P595" s="10"/>
    </row>
    <row r="596" spans="1:16" x14ac:dyDescent="0.3">
      <c r="A596" t="s">
        <v>52</v>
      </c>
      <c r="B596">
        <v>36</v>
      </c>
      <c r="C596" s="6">
        <v>55000</v>
      </c>
      <c r="D596" t="s">
        <v>36</v>
      </c>
      <c r="E596" t="s">
        <v>19</v>
      </c>
      <c r="F596" t="s">
        <v>43</v>
      </c>
      <c r="G596" s="7">
        <v>43845</v>
      </c>
      <c r="H596" t="s">
        <v>14</v>
      </c>
      <c r="I596" t="s">
        <v>15</v>
      </c>
      <c r="J596" t="s">
        <v>69</v>
      </c>
      <c r="K596" t="str">
        <f>IF(HR_Data5[[#This Row],[Age]]&lt;30,"Young",IF(HR_Data5[[#This Row],[Age]]&lt;=45,"Mid-Career","Senior"))</f>
        <v>Mid-Career</v>
      </c>
      <c r="L596" s="10">
        <f ca="1">DATEDIF(HR_Data5[[#This Row],[Joining Date]],TODAY(),"Y")</f>
        <v>6</v>
      </c>
      <c r="M596" s="10" t="str">
        <f>IF(HR_Data5[[#This Row],[Salary]]&lt;55000,"Low",IF(HR_Data5[[#This Row],[Salary]]&lt;=65000,"Medium","High"))</f>
        <v>Medium</v>
      </c>
      <c r="N596" s="10">
        <f>YEAR(HR_Data5[[#This Row],[Joining Date]])</f>
        <v>2020</v>
      </c>
      <c r="O596" s="10" cm="1">
        <f t="array" ref="O596">_xlfn.SWITCH(HR_Data5[[#This Row],[Performance Score]],
"A",5,
"B",4,
"C",3,
"D",2,
"F",1)</f>
        <v>2</v>
      </c>
      <c r="P596" s="10"/>
    </row>
    <row r="597" spans="1:16" x14ac:dyDescent="0.3">
      <c r="A597" t="s">
        <v>60</v>
      </c>
      <c r="B597">
        <v>30</v>
      </c>
      <c r="C597" s="6" t="s">
        <v>68</v>
      </c>
      <c r="D597" t="s">
        <v>36</v>
      </c>
      <c r="E597" t="s">
        <v>19</v>
      </c>
      <c r="F597" t="s">
        <v>13</v>
      </c>
      <c r="G597" s="7">
        <v>43800</v>
      </c>
      <c r="H597" t="s">
        <v>21</v>
      </c>
      <c r="I597" t="s">
        <v>22</v>
      </c>
      <c r="J597" t="s">
        <v>45</v>
      </c>
      <c r="K597" t="str">
        <f>IF(HR_Data5[[#This Row],[Age]]&lt;30,"Young",IF(HR_Data5[[#This Row],[Age]]&lt;=45,"Mid-Career","Senior"))</f>
        <v>Mid-Career</v>
      </c>
      <c r="L597" s="10">
        <f ca="1">DATEDIF(HR_Data5[[#This Row],[Joining Date]],TODAY(),"Y")</f>
        <v>6</v>
      </c>
      <c r="M597" s="10" t="str">
        <f>IF(HR_Data5[[#This Row],[Salary]]&lt;55000,"Low",IF(HR_Data5[[#This Row],[Salary]]&lt;=65000,"Medium","High"))</f>
        <v>High</v>
      </c>
      <c r="N597" s="10">
        <f>YEAR(HR_Data5[[#This Row],[Joining Date]])</f>
        <v>2019</v>
      </c>
      <c r="O597" s="10" cm="1">
        <f t="array" ref="O597">_xlfn.SWITCH(HR_Data5[[#This Row],[Performance Score]],
"A",5,
"B",4,
"C",3,
"D",2,
"F",1)</f>
        <v>1</v>
      </c>
      <c r="P597" s="10"/>
    </row>
    <row r="598" spans="1:16" x14ac:dyDescent="0.3">
      <c r="A598" t="s">
        <v>58</v>
      </c>
      <c r="B598">
        <v>36</v>
      </c>
      <c r="C598" s="6">
        <v>65000</v>
      </c>
      <c r="D598" t="s">
        <v>18</v>
      </c>
      <c r="E598" t="s">
        <v>30</v>
      </c>
      <c r="F598" t="s">
        <v>20</v>
      </c>
      <c r="G598" s="7">
        <v>43549</v>
      </c>
      <c r="H598" t="s">
        <v>31</v>
      </c>
      <c r="I598" t="s">
        <v>69</v>
      </c>
      <c r="J598" t="s">
        <v>28</v>
      </c>
      <c r="K598" t="str">
        <f>IF(HR_Data5[[#This Row],[Age]]&lt;30,"Young",IF(HR_Data5[[#This Row],[Age]]&lt;=45,"Mid-Career","Senior"))</f>
        <v>Mid-Career</v>
      </c>
      <c r="L598" s="10">
        <f ca="1">DATEDIF(HR_Data5[[#This Row],[Joining Date]],TODAY(),"Y")</f>
        <v>6</v>
      </c>
      <c r="M598" s="10" t="str">
        <f>IF(HR_Data5[[#This Row],[Salary]]&lt;55000,"Low",IF(HR_Data5[[#This Row],[Salary]]&lt;=65000,"Medium","High"))</f>
        <v>Medium</v>
      </c>
      <c r="N598" s="10">
        <f>YEAR(HR_Data5[[#This Row],[Joining Date]])</f>
        <v>2019</v>
      </c>
      <c r="O598" s="10" cm="1">
        <f t="array" ref="O598">_xlfn.SWITCH(HR_Data5[[#This Row],[Performance Score]],
"A",5,
"B",4,
"C",3,
"D",2,
"F",1)</f>
        <v>5</v>
      </c>
      <c r="P598" s="10"/>
    </row>
    <row r="599" spans="1:16" x14ac:dyDescent="0.3">
      <c r="A599" t="s">
        <v>60</v>
      </c>
      <c r="B599">
        <v>35</v>
      </c>
      <c r="C599" s="6" t="s">
        <v>68</v>
      </c>
      <c r="D599" t="s">
        <v>36</v>
      </c>
      <c r="E599" t="s">
        <v>30</v>
      </c>
      <c r="F599" t="s">
        <v>44</v>
      </c>
      <c r="G599" s="7">
        <v>43800</v>
      </c>
      <c r="H599" t="s">
        <v>27</v>
      </c>
      <c r="I599" t="s">
        <v>69</v>
      </c>
      <c r="J599" t="s">
        <v>69</v>
      </c>
      <c r="K599" t="str">
        <f>IF(HR_Data5[[#This Row],[Age]]&lt;30,"Young",IF(HR_Data5[[#This Row],[Age]]&lt;=45,"Mid-Career","Senior"))</f>
        <v>Mid-Career</v>
      </c>
      <c r="L599" s="10">
        <f ca="1">DATEDIF(HR_Data5[[#This Row],[Joining Date]],TODAY(),"Y")</f>
        <v>6</v>
      </c>
      <c r="M599" s="10" t="str">
        <f>IF(HR_Data5[[#This Row],[Salary]]&lt;55000,"Low",IF(HR_Data5[[#This Row],[Salary]]&lt;=65000,"Medium","High"))</f>
        <v>High</v>
      </c>
      <c r="N599" s="10">
        <f>YEAR(HR_Data5[[#This Row],[Joining Date]])</f>
        <v>2019</v>
      </c>
      <c r="O599" s="10" cm="1">
        <f t="array" ref="O599">_xlfn.SWITCH(HR_Data5[[#This Row],[Performance Score]],
"A",5,
"B",4,
"C",3,
"D",2,
"F",1)</f>
        <v>3</v>
      </c>
      <c r="P599" s="10"/>
    </row>
    <row r="600" spans="1:16" x14ac:dyDescent="0.3">
      <c r="A600" t="s">
        <v>59</v>
      </c>
      <c r="B600">
        <v>25</v>
      </c>
      <c r="C600" s="6">
        <v>65000</v>
      </c>
      <c r="D600" t="s">
        <v>36</v>
      </c>
      <c r="E600" t="s">
        <v>12</v>
      </c>
      <c r="F600" t="s">
        <v>43</v>
      </c>
      <c r="G600" s="7">
        <v>43845</v>
      </c>
      <c r="H600" t="s">
        <v>27</v>
      </c>
      <c r="I600" t="s">
        <v>15</v>
      </c>
      <c r="J600" t="s">
        <v>28</v>
      </c>
      <c r="K600" t="str">
        <f>IF(HR_Data5[[#This Row],[Age]]&lt;30,"Young",IF(HR_Data5[[#This Row],[Age]]&lt;=45,"Mid-Career","Senior"))</f>
        <v>Young</v>
      </c>
      <c r="L600" s="10">
        <f ca="1">DATEDIF(HR_Data5[[#This Row],[Joining Date]],TODAY(),"Y")</f>
        <v>6</v>
      </c>
      <c r="M600" s="10" t="str">
        <f>IF(HR_Data5[[#This Row],[Salary]]&lt;55000,"Low",IF(HR_Data5[[#This Row],[Salary]]&lt;=65000,"Medium","High"))</f>
        <v>Medium</v>
      </c>
      <c r="N600" s="10">
        <f>YEAR(HR_Data5[[#This Row],[Joining Date]])</f>
        <v>2020</v>
      </c>
      <c r="O600" s="10" cm="1">
        <f t="array" ref="O600">_xlfn.SWITCH(HR_Data5[[#This Row],[Performance Score]],
"A",5,
"B",4,
"C",3,
"D",2,
"F",1)</f>
        <v>3</v>
      </c>
      <c r="P600" s="10"/>
    </row>
    <row r="601" spans="1:16" x14ac:dyDescent="0.3">
      <c r="A601" t="s">
        <v>59</v>
      </c>
      <c r="B601">
        <v>36</v>
      </c>
      <c r="C601" s="6">
        <v>70000</v>
      </c>
      <c r="D601" t="s">
        <v>11</v>
      </c>
      <c r="E601" t="s">
        <v>26</v>
      </c>
      <c r="F601" t="s">
        <v>44</v>
      </c>
      <c r="G601" s="7">
        <v>43800</v>
      </c>
      <c r="H601" t="s">
        <v>14</v>
      </c>
      <c r="I601" t="s">
        <v>69</v>
      </c>
      <c r="J601" t="s">
        <v>69</v>
      </c>
      <c r="K601" t="str">
        <f>IF(HR_Data5[[#This Row],[Age]]&lt;30,"Young",IF(HR_Data5[[#This Row],[Age]]&lt;=45,"Mid-Career","Senior"))</f>
        <v>Mid-Career</v>
      </c>
      <c r="L601" s="10">
        <f ca="1">DATEDIF(HR_Data5[[#This Row],[Joining Date]],TODAY(),"Y")</f>
        <v>6</v>
      </c>
      <c r="M601" s="10" t="str">
        <f>IF(HR_Data5[[#This Row],[Salary]]&lt;55000,"Low",IF(HR_Data5[[#This Row],[Salary]]&lt;=65000,"Medium","High"))</f>
        <v>High</v>
      </c>
      <c r="N601" s="10">
        <f>YEAR(HR_Data5[[#This Row],[Joining Date]])</f>
        <v>2019</v>
      </c>
      <c r="O601" s="10" cm="1">
        <f t="array" ref="O601">_xlfn.SWITCH(HR_Data5[[#This Row],[Performance Score]],
"A",5,
"B",4,
"C",3,
"D",2,
"F",1)</f>
        <v>2</v>
      </c>
      <c r="P601" s="10"/>
    </row>
    <row r="602" spans="1:16" x14ac:dyDescent="0.3">
      <c r="A602" t="s">
        <v>54</v>
      </c>
      <c r="B602">
        <v>50</v>
      </c>
      <c r="C602" s="6">
        <v>65000</v>
      </c>
      <c r="D602" t="s">
        <v>11</v>
      </c>
      <c r="E602" t="s">
        <v>30</v>
      </c>
      <c r="F602" t="s">
        <v>13</v>
      </c>
      <c r="G602" s="7">
        <v>43845</v>
      </c>
      <c r="H602" t="s">
        <v>21</v>
      </c>
      <c r="I602" t="s">
        <v>69</v>
      </c>
      <c r="J602" t="s">
        <v>28</v>
      </c>
      <c r="K602" t="str">
        <f>IF(HR_Data5[[#This Row],[Age]]&lt;30,"Young",IF(HR_Data5[[#This Row],[Age]]&lt;=45,"Mid-Career","Senior"))</f>
        <v>Senior</v>
      </c>
      <c r="L602" s="10">
        <f ca="1">DATEDIF(HR_Data5[[#This Row],[Joining Date]],TODAY(),"Y")</f>
        <v>6</v>
      </c>
      <c r="M602" s="10" t="str">
        <f>IF(HR_Data5[[#This Row],[Salary]]&lt;55000,"Low",IF(HR_Data5[[#This Row],[Salary]]&lt;=65000,"Medium","High"))</f>
        <v>Medium</v>
      </c>
      <c r="N602" s="10">
        <f>YEAR(HR_Data5[[#This Row],[Joining Date]])</f>
        <v>2020</v>
      </c>
      <c r="O602" s="10" cm="1">
        <f t="array" ref="O602">_xlfn.SWITCH(HR_Data5[[#This Row],[Performance Score]],
"A",5,
"B",4,
"C",3,
"D",2,
"F",1)</f>
        <v>1</v>
      </c>
      <c r="P602" s="10"/>
    </row>
    <row r="603" spans="1:16" x14ac:dyDescent="0.3">
      <c r="A603" t="s">
        <v>57</v>
      </c>
      <c r="B603">
        <v>25</v>
      </c>
      <c r="C603" s="6">
        <v>60000</v>
      </c>
      <c r="D603" t="s">
        <v>36</v>
      </c>
      <c r="E603" t="s">
        <v>30</v>
      </c>
      <c r="F603" t="s">
        <v>20</v>
      </c>
      <c r="G603" s="7">
        <v>43845</v>
      </c>
      <c r="H603" t="s">
        <v>41</v>
      </c>
      <c r="I603" t="s">
        <v>32</v>
      </c>
      <c r="J603" t="s">
        <v>69</v>
      </c>
      <c r="K603" t="str">
        <f>IF(HR_Data5[[#This Row],[Age]]&lt;30,"Young",IF(HR_Data5[[#This Row],[Age]]&lt;=45,"Mid-Career","Senior"))</f>
        <v>Young</v>
      </c>
      <c r="L603" s="10">
        <f ca="1">DATEDIF(HR_Data5[[#This Row],[Joining Date]],TODAY(),"Y")</f>
        <v>6</v>
      </c>
      <c r="M603" s="10" t="str">
        <f>IF(HR_Data5[[#This Row],[Salary]]&lt;55000,"Low",IF(HR_Data5[[#This Row],[Salary]]&lt;=65000,"Medium","High"))</f>
        <v>Medium</v>
      </c>
      <c r="N603" s="10">
        <f>YEAR(HR_Data5[[#This Row],[Joining Date]])</f>
        <v>2020</v>
      </c>
      <c r="O603" s="10" cm="1">
        <f t="array" ref="O603">_xlfn.SWITCH(HR_Data5[[#This Row],[Performance Score]],
"A",5,
"B",4,
"C",3,
"D",2,
"F",1)</f>
        <v>4</v>
      </c>
      <c r="P603" s="10"/>
    </row>
    <row r="604" spans="1:16" x14ac:dyDescent="0.3">
      <c r="A604" t="s">
        <v>57</v>
      </c>
      <c r="B604">
        <v>30</v>
      </c>
      <c r="C604" s="6" t="s">
        <v>68</v>
      </c>
      <c r="D604" t="s">
        <v>18</v>
      </c>
      <c r="E604" t="s">
        <v>19</v>
      </c>
      <c r="F604" t="s">
        <v>13</v>
      </c>
      <c r="G604" s="7">
        <v>43800</v>
      </c>
      <c r="H604" t="s">
        <v>21</v>
      </c>
      <c r="I604" t="s">
        <v>32</v>
      </c>
      <c r="J604" t="s">
        <v>28</v>
      </c>
      <c r="K604" t="str">
        <f>IF(HR_Data5[[#This Row],[Age]]&lt;30,"Young",IF(HR_Data5[[#This Row],[Age]]&lt;=45,"Mid-Career","Senior"))</f>
        <v>Mid-Career</v>
      </c>
      <c r="L604" s="10">
        <f ca="1">DATEDIF(HR_Data5[[#This Row],[Joining Date]],TODAY(),"Y")</f>
        <v>6</v>
      </c>
      <c r="M604" s="10" t="str">
        <f>IF(HR_Data5[[#This Row],[Salary]]&lt;55000,"Low",IF(HR_Data5[[#This Row],[Salary]]&lt;=65000,"Medium","High"))</f>
        <v>High</v>
      </c>
      <c r="N604" s="10">
        <f>YEAR(HR_Data5[[#This Row],[Joining Date]])</f>
        <v>2019</v>
      </c>
      <c r="O604" s="10" cm="1">
        <f t="array" ref="O604">_xlfn.SWITCH(HR_Data5[[#This Row],[Performance Score]],
"A",5,
"B",4,
"C",3,
"D",2,
"F",1)</f>
        <v>1</v>
      </c>
      <c r="P604" s="10"/>
    </row>
    <row r="605" spans="1:16" x14ac:dyDescent="0.3">
      <c r="A605" t="s">
        <v>56</v>
      </c>
      <c r="B605">
        <v>50</v>
      </c>
      <c r="C605" s="6">
        <v>50000</v>
      </c>
      <c r="D605" t="s">
        <v>11</v>
      </c>
      <c r="E605" t="s">
        <v>26</v>
      </c>
      <c r="F605" t="s">
        <v>44</v>
      </c>
      <c r="G605" s="7">
        <v>43845</v>
      </c>
      <c r="H605" t="s">
        <v>31</v>
      </c>
      <c r="I605" t="s">
        <v>22</v>
      </c>
      <c r="J605" t="s">
        <v>28</v>
      </c>
      <c r="K605" t="str">
        <f>IF(HR_Data5[[#This Row],[Age]]&lt;30,"Young",IF(HR_Data5[[#This Row],[Age]]&lt;=45,"Mid-Career","Senior"))</f>
        <v>Senior</v>
      </c>
      <c r="L605" s="10">
        <f ca="1">DATEDIF(HR_Data5[[#This Row],[Joining Date]],TODAY(),"Y")</f>
        <v>6</v>
      </c>
      <c r="M605" s="10" t="str">
        <f>IF(HR_Data5[[#This Row],[Salary]]&lt;55000,"Low",IF(HR_Data5[[#This Row],[Salary]]&lt;=65000,"Medium","High"))</f>
        <v>Low</v>
      </c>
      <c r="N605" s="10">
        <f>YEAR(HR_Data5[[#This Row],[Joining Date]])</f>
        <v>2020</v>
      </c>
      <c r="O605" s="10" cm="1">
        <f t="array" ref="O605">_xlfn.SWITCH(HR_Data5[[#This Row],[Performance Score]],
"A",5,
"B",4,
"C",3,
"D",2,
"F",1)</f>
        <v>5</v>
      </c>
      <c r="P605" s="10"/>
    </row>
    <row r="606" spans="1:16" x14ac:dyDescent="0.3">
      <c r="A606" t="s">
        <v>51</v>
      </c>
      <c r="B606">
        <v>25</v>
      </c>
      <c r="C606" s="6">
        <v>70000</v>
      </c>
      <c r="D606" t="s">
        <v>36</v>
      </c>
      <c r="E606" t="s">
        <v>12</v>
      </c>
      <c r="F606" t="s">
        <v>20</v>
      </c>
      <c r="G606" s="7">
        <v>43881</v>
      </c>
      <c r="H606" t="s">
        <v>41</v>
      </c>
      <c r="I606" t="s">
        <v>69</v>
      </c>
      <c r="J606" t="s">
        <v>28</v>
      </c>
      <c r="K606" t="str">
        <f>IF(HR_Data5[[#This Row],[Age]]&lt;30,"Young",IF(HR_Data5[[#This Row],[Age]]&lt;=45,"Mid-Career","Senior"))</f>
        <v>Young</v>
      </c>
      <c r="L606" s="10">
        <f ca="1">DATEDIF(HR_Data5[[#This Row],[Joining Date]],TODAY(),"Y")</f>
        <v>6</v>
      </c>
      <c r="M606" s="10" t="str">
        <f>IF(HR_Data5[[#This Row],[Salary]]&lt;55000,"Low",IF(HR_Data5[[#This Row],[Salary]]&lt;=65000,"Medium","High"))</f>
        <v>High</v>
      </c>
      <c r="N606" s="10">
        <f>YEAR(HR_Data5[[#This Row],[Joining Date]])</f>
        <v>2020</v>
      </c>
      <c r="O606" s="10" cm="1">
        <f t="array" ref="O606">_xlfn.SWITCH(HR_Data5[[#This Row],[Performance Score]],
"A",5,
"B",4,
"C",3,
"D",2,
"F",1)</f>
        <v>4</v>
      </c>
      <c r="P606" s="10"/>
    </row>
    <row r="607" spans="1:16" x14ac:dyDescent="0.3">
      <c r="A607" t="s">
        <v>60</v>
      </c>
      <c r="B607">
        <v>50</v>
      </c>
      <c r="C607" s="6">
        <v>60000</v>
      </c>
      <c r="D607" t="s">
        <v>36</v>
      </c>
      <c r="E607" t="s">
        <v>30</v>
      </c>
      <c r="F607" t="s">
        <v>20</v>
      </c>
      <c r="G607" s="7">
        <v>43845</v>
      </c>
      <c r="H607" t="s">
        <v>27</v>
      </c>
      <c r="I607" t="s">
        <v>32</v>
      </c>
      <c r="J607" t="s">
        <v>28</v>
      </c>
      <c r="K607" t="str">
        <f>IF(HR_Data5[[#This Row],[Age]]&lt;30,"Young",IF(HR_Data5[[#This Row],[Age]]&lt;=45,"Mid-Career","Senior"))</f>
        <v>Senior</v>
      </c>
      <c r="L607" s="10">
        <f ca="1">DATEDIF(HR_Data5[[#This Row],[Joining Date]],TODAY(),"Y")</f>
        <v>6</v>
      </c>
      <c r="M607" s="10" t="str">
        <f>IF(HR_Data5[[#This Row],[Salary]]&lt;55000,"Low",IF(HR_Data5[[#This Row],[Salary]]&lt;=65000,"Medium","High"))</f>
        <v>Medium</v>
      </c>
      <c r="N607" s="10">
        <f>YEAR(HR_Data5[[#This Row],[Joining Date]])</f>
        <v>2020</v>
      </c>
      <c r="O607" s="10" cm="1">
        <f t="array" ref="O607">_xlfn.SWITCH(HR_Data5[[#This Row],[Performance Score]],
"A",5,
"B",4,
"C",3,
"D",2,
"F",1)</f>
        <v>3</v>
      </c>
      <c r="P607" s="10"/>
    </row>
    <row r="608" spans="1:16" x14ac:dyDescent="0.3">
      <c r="A608" t="s">
        <v>55</v>
      </c>
      <c r="B608">
        <v>30</v>
      </c>
      <c r="C608" s="6">
        <v>55000</v>
      </c>
      <c r="D608" t="s">
        <v>18</v>
      </c>
      <c r="E608" t="s">
        <v>26</v>
      </c>
      <c r="F608" t="s">
        <v>13</v>
      </c>
      <c r="G608" s="7">
        <v>43195</v>
      </c>
      <c r="H608" t="s">
        <v>14</v>
      </c>
      <c r="I608" t="s">
        <v>32</v>
      </c>
      <c r="J608" t="s">
        <v>23</v>
      </c>
      <c r="K608" t="str">
        <f>IF(HR_Data5[[#This Row],[Age]]&lt;30,"Young",IF(HR_Data5[[#This Row],[Age]]&lt;=45,"Mid-Career","Senior"))</f>
        <v>Mid-Career</v>
      </c>
      <c r="L608" s="10">
        <f ca="1">DATEDIF(HR_Data5[[#This Row],[Joining Date]],TODAY(),"Y")</f>
        <v>7</v>
      </c>
      <c r="M608" s="10" t="str">
        <f>IF(HR_Data5[[#This Row],[Salary]]&lt;55000,"Low",IF(HR_Data5[[#This Row],[Salary]]&lt;=65000,"Medium","High"))</f>
        <v>Medium</v>
      </c>
      <c r="N608" s="10">
        <f>YEAR(HR_Data5[[#This Row],[Joining Date]])</f>
        <v>2018</v>
      </c>
      <c r="O608" s="10" cm="1">
        <f t="array" ref="O608">_xlfn.SWITCH(HR_Data5[[#This Row],[Performance Score]],
"A",5,
"B",4,
"C",3,
"D",2,
"F",1)</f>
        <v>2</v>
      </c>
      <c r="P608" s="10"/>
    </row>
    <row r="609" spans="1:16" x14ac:dyDescent="0.3">
      <c r="A609" t="s">
        <v>53</v>
      </c>
      <c r="B609">
        <v>35</v>
      </c>
      <c r="C609" s="6" t="s">
        <v>68</v>
      </c>
      <c r="D609" t="s">
        <v>18</v>
      </c>
      <c r="E609" t="s">
        <v>26</v>
      </c>
      <c r="F609" t="s">
        <v>43</v>
      </c>
      <c r="G609" s="7">
        <v>43845</v>
      </c>
      <c r="H609" t="s">
        <v>14</v>
      </c>
      <c r="I609" t="s">
        <v>22</v>
      </c>
      <c r="J609" t="s">
        <v>69</v>
      </c>
      <c r="K609" t="str">
        <f>IF(HR_Data5[[#This Row],[Age]]&lt;30,"Young",IF(HR_Data5[[#This Row],[Age]]&lt;=45,"Mid-Career","Senior"))</f>
        <v>Mid-Career</v>
      </c>
      <c r="L609" s="10">
        <f ca="1">DATEDIF(HR_Data5[[#This Row],[Joining Date]],TODAY(),"Y")</f>
        <v>6</v>
      </c>
      <c r="M609" s="10" t="str">
        <f>IF(HR_Data5[[#This Row],[Salary]]&lt;55000,"Low",IF(HR_Data5[[#This Row],[Salary]]&lt;=65000,"Medium","High"))</f>
        <v>High</v>
      </c>
      <c r="N609" s="10">
        <f>YEAR(HR_Data5[[#This Row],[Joining Date]])</f>
        <v>2020</v>
      </c>
      <c r="O609" s="10" cm="1">
        <f t="array" ref="O609">_xlfn.SWITCH(HR_Data5[[#This Row],[Performance Score]],
"A",5,
"B",4,
"C",3,
"D",2,
"F",1)</f>
        <v>2</v>
      </c>
      <c r="P609" s="10"/>
    </row>
    <row r="610" spans="1:16" x14ac:dyDescent="0.3">
      <c r="A610" t="s">
        <v>57</v>
      </c>
      <c r="B610">
        <v>30</v>
      </c>
      <c r="C610" s="6">
        <v>50000</v>
      </c>
      <c r="D610" t="s">
        <v>11</v>
      </c>
      <c r="E610" t="s">
        <v>12</v>
      </c>
      <c r="F610" t="s">
        <v>44</v>
      </c>
      <c r="G610" s="7">
        <v>43195</v>
      </c>
      <c r="H610" t="s">
        <v>27</v>
      </c>
      <c r="I610" t="s">
        <v>69</v>
      </c>
      <c r="J610" t="s">
        <v>69</v>
      </c>
      <c r="K610" t="str">
        <f>IF(HR_Data5[[#This Row],[Age]]&lt;30,"Young",IF(HR_Data5[[#This Row],[Age]]&lt;=45,"Mid-Career","Senior"))</f>
        <v>Mid-Career</v>
      </c>
      <c r="L610" s="10">
        <f ca="1">DATEDIF(HR_Data5[[#This Row],[Joining Date]],TODAY(),"Y")</f>
        <v>7</v>
      </c>
      <c r="M610" s="10" t="str">
        <f>IF(HR_Data5[[#This Row],[Salary]]&lt;55000,"Low",IF(HR_Data5[[#This Row],[Salary]]&lt;=65000,"Medium","High"))</f>
        <v>Low</v>
      </c>
      <c r="N610" s="10">
        <f>YEAR(HR_Data5[[#This Row],[Joining Date]])</f>
        <v>2018</v>
      </c>
      <c r="O610" s="10" cm="1">
        <f t="array" ref="O610">_xlfn.SWITCH(HR_Data5[[#This Row],[Performance Score]],
"A",5,
"B",4,
"C",3,
"D",2,
"F",1)</f>
        <v>3</v>
      </c>
      <c r="P610" s="10"/>
    </row>
    <row r="611" spans="1:16" x14ac:dyDescent="0.3">
      <c r="A611" t="s">
        <v>53</v>
      </c>
      <c r="B611">
        <v>30</v>
      </c>
      <c r="C611" s="6">
        <v>65000</v>
      </c>
      <c r="D611" t="s">
        <v>18</v>
      </c>
      <c r="E611" t="s">
        <v>26</v>
      </c>
      <c r="F611" t="s">
        <v>39</v>
      </c>
      <c r="G611" s="7">
        <v>43845</v>
      </c>
      <c r="H611" t="s">
        <v>31</v>
      </c>
      <c r="I611" t="s">
        <v>32</v>
      </c>
      <c r="J611" t="s">
        <v>69</v>
      </c>
      <c r="K611" t="str">
        <f>IF(HR_Data5[[#This Row],[Age]]&lt;30,"Young",IF(HR_Data5[[#This Row],[Age]]&lt;=45,"Mid-Career","Senior"))</f>
        <v>Mid-Career</v>
      </c>
      <c r="L611" s="10">
        <f ca="1">DATEDIF(HR_Data5[[#This Row],[Joining Date]],TODAY(),"Y")</f>
        <v>6</v>
      </c>
      <c r="M611" s="10" t="str">
        <f>IF(HR_Data5[[#This Row],[Salary]]&lt;55000,"Low",IF(HR_Data5[[#This Row],[Salary]]&lt;=65000,"Medium","High"))</f>
        <v>Medium</v>
      </c>
      <c r="N611" s="10">
        <f>YEAR(HR_Data5[[#This Row],[Joining Date]])</f>
        <v>2020</v>
      </c>
      <c r="O611" s="10" cm="1">
        <f t="array" ref="O611">_xlfn.SWITCH(HR_Data5[[#This Row],[Performance Score]],
"A",5,
"B",4,
"C",3,
"D",2,
"F",1)</f>
        <v>5</v>
      </c>
      <c r="P611" s="10"/>
    </row>
    <row r="612" spans="1:16" x14ac:dyDescent="0.3">
      <c r="A612" t="s">
        <v>54</v>
      </c>
      <c r="B612">
        <v>50</v>
      </c>
      <c r="C612" s="6">
        <v>50000</v>
      </c>
      <c r="D612" t="s">
        <v>36</v>
      </c>
      <c r="E612" t="s">
        <v>26</v>
      </c>
      <c r="F612" t="s">
        <v>39</v>
      </c>
      <c r="G612" s="7">
        <v>43845</v>
      </c>
      <c r="H612" t="s">
        <v>27</v>
      </c>
      <c r="I612" t="s">
        <v>15</v>
      </c>
      <c r="J612" t="s">
        <v>23</v>
      </c>
      <c r="K612" t="str">
        <f>IF(HR_Data5[[#This Row],[Age]]&lt;30,"Young",IF(HR_Data5[[#This Row],[Age]]&lt;=45,"Mid-Career","Senior"))</f>
        <v>Senior</v>
      </c>
      <c r="L612" s="10">
        <f ca="1">DATEDIF(HR_Data5[[#This Row],[Joining Date]],TODAY(),"Y")</f>
        <v>6</v>
      </c>
      <c r="M612" s="10" t="str">
        <f>IF(HR_Data5[[#This Row],[Salary]]&lt;55000,"Low",IF(HR_Data5[[#This Row],[Salary]]&lt;=65000,"Medium","High"))</f>
        <v>Low</v>
      </c>
      <c r="N612" s="10">
        <f>YEAR(HR_Data5[[#This Row],[Joining Date]])</f>
        <v>2020</v>
      </c>
      <c r="O612" s="10" cm="1">
        <f t="array" ref="O612">_xlfn.SWITCH(HR_Data5[[#This Row],[Performance Score]],
"A",5,
"B",4,
"C",3,
"D",2,
"F",1)</f>
        <v>3</v>
      </c>
      <c r="P612" s="10"/>
    </row>
    <row r="613" spans="1:16" x14ac:dyDescent="0.3">
      <c r="A613" t="s">
        <v>53</v>
      </c>
      <c r="B613">
        <v>40</v>
      </c>
      <c r="C613" s="6">
        <v>55000</v>
      </c>
      <c r="D613" t="s">
        <v>36</v>
      </c>
      <c r="E613" t="s">
        <v>26</v>
      </c>
      <c r="F613" t="s">
        <v>13</v>
      </c>
      <c r="G613" s="7">
        <v>43800</v>
      </c>
      <c r="H613" t="s">
        <v>31</v>
      </c>
      <c r="I613" t="s">
        <v>15</v>
      </c>
      <c r="J613" t="s">
        <v>23</v>
      </c>
      <c r="K613" t="str">
        <f>IF(HR_Data5[[#This Row],[Age]]&lt;30,"Young",IF(HR_Data5[[#This Row],[Age]]&lt;=45,"Mid-Career","Senior"))</f>
        <v>Mid-Career</v>
      </c>
      <c r="L613" s="10">
        <f ca="1">DATEDIF(HR_Data5[[#This Row],[Joining Date]],TODAY(),"Y")</f>
        <v>6</v>
      </c>
      <c r="M613" s="10" t="str">
        <f>IF(HR_Data5[[#This Row],[Salary]]&lt;55000,"Low",IF(HR_Data5[[#This Row],[Salary]]&lt;=65000,"Medium","High"))</f>
        <v>Medium</v>
      </c>
      <c r="N613" s="10">
        <f>YEAR(HR_Data5[[#This Row],[Joining Date]])</f>
        <v>2019</v>
      </c>
      <c r="O613" s="10" cm="1">
        <f t="array" ref="O613">_xlfn.SWITCH(HR_Data5[[#This Row],[Performance Score]],
"A",5,
"B",4,
"C",3,
"D",2,
"F",1)</f>
        <v>5</v>
      </c>
      <c r="P613" s="10"/>
    </row>
    <row r="614" spans="1:16" x14ac:dyDescent="0.3">
      <c r="A614" t="s">
        <v>55</v>
      </c>
      <c r="B614">
        <v>36</v>
      </c>
      <c r="C614" s="6">
        <v>70000</v>
      </c>
      <c r="D614" t="s">
        <v>18</v>
      </c>
      <c r="E614" t="s">
        <v>30</v>
      </c>
      <c r="F614" t="s">
        <v>44</v>
      </c>
      <c r="G614" s="7">
        <v>43881</v>
      </c>
      <c r="H614" t="s">
        <v>41</v>
      </c>
      <c r="I614" t="s">
        <v>69</v>
      </c>
      <c r="J614" t="s">
        <v>23</v>
      </c>
      <c r="K614" t="str">
        <f>IF(HR_Data5[[#This Row],[Age]]&lt;30,"Young",IF(HR_Data5[[#This Row],[Age]]&lt;=45,"Mid-Career","Senior"))</f>
        <v>Mid-Career</v>
      </c>
      <c r="L614" s="10">
        <f ca="1">DATEDIF(HR_Data5[[#This Row],[Joining Date]],TODAY(),"Y")</f>
        <v>6</v>
      </c>
      <c r="M614" s="10" t="str">
        <f>IF(HR_Data5[[#This Row],[Salary]]&lt;55000,"Low",IF(HR_Data5[[#This Row],[Salary]]&lt;=65000,"Medium","High"))</f>
        <v>High</v>
      </c>
      <c r="N614" s="10">
        <f>YEAR(HR_Data5[[#This Row],[Joining Date]])</f>
        <v>2020</v>
      </c>
      <c r="O614" s="10" cm="1">
        <f t="array" ref="O614">_xlfn.SWITCH(HR_Data5[[#This Row],[Performance Score]],
"A",5,
"B",4,
"C",3,
"D",2,
"F",1)</f>
        <v>4</v>
      </c>
      <c r="P614" s="10"/>
    </row>
    <row r="615" spans="1:16" x14ac:dyDescent="0.3">
      <c r="A615" t="s">
        <v>52</v>
      </c>
      <c r="B615">
        <v>36</v>
      </c>
      <c r="C615" s="6">
        <v>70000</v>
      </c>
      <c r="D615" t="s">
        <v>18</v>
      </c>
      <c r="E615" t="s">
        <v>12</v>
      </c>
      <c r="F615" t="s">
        <v>44</v>
      </c>
      <c r="G615" s="7">
        <v>43881</v>
      </c>
      <c r="H615" t="s">
        <v>27</v>
      </c>
      <c r="I615" t="s">
        <v>69</v>
      </c>
      <c r="J615" t="s">
        <v>23</v>
      </c>
      <c r="K615" t="str">
        <f>IF(HR_Data5[[#This Row],[Age]]&lt;30,"Young",IF(HR_Data5[[#This Row],[Age]]&lt;=45,"Mid-Career","Senior"))</f>
        <v>Mid-Career</v>
      </c>
      <c r="L615" s="10">
        <f ca="1">DATEDIF(HR_Data5[[#This Row],[Joining Date]],TODAY(),"Y")</f>
        <v>6</v>
      </c>
      <c r="M615" s="10" t="str">
        <f>IF(HR_Data5[[#This Row],[Salary]]&lt;55000,"Low",IF(HR_Data5[[#This Row],[Salary]]&lt;=65000,"Medium","High"))</f>
        <v>High</v>
      </c>
      <c r="N615" s="10">
        <f>YEAR(HR_Data5[[#This Row],[Joining Date]])</f>
        <v>2020</v>
      </c>
      <c r="O615" s="10" cm="1">
        <f t="array" ref="O615">_xlfn.SWITCH(HR_Data5[[#This Row],[Performance Score]],
"A",5,
"B",4,
"C",3,
"D",2,
"F",1)</f>
        <v>3</v>
      </c>
      <c r="P615" s="10"/>
    </row>
    <row r="616" spans="1:16" x14ac:dyDescent="0.3">
      <c r="A616" t="s">
        <v>55</v>
      </c>
      <c r="B616">
        <v>35</v>
      </c>
      <c r="C616" s="6" t="s">
        <v>68</v>
      </c>
      <c r="D616" t="s">
        <v>18</v>
      </c>
      <c r="E616" t="s">
        <v>26</v>
      </c>
      <c r="F616" t="s">
        <v>13</v>
      </c>
      <c r="G616" s="7">
        <v>43549</v>
      </c>
      <c r="H616" t="s">
        <v>31</v>
      </c>
      <c r="I616" t="s">
        <v>22</v>
      </c>
      <c r="J616" t="s">
        <v>28</v>
      </c>
      <c r="K616" t="str">
        <f>IF(HR_Data5[[#This Row],[Age]]&lt;30,"Young",IF(HR_Data5[[#This Row],[Age]]&lt;=45,"Mid-Career","Senior"))</f>
        <v>Mid-Career</v>
      </c>
      <c r="L616" s="10">
        <f ca="1">DATEDIF(HR_Data5[[#This Row],[Joining Date]],TODAY(),"Y")</f>
        <v>6</v>
      </c>
      <c r="M616" s="10" t="str">
        <f>IF(HR_Data5[[#This Row],[Salary]]&lt;55000,"Low",IF(HR_Data5[[#This Row],[Salary]]&lt;=65000,"Medium","High"))</f>
        <v>High</v>
      </c>
      <c r="N616" s="10">
        <f>YEAR(HR_Data5[[#This Row],[Joining Date]])</f>
        <v>2019</v>
      </c>
      <c r="O616" s="10" cm="1">
        <f t="array" ref="O616">_xlfn.SWITCH(HR_Data5[[#This Row],[Performance Score]],
"A",5,
"B",4,
"C",3,
"D",2,
"F",1)</f>
        <v>5</v>
      </c>
      <c r="P616" s="10"/>
    </row>
    <row r="617" spans="1:16" x14ac:dyDescent="0.3">
      <c r="A617" t="s">
        <v>53</v>
      </c>
      <c r="B617">
        <v>35</v>
      </c>
      <c r="C617" s="6">
        <v>70000</v>
      </c>
      <c r="D617" t="s">
        <v>18</v>
      </c>
      <c r="E617" t="s">
        <v>26</v>
      </c>
      <c r="F617" t="s">
        <v>44</v>
      </c>
      <c r="G617" s="7">
        <v>43800</v>
      </c>
      <c r="H617" t="s">
        <v>41</v>
      </c>
      <c r="I617" t="s">
        <v>15</v>
      </c>
      <c r="J617" t="s">
        <v>69</v>
      </c>
      <c r="K617" t="str">
        <f>IF(HR_Data5[[#This Row],[Age]]&lt;30,"Young",IF(HR_Data5[[#This Row],[Age]]&lt;=45,"Mid-Career","Senior"))</f>
        <v>Mid-Career</v>
      </c>
      <c r="L617" s="10">
        <f ca="1">DATEDIF(HR_Data5[[#This Row],[Joining Date]],TODAY(),"Y")</f>
        <v>6</v>
      </c>
      <c r="M617" s="10" t="str">
        <f>IF(HR_Data5[[#This Row],[Salary]]&lt;55000,"Low",IF(HR_Data5[[#This Row],[Salary]]&lt;=65000,"Medium","High"))</f>
        <v>High</v>
      </c>
      <c r="N617" s="10">
        <f>YEAR(HR_Data5[[#This Row],[Joining Date]])</f>
        <v>2019</v>
      </c>
      <c r="O617" s="10" cm="1">
        <f t="array" ref="O617">_xlfn.SWITCH(HR_Data5[[#This Row],[Performance Score]],
"A",5,
"B",4,
"C",3,
"D",2,
"F",1)</f>
        <v>4</v>
      </c>
      <c r="P617" s="10"/>
    </row>
    <row r="618" spans="1:16" x14ac:dyDescent="0.3">
      <c r="A618" t="s">
        <v>55</v>
      </c>
      <c r="B618">
        <v>36</v>
      </c>
      <c r="C618" s="6" t="s">
        <v>68</v>
      </c>
      <c r="D618" t="s">
        <v>11</v>
      </c>
      <c r="E618" t="s">
        <v>30</v>
      </c>
      <c r="F618" t="s">
        <v>43</v>
      </c>
      <c r="G618" s="7">
        <v>43800</v>
      </c>
      <c r="H618" t="s">
        <v>27</v>
      </c>
      <c r="I618" t="s">
        <v>15</v>
      </c>
      <c r="J618" t="s">
        <v>45</v>
      </c>
      <c r="K618" t="str">
        <f>IF(HR_Data5[[#This Row],[Age]]&lt;30,"Young",IF(HR_Data5[[#This Row],[Age]]&lt;=45,"Mid-Career","Senior"))</f>
        <v>Mid-Career</v>
      </c>
      <c r="L618" s="10">
        <f ca="1">DATEDIF(HR_Data5[[#This Row],[Joining Date]],TODAY(),"Y")</f>
        <v>6</v>
      </c>
      <c r="M618" s="10" t="str">
        <f>IF(HR_Data5[[#This Row],[Salary]]&lt;55000,"Low",IF(HR_Data5[[#This Row],[Salary]]&lt;=65000,"Medium","High"))</f>
        <v>High</v>
      </c>
      <c r="N618" s="10">
        <f>YEAR(HR_Data5[[#This Row],[Joining Date]])</f>
        <v>2019</v>
      </c>
      <c r="O618" s="10" cm="1">
        <f t="array" ref="O618">_xlfn.SWITCH(HR_Data5[[#This Row],[Performance Score]],
"A",5,
"B",4,
"C",3,
"D",2,
"F",1)</f>
        <v>3</v>
      </c>
      <c r="P618" s="10"/>
    </row>
    <row r="619" spans="1:16" x14ac:dyDescent="0.3">
      <c r="A619" t="s">
        <v>58</v>
      </c>
      <c r="B619">
        <v>40</v>
      </c>
      <c r="C619" s="6" t="s">
        <v>68</v>
      </c>
      <c r="D619" t="s">
        <v>18</v>
      </c>
      <c r="E619" t="s">
        <v>12</v>
      </c>
      <c r="F619" t="s">
        <v>13</v>
      </c>
      <c r="G619" s="7">
        <v>43881</v>
      </c>
      <c r="H619" t="s">
        <v>14</v>
      </c>
      <c r="I619" t="s">
        <v>69</v>
      </c>
      <c r="J619" t="s">
        <v>69</v>
      </c>
      <c r="K619" t="str">
        <f>IF(HR_Data5[[#This Row],[Age]]&lt;30,"Young",IF(HR_Data5[[#This Row],[Age]]&lt;=45,"Mid-Career","Senior"))</f>
        <v>Mid-Career</v>
      </c>
      <c r="L619" s="10">
        <f ca="1">DATEDIF(HR_Data5[[#This Row],[Joining Date]],TODAY(),"Y")</f>
        <v>6</v>
      </c>
      <c r="M619" s="10" t="str">
        <f>IF(HR_Data5[[#This Row],[Salary]]&lt;55000,"Low",IF(HR_Data5[[#This Row],[Salary]]&lt;=65000,"Medium","High"))</f>
        <v>High</v>
      </c>
      <c r="N619" s="10">
        <f>YEAR(HR_Data5[[#This Row],[Joining Date]])</f>
        <v>2020</v>
      </c>
      <c r="O619" s="10" cm="1">
        <f t="array" ref="O619">_xlfn.SWITCH(HR_Data5[[#This Row],[Performance Score]],
"A",5,
"B",4,
"C",3,
"D",2,
"F",1)</f>
        <v>2</v>
      </c>
      <c r="P619" s="10"/>
    </row>
    <row r="620" spans="1:16" x14ac:dyDescent="0.3">
      <c r="A620" t="s">
        <v>54</v>
      </c>
      <c r="B620">
        <v>36</v>
      </c>
      <c r="C620" s="6" t="s">
        <v>68</v>
      </c>
      <c r="D620" t="s">
        <v>11</v>
      </c>
      <c r="E620" t="s">
        <v>19</v>
      </c>
      <c r="F620" t="s">
        <v>43</v>
      </c>
      <c r="G620" s="7">
        <v>43800</v>
      </c>
      <c r="H620" t="s">
        <v>27</v>
      </c>
      <c r="I620" t="s">
        <v>69</v>
      </c>
      <c r="J620" t="s">
        <v>23</v>
      </c>
      <c r="K620" t="str">
        <f>IF(HR_Data5[[#This Row],[Age]]&lt;30,"Young",IF(HR_Data5[[#This Row],[Age]]&lt;=45,"Mid-Career","Senior"))</f>
        <v>Mid-Career</v>
      </c>
      <c r="L620" s="10">
        <f ca="1">DATEDIF(HR_Data5[[#This Row],[Joining Date]],TODAY(),"Y")</f>
        <v>6</v>
      </c>
      <c r="M620" s="10" t="str">
        <f>IF(HR_Data5[[#This Row],[Salary]]&lt;55000,"Low",IF(HR_Data5[[#This Row],[Salary]]&lt;=65000,"Medium","High"))</f>
        <v>High</v>
      </c>
      <c r="N620" s="10">
        <f>YEAR(HR_Data5[[#This Row],[Joining Date]])</f>
        <v>2019</v>
      </c>
      <c r="O620" s="10" cm="1">
        <f t="array" ref="O620">_xlfn.SWITCH(HR_Data5[[#This Row],[Performance Score]],
"A",5,
"B",4,
"C",3,
"D",2,
"F",1)</f>
        <v>3</v>
      </c>
      <c r="P620" s="10"/>
    </row>
    <row r="621" spans="1:16" x14ac:dyDescent="0.3">
      <c r="A621" t="s">
        <v>60</v>
      </c>
      <c r="B621">
        <v>40</v>
      </c>
      <c r="C621" s="6">
        <v>65000</v>
      </c>
      <c r="D621" t="s">
        <v>36</v>
      </c>
      <c r="E621" t="s">
        <v>30</v>
      </c>
      <c r="F621" t="s">
        <v>44</v>
      </c>
      <c r="G621" s="7">
        <v>43881</v>
      </c>
      <c r="H621" t="s">
        <v>21</v>
      </c>
      <c r="I621" t="s">
        <v>69</v>
      </c>
      <c r="J621" t="s">
        <v>69</v>
      </c>
      <c r="K621" t="str">
        <f>IF(HR_Data5[[#This Row],[Age]]&lt;30,"Young",IF(HR_Data5[[#This Row],[Age]]&lt;=45,"Mid-Career","Senior"))</f>
        <v>Mid-Career</v>
      </c>
      <c r="L621" s="10">
        <f ca="1">DATEDIF(HR_Data5[[#This Row],[Joining Date]],TODAY(),"Y")</f>
        <v>6</v>
      </c>
      <c r="M621" s="10" t="str">
        <f>IF(HR_Data5[[#This Row],[Salary]]&lt;55000,"Low",IF(HR_Data5[[#This Row],[Salary]]&lt;=65000,"Medium","High"))</f>
        <v>Medium</v>
      </c>
      <c r="N621" s="10">
        <f>YEAR(HR_Data5[[#This Row],[Joining Date]])</f>
        <v>2020</v>
      </c>
      <c r="O621" s="10" cm="1">
        <f t="array" ref="O621">_xlfn.SWITCH(HR_Data5[[#This Row],[Performance Score]],
"A",5,
"B",4,
"C",3,
"D",2,
"F",1)</f>
        <v>1</v>
      </c>
      <c r="P621" s="10"/>
    </row>
    <row r="622" spans="1:16" x14ac:dyDescent="0.3">
      <c r="A622" t="s">
        <v>52</v>
      </c>
      <c r="B622">
        <v>35</v>
      </c>
      <c r="C622" s="6">
        <v>60000</v>
      </c>
      <c r="D622" t="s">
        <v>18</v>
      </c>
      <c r="E622" t="s">
        <v>12</v>
      </c>
      <c r="F622" t="s">
        <v>13</v>
      </c>
      <c r="G622" s="7">
        <v>43800</v>
      </c>
      <c r="H622" t="s">
        <v>27</v>
      </c>
      <c r="I622" t="s">
        <v>69</v>
      </c>
      <c r="J622" t="s">
        <v>23</v>
      </c>
      <c r="K622" t="str">
        <f>IF(HR_Data5[[#This Row],[Age]]&lt;30,"Young",IF(HR_Data5[[#This Row],[Age]]&lt;=45,"Mid-Career","Senior"))</f>
        <v>Mid-Career</v>
      </c>
      <c r="L622" s="10">
        <f ca="1">DATEDIF(HR_Data5[[#This Row],[Joining Date]],TODAY(),"Y")</f>
        <v>6</v>
      </c>
      <c r="M622" s="10" t="str">
        <f>IF(HR_Data5[[#This Row],[Salary]]&lt;55000,"Low",IF(HR_Data5[[#This Row],[Salary]]&lt;=65000,"Medium","High"))</f>
        <v>Medium</v>
      </c>
      <c r="N622" s="10">
        <f>YEAR(HR_Data5[[#This Row],[Joining Date]])</f>
        <v>2019</v>
      </c>
      <c r="O622" s="10" cm="1">
        <f t="array" ref="O622">_xlfn.SWITCH(HR_Data5[[#This Row],[Performance Score]],
"A",5,
"B",4,
"C",3,
"D",2,
"F",1)</f>
        <v>3</v>
      </c>
      <c r="P622" s="10"/>
    </row>
    <row r="623" spans="1:16" x14ac:dyDescent="0.3">
      <c r="A623" t="s">
        <v>57</v>
      </c>
      <c r="B623">
        <v>25</v>
      </c>
      <c r="C623" s="6" t="s">
        <v>68</v>
      </c>
      <c r="D623" t="s">
        <v>11</v>
      </c>
      <c r="E623" t="s">
        <v>26</v>
      </c>
      <c r="F623" t="s">
        <v>44</v>
      </c>
      <c r="G623" s="7">
        <v>43845</v>
      </c>
      <c r="H623" t="s">
        <v>21</v>
      </c>
      <c r="I623" t="s">
        <v>15</v>
      </c>
      <c r="J623" t="s">
        <v>23</v>
      </c>
      <c r="K623" t="str">
        <f>IF(HR_Data5[[#This Row],[Age]]&lt;30,"Young",IF(HR_Data5[[#This Row],[Age]]&lt;=45,"Mid-Career","Senior"))</f>
        <v>Young</v>
      </c>
      <c r="L623" s="10">
        <f ca="1">DATEDIF(HR_Data5[[#This Row],[Joining Date]],TODAY(),"Y")</f>
        <v>6</v>
      </c>
      <c r="M623" s="10" t="str">
        <f>IF(HR_Data5[[#This Row],[Salary]]&lt;55000,"Low",IF(HR_Data5[[#This Row],[Salary]]&lt;=65000,"Medium","High"))</f>
        <v>High</v>
      </c>
      <c r="N623" s="10">
        <f>YEAR(HR_Data5[[#This Row],[Joining Date]])</f>
        <v>2020</v>
      </c>
      <c r="O623" s="10" cm="1">
        <f t="array" ref="O623">_xlfn.SWITCH(HR_Data5[[#This Row],[Performance Score]],
"A",5,
"B",4,
"C",3,
"D",2,
"F",1)</f>
        <v>1</v>
      </c>
      <c r="P623" s="10"/>
    </row>
    <row r="624" spans="1:16" x14ac:dyDescent="0.3">
      <c r="A624" t="s">
        <v>59</v>
      </c>
      <c r="B624">
        <v>50</v>
      </c>
      <c r="C624" s="6" t="s">
        <v>68</v>
      </c>
      <c r="D624" t="s">
        <v>18</v>
      </c>
      <c r="E624" t="s">
        <v>12</v>
      </c>
      <c r="F624" t="s">
        <v>13</v>
      </c>
      <c r="G624" s="7">
        <v>43881</v>
      </c>
      <c r="H624" t="s">
        <v>41</v>
      </c>
      <c r="I624" t="s">
        <v>22</v>
      </c>
      <c r="J624" t="s">
        <v>23</v>
      </c>
      <c r="K624" t="str">
        <f>IF(HR_Data5[[#This Row],[Age]]&lt;30,"Young",IF(HR_Data5[[#This Row],[Age]]&lt;=45,"Mid-Career","Senior"))</f>
        <v>Senior</v>
      </c>
      <c r="L624" s="10">
        <f ca="1">DATEDIF(HR_Data5[[#This Row],[Joining Date]],TODAY(),"Y")</f>
        <v>6</v>
      </c>
      <c r="M624" s="10" t="str">
        <f>IF(HR_Data5[[#This Row],[Salary]]&lt;55000,"Low",IF(HR_Data5[[#This Row],[Salary]]&lt;=65000,"Medium","High"))</f>
        <v>High</v>
      </c>
      <c r="N624" s="10">
        <f>YEAR(HR_Data5[[#This Row],[Joining Date]])</f>
        <v>2020</v>
      </c>
      <c r="O624" s="10" cm="1">
        <f t="array" ref="O624">_xlfn.SWITCH(HR_Data5[[#This Row],[Performance Score]],
"A",5,
"B",4,
"C",3,
"D",2,
"F",1)</f>
        <v>4</v>
      </c>
      <c r="P624" s="10"/>
    </row>
    <row r="625" spans="1:16" x14ac:dyDescent="0.3">
      <c r="A625" t="s">
        <v>60</v>
      </c>
      <c r="B625">
        <v>35</v>
      </c>
      <c r="C625" s="6">
        <v>60000</v>
      </c>
      <c r="D625" t="s">
        <v>36</v>
      </c>
      <c r="E625" t="s">
        <v>12</v>
      </c>
      <c r="F625" t="s">
        <v>44</v>
      </c>
      <c r="G625" s="7">
        <v>43881</v>
      </c>
      <c r="H625" t="s">
        <v>27</v>
      </c>
      <c r="I625" t="s">
        <v>15</v>
      </c>
      <c r="J625" t="s">
        <v>23</v>
      </c>
      <c r="K625" t="str">
        <f>IF(HR_Data5[[#This Row],[Age]]&lt;30,"Young",IF(HR_Data5[[#This Row],[Age]]&lt;=45,"Mid-Career","Senior"))</f>
        <v>Mid-Career</v>
      </c>
      <c r="L625" s="10">
        <f ca="1">DATEDIF(HR_Data5[[#This Row],[Joining Date]],TODAY(),"Y")</f>
        <v>6</v>
      </c>
      <c r="M625" s="10" t="str">
        <f>IF(HR_Data5[[#This Row],[Salary]]&lt;55000,"Low",IF(HR_Data5[[#This Row],[Salary]]&lt;=65000,"Medium","High"))</f>
        <v>Medium</v>
      </c>
      <c r="N625" s="10">
        <f>YEAR(HR_Data5[[#This Row],[Joining Date]])</f>
        <v>2020</v>
      </c>
      <c r="O625" s="10" cm="1">
        <f t="array" ref="O625">_xlfn.SWITCH(HR_Data5[[#This Row],[Performance Score]],
"A",5,
"B",4,
"C",3,
"D",2,
"F",1)</f>
        <v>3</v>
      </c>
      <c r="P625" s="10"/>
    </row>
    <row r="626" spans="1:16" x14ac:dyDescent="0.3">
      <c r="A626" t="s">
        <v>59</v>
      </c>
      <c r="B626">
        <v>35</v>
      </c>
      <c r="C626" s="6">
        <v>50000</v>
      </c>
      <c r="D626" t="s">
        <v>36</v>
      </c>
      <c r="E626" t="s">
        <v>12</v>
      </c>
      <c r="F626" t="s">
        <v>43</v>
      </c>
      <c r="G626" s="7">
        <v>43195</v>
      </c>
      <c r="H626" t="s">
        <v>41</v>
      </c>
      <c r="I626" t="s">
        <v>69</v>
      </c>
      <c r="J626" t="s">
        <v>23</v>
      </c>
      <c r="K626" t="str">
        <f>IF(HR_Data5[[#This Row],[Age]]&lt;30,"Young",IF(HR_Data5[[#This Row],[Age]]&lt;=45,"Mid-Career","Senior"))</f>
        <v>Mid-Career</v>
      </c>
      <c r="L626" s="10">
        <f ca="1">DATEDIF(HR_Data5[[#This Row],[Joining Date]],TODAY(),"Y")</f>
        <v>7</v>
      </c>
      <c r="M626" s="10" t="str">
        <f>IF(HR_Data5[[#This Row],[Salary]]&lt;55000,"Low",IF(HR_Data5[[#This Row],[Salary]]&lt;=65000,"Medium","High"))</f>
        <v>Low</v>
      </c>
      <c r="N626" s="10">
        <f>YEAR(HR_Data5[[#This Row],[Joining Date]])</f>
        <v>2018</v>
      </c>
      <c r="O626" s="10" cm="1">
        <f t="array" ref="O626">_xlfn.SWITCH(HR_Data5[[#This Row],[Performance Score]],
"A",5,
"B",4,
"C",3,
"D",2,
"F",1)</f>
        <v>4</v>
      </c>
      <c r="P626" s="10"/>
    </row>
    <row r="627" spans="1:16" x14ac:dyDescent="0.3">
      <c r="A627" t="s">
        <v>54</v>
      </c>
      <c r="B627">
        <v>30</v>
      </c>
      <c r="C627" s="6" t="s">
        <v>68</v>
      </c>
      <c r="D627" t="s">
        <v>36</v>
      </c>
      <c r="E627" t="s">
        <v>19</v>
      </c>
      <c r="F627" t="s">
        <v>43</v>
      </c>
      <c r="G627" s="7">
        <v>43800</v>
      </c>
      <c r="H627" t="s">
        <v>41</v>
      </c>
      <c r="I627" t="s">
        <v>15</v>
      </c>
      <c r="J627" t="s">
        <v>69</v>
      </c>
      <c r="K627" t="str">
        <f>IF(HR_Data5[[#This Row],[Age]]&lt;30,"Young",IF(HR_Data5[[#This Row],[Age]]&lt;=45,"Mid-Career","Senior"))</f>
        <v>Mid-Career</v>
      </c>
      <c r="L627" s="10">
        <f ca="1">DATEDIF(HR_Data5[[#This Row],[Joining Date]],TODAY(),"Y")</f>
        <v>6</v>
      </c>
      <c r="M627" s="10" t="str">
        <f>IF(HR_Data5[[#This Row],[Salary]]&lt;55000,"Low",IF(HR_Data5[[#This Row],[Salary]]&lt;=65000,"Medium","High"))</f>
        <v>High</v>
      </c>
      <c r="N627" s="10">
        <f>YEAR(HR_Data5[[#This Row],[Joining Date]])</f>
        <v>2019</v>
      </c>
      <c r="O627" s="10" cm="1">
        <f t="array" ref="O627">_xlfn.SWITCH(HR_Data5[[#This Row],[Performance Score]],
"A",5,
"B",4,
"C",3,
"D",2,
"F",1)</f>
        <v>4</v>
      </c>
      <c r="P627" s="10"/>
    </row>
    <row r="628" spans="1:16" x14ac:dyDescent="0.3">
      <c r="A628" t="s">
        <v>52</v>
      </c>
      <c r="B628">
        <v>30</v>
      </c>
      <c r="C628" s="6">
        <v>65000</v>
      </c>
      <c r="D628" t="s">
        <v>18</v>
      </c>
      <c r="E628" t="s">
        <v>12</v>
      </c>
      <c r="F628" t="s">
        <v>44</v>
      </c>
      <c r="G628" s="7">
        <v>43800</v>
      </c>
      <c r="H628" t="s">
        <v>31</v>
      </c>
      <c r="I628" t="s">
        <v>22</v>
      </c>
      <c r="J628" t="s">
        <v>69</v>
      </c>
      <c r="K628" t="str">
        <f>IF(HR_Data5[[#This Row],[Age]]&lt;30,"Young",IF(HR_Data5[[#This Row],[Age]]&lt;=45,"Mid-Career","Senior"))</f>
        <v>Mid-Career</v>
      </c>
      <c r="L628" s="10">
        <f ca="1">DATEDIF(HR_Data5[[#This Row],[Joining Date]],TODAY(),"Y")</f>
        <v>6</v>
      </c>
      <c r="M628" s="10" t="str">
        <f>IF(HR_Data5[[#This Row],[Salary]]&lt;55000,"Low",IF(HR_Data5[[#This Row],[Salary]]&lt;=65000,"Medium","High"))</f>
        <v>Medium</v>
      </c>
      <c r="N628" s="10">
        <f>YEAR(HR_Data5[[#This Row],[Joining Date]])</f>
        <v>2019</v>
      </c>
      <c r="O628" s="10" cm="1">
        <f t="array" ref="O628">_xlfn.SWITCH(HR_Data5[[#This Row],[Performance Score]],
"A",5,
"B",4,
"C",3,
"D",2,
"F",1)</f>
        <v>5</v>
      </c>
      <c r="P628" s="10"/>
    </row>
    <row r="629" spans="1:16" x14ac:dyDescent="0.3">
      <c r="A629" t="s">
        <v>56</v>
      </c>
      <c r="B629">
        <v>30</v>
      </c>
      <c r="C629" s="6">
        <v>70000</v>
      </c>
      <c r="D629" t="s">
        <v>18</v>
      </c>
      <c r="E629" t="s">
        <v>19</v>
      </c>
      <c r="F629" t="s">
        <v>13</v>
      </c>
      <c r="G629" s="7">
        <v>43881</v>
      </c>
      <c r="H629" t="s">
        <v>41</v>
      </c>
      <c r="I629" t="s">
        <v>32</v>
      </c>
      <c r="J629" t="s">
        <v>23</v>
      </c>
      <c r="K629" t="str">
        <f>IF(HR_Data5[[#This Row],[Age]]&lt;30,"Young",IF(HR_Data5[[#This Row],[Age]]&lt;=45,"Mid-Career","Senior"))</f>
        <v>Mid-Career</v>
      </c>
      <c r="L629" s="10">
        <f ca="1">DATEDIF(HR_Data5[[#This Row],[Joining Date]],TODAY(),"Y")</f>
        <v>6</v>
      </c>
      <c r="M629" s="10" t="str">
        <f>IF(HR_Data5[[#This Row],[Salary]]&lt;55000,"Low",IF(HR_Data5[[#This Row],[Salary]]&lt;=65000,"Medium","High"))</f>
        <v>High</v>
      </c>
      <c r="N629" s="10">
        <f>YEAR(HR_Data5[[#This Row],[Joining Date]])</f>
        <v>2020</v>
      </c>
      <c r="O629" s="10" cm="1">
        <f t="array" ref="O629">_xlfn.SWITCH(HR_Data5[[#This Row],[Performance Score]],
"A",5,
"B",4,
"C",3,
"D",2,
"F",1)</f>
        <v>4</v>
      </c>
      <c r="P629" s="10"/>
    </row>
    <row r="630" spans="1:16" x14ac:dyDescent="0.3">
      <c r="A630" t="s">
        <v>57</v>
      </c>
      <c r="B630">
        <v>50</v>
      </c>
      <c r="C630" s="6">
        <v>70000</v>
      </c>
      <c r="D630" t="s">
        <v>11</v>
      </c>
      <c r="E630" t="s">
        <v>26</v>
      </c>
      <c r="F630" t="s">
        <v>39</v>
      </c>
      <c r="G630" s="7">
        <v>43845</v>
      </c>
      <c r="H630" t="s">
        <v>41</v>
      </c>
      <c r="I630" t="s">
        <v>15</v>
      </c>
      <c r="J630" t="s">
        <v>23</v>
      </c>
      <c r="K630" t="str">
        <f>IF(HR_Data5[[#This Row],[Age]]&lt;30,"Young",IF(HR_Data5[[#This Row],[Age]]&lt;=45,"Mid-Career","Senior"))</f>
        <v>Senior</v>
      </c>
      <c r="L630" s="10">
        <f ca="1">DATEDIF(HR_Data5[[#This Row],[Joining Date]],TODAY(),"Y")</f>
        <v>6</v>
      </c>
      <c r="M630" s="10" t="str">
        <f>IF(HR_Data5[[#This Row],[Salary]]&lt;55000,"Low",IF(HR_Data5[[#This Row],[Salary]]&lt;=65000,"Medium","High"))</f>
        <v>High</v>
      </c>
      <c r="N630" s="10">
        <f>YEAR(HR_Data5[[#This Row],[Joining Date]])</f>
        <v>2020</v>
      </c>
      <c r="O630" s="10" cm="1">
        <f t="array" ref="O630">_xlfn.SWITCH(HR_Data5[[#This Row],[Performance Score]],
"A",5,
"B",4,
"C",3,
"D",2,
"F",1)</f>
        <v>4</v>
      </c>
      <c r="P630" s="10"/>
    </row>
    <row r="631" spans="1:16" x14ac:dyDescent="0.3">
      <c r="A631" t="s">
        <v>58</v>
      </c>
      <c r="B631">
        <v>30</v>
      </c>
      <c r="C631" s="6">
        <v>55000</v>
      </c>
      <c r="D631" t="s">
        <v>36</v>
      </c>
      <c r="E631" t="s">
        <v>19</v>
      </c>
      <c r="F631" t="s">
        <v>43</v>
      </c>
      <c r="G631" s="7">
        <v>43845</v>
      </c>
      <c r="H631" t="s">
        <v>27</v>
      </c>
      <c r="I631" t="s">
        <v>69</v>
      </c>
      <c r="J631" t="s">
        <v>23</v>
      </c>
      <c r="K631" t="str">
        <f>IF(HR_Data5[[#This Row],[Age]]&lt;30,"Young",IF(HR_Data5[[#This Row],[Age]]&lt;=45,"Mid-Career","Senior"))</f>
        <v>Mid-Career</v>
      </c>
      <c r="L631" s="10">
        <f ca="1">DATEDIF(HR_Data5[[#This Row],[Joining Date]],TODAY(),"Y")</f>
        <v>6</v>
      </c>
      <c r="M631" s="10" t="str">
        <f>IF(HR_Data5[[#This Row],[Salary]]&lt;55000,"Low",IF(HR_Data5[[#This Row],[Salary]]&lt;=65000,"Medium","High"))</f>
        <v>Medium</v>
      </c>
      <c r="N631" s="10">
        <f>YEAR(HR_Data5[[#This Row],[Joining Date]])</f>
        <v>2020</v>
      </c>
      <c r="O631" s="10" cm="1">
        <f t="array" ref="O631">_xlfn.SWITCH(HR_Data5[[#This Row],[Performance Score]],
"A",5,
"B",4,
"C",3,
"D",2,
"F",1)</f>
        <v>3</v>
      </c>
      <c r="P631" s="10"/>
    </row>
    <row r="632" spans="1:16" x14ac:dyDescent="0.3">
      <c r="A632" t="s">
        <v>56</v>
      </c>
      <c r="B632">
        <v>40</v>
      </c>
      <c r="C632" s="6">
        <v>55000</v>
      </c>
      <c r="D632" t="s">
        <v>18</v>
      </c>
      <c r="E632" t="s">
        <v>26</v>
      </c>
      <c r="F632" t="s">
        <v>43</v>
      </c>
      <c r="G632" s="7">
        <v>43845</v>
      </c>
      <c r="H632" t="s">
        <v>27</v>
      </c>
      <c r="I632" t="s">
        <v>32</v>
      </c>
      <c r="J632" t="s">
        <v>23</v>
      </c>
      <c r="K632" t="str">
        <f>IF(HR_Data5[[#This Row],[Age]]&lt;30,"Young",IF(HR_Data5[[#This Row],[Age]]&lt;=45,"Mid-Career","Senior"))</f>
        <v>Mid-Career</v>
      </c>
      <c r="L632" s="10">
        <f ca="1">DATEDIF(HR_Data5[[#This Row],[Joining Date]],TODAY(),"Y")</f>
        <v>6</v>
      </c>
      <c r="M632" s="10" t="str">
        <f>IF(HR_Data5[[#This Row],[Salary]]&lt;55000,"Low",IF(HR_Data5[[#This Row],[Salary]]&lt;=65000,"Medium","High"))</f>
        <v>Medium</v>
      </c>
      <c r="N632" s="10">
        <f>YEAR(HR_Data5[[#This Row],[Joining Date]])</f>
        <v>2020</v>
      </c>
      <c r="O632" s="10" cm="1">
        <f t="array" ref="O632">_xlfn.SWITCH(HR_Data5[[#This Row],[Performance Score]],
"A",5,
"B",4,
"C",3,
"D",2,
"F",1)</f>
        <v>3</v>
      </c>
      <c r="P632" s="10"/>
    </row>
    <row r="633" spans="1:16" x14ac:dyDescent="0.3">
      <c r="A633" t="s">
        <v>54</v>
      </c>
      <c r="B633">
        <v>36</v>
      </c>
      <c r="C633" s="6">
        <v>70000</v>
      </c>
      <c r="D633" t="s">
        <v>36</v>
      </c>
      <c r="E633" t="s">
        <v>26</v>
      </c>
      <c r="F633" t="s">
        <v>39</v>
      </c>
      <c r="G633" s="7">
        <v>43800</v>
      </c>
      <c r="H633" t="s">
        <v>14</v>
      </c>
      <c r="I633" t="s">
        <v>69</v>
      </c>
      <c r="J633" t="s">
        <v>28</v>
      </c>
      <c r="K633" t="str">
        <f>IF(HR_Data5[[#This Row],[Age]]&lt;30,"Young",IF(HR_Data5[[#This Row],[Age]]&lt;=45,"Mid-Career","Senior"))</f>
        <v>Mid-Career</v>
      </c>
      <c r="L633" s="10">
        <f ca="1">DATEDIF(HR_Data5[[#This Row],[Joining Date]],TODAY(),"Y")</f>
        <v>6</v>
      </c>
      <c r="M633" s="10" t="str">
        <f>IF(HR_Data5[[#This Row],[Salary]]&lt;55000,"Low",IF(HR_Data5[[#This Row],[Salary]]&lt;=65000,"Medium","High"))</f>
        <v>High</v>
      </c>
      <c r="N633" s="10">
        <f>YEAR(HR_Data5[[#This Row],[Joining Date]])</f>
        <v>2019</v>
      </c>
      <c r="O633" s="10" cm="1">
        <f t="array" ref="O633">_xlfn.SWITCH(HR_Data5[[#This Row],[Performance Score]],
"A",5,
"B",4,
"C",3,
"D",2,
"F",1)</f>
        <v>2</v>
      </c>
      <c r="P633" s="10"/>
    </row>
    <row r="634" spans="1:16" x14ac:dyDescent="0.3">
      <c r="A634" t="s">
        <v>60</v>
      </c>
      <c r="B634">
        <v>25</v>
      </c>
      <c r="C634" s="6">
        <v>70000</v>
      </c>
      <c r="D634" t="s">
        <v>36</v>
      </c>
      <c r="E634" t="s">
        <v>19</v>
      </c>
      <c r="F634" t="s">
        <v>44</v>
      </c>
      <c r="G634" s="7">
        <v>43195</v>
      </c>
      <c r="H634" t="s">
        <v>31</v>
      </c>
      <c r="I634" t="s">
        <v>69</v>
      </c>
      <c r="J634" t="s">
        <v>28</v>
      </c>
      <c r="K634" t="str">
        <f>IF(HR_Data5[[#This Row],[Age]]&lt;30,"Young",IF(HR_Data5[[#This Row],[Age]]&lt;=45,"Mid-Career","Senior"))</f>
        <v>Young</v>
      </c>
      <c r="L634" s="10">
        <f ca="1">DATEDIF(HR_Data5[[#This Row],[Joining Date]],TODAY(),"Y")</f>
        <v>7</v>
      </c>
      <c r="M634" s="10" t="str">
        <f>IF(HR_Data5[[#This Row],[Salary]]&lt;55000,"Low",IF(HR_Data5[[#This Row],[Salary]]&lt;=65000,"Medium","High"))</f>
        <v>High</v>
      </c>
      <c r="N634" s="10">
        <f>YEAR(HR_Data5[[#This Row],[Joining Date]])</f>
        <v>2018</v>
      </c>
      <c r="O634" s="10" cm="1">
        <f t="array" ref="O634">_xlfn.SWITCH(HR_Data5[[#This Row],[Performance Score]],
"A",5,
"B",4,
"C",3,
"D",2,
"F",1)</f>
        <v>5</v>
      </c>
      <c r="P634" s="10"/>
    </row>
    <row r="635" spans="1:16" x14ac:dyDescent="0.3">
      <c r="A635" t="s">
        <v>58</v>
      </c>
      <c r="B635">
        <v>35</v>
      </c>
      <c r="C635" s="6">
        <v>65000</v>
      </c>
      <c r="D635" t="s">
        <v>11</v>
      </c>
      <c r="E635" t="s">
        <v>30</v>
      </c>
      <c r="F635" t="s">
        <v>13</v>
      </c>
      <c r="G635" s="7">
        <v>43881</v>
      </c>
      <c r="H635" t="s">
        <v>41</v>
      </c>
      <c r="I635" t="s">
        <v>69</v>
      </c>
      <c r="J635" t="s">
        <v>45</v>
      </c>
      <c r="K635" t="str">
        <f>IF(HR_Data5[[#This Row],[Age]]&lt;30,"Young",IF(HR_Data5[[#This Row],[Age]]&lt;=45,"Mid-Career","Senior"))</f>
        <v>Mid-Career</v>
      </c>
      <c r="L635" s="10">
        <f ca="1">DATEDIF(HR_Data5[[#This Row],[Joining Date]],TODAY(),"Y")</f>
        <v>6</v>
      </c>
      <c r="M635" s="10" t="str">
        <f>IF(HR_Data5[[#This Row],[Salary]]&lt;55000,"Low",IF(HR_Data5[[#This Row],[Salary]]&lt;=65000,"Medium","High"))</f>
        <v>Medium</v>
      </c>
      <c r="N635" s="10">
        <f>YEAR(HR_Data5[[#This Row],[Joining Date]])</f>
        <v>2020</v>
      </c>
      <c r="O635" s="10" cm="1">
        <f t="array" ref="O635">_xlfn.SWITCH(HR_Data5[[#This Row],[Performance Score]],
"A",5,
"B",4,
"C",3,
"D",2,
"F",1)</f>
        <v>4</v>
      </c>
      <c r="P635" s="10"/>
    </row>
    <row r="636" spans="1:16" x14ac:dyDescent="0.3">
      <c r="A636" t="s">
        <v>55</v>
      </c>
      <c r="B636">
        <v>40</v>
      </c>
      <c r="C636" s="6">
        <v>60000</v>
      </c>
      <c r="D636" t="s">
        <v>11</v>
      </c>
      <c r="E636" t="s">
        <v>37</v>
      </c>
      <c r="F636" t="s">
        <v>44</v>
      </c>
      <c r="G636" s="7">
        <v>43549</v>
      </c>
      <c r="H636" t="s">
        <v>31</v>
      </c>
      <c r="I636" t="s">
        <v>15</v>
      </c>
      <c r="J636" t="s">
        <v>23</v>
      </c>
      <c r="K636" t="str">
        <f>IF(HR_Data5[[#This Row],[Age]]&lt;30,"Young",IF(HR_Data5[[#This Row],[Age]]&lt;=45,"Mid-Career","Senior"))</f>
        <v>Mid-Career</v>
      </c>
      <c r="L636" s="10">
        <f ca="1">DATEDIF(HR_Data5[[#This Row],[Joining Date]],TODAY(),"Y")</f>
        <v>6</v>
      </c>
      <c r="M636" s="10" t="str">
        <f>IF(HR_Data5[[#This Row],[Salary]]&lt;55000,"Low",IF(HR_Data5[[#This Row],[Salary]]&lt;=65000,"Medium","High"))</f>
        <v>Medium</v>
      </c>
      <c r="N636" s="10">
        <f>YEAR(HR_Data5[[#This Row],[Joining Date]])</f>
        <v>2019</v>
      </c>
      <c r="O636" s="10" cm="1">
        <f t="array" ref="O636">_xlfn.SWITCH(HR_Data5[[#This Row],[Performance Score]],
"A",5,
"B",4,
"C",3,
"D",2,
"F",1)</f>
        <v>5</v>
      </c>
      <c r="P636" s="10"/>
    </row>
    <row r="637" spans="1:16" x14ac:dyDescent="0.3">
      <c r="A637" t="s">
        <v>53</v>
      </c>
      <c r="B637">
        <v>25</v>
      </c>
      <c r="C637" s="6">
        <v>55000</v>
      </c>
      <c r="D637" t="s">
        <v>11</v>
      </c>
      <c r="E637" t="s">
        <v>12</v>
      </c>
      <c r="F637" t="s">
        <v>20</v>
      </c>
      <c r="G637" s="7">
        <v>43195</v>
      </c>
      <c r="H637" t="s">
        <v>21</v>
      </c>
      <c r="I637" t="s">
        <v>69</v>
      </c>
      <c r="J637" t="s">
        <v>45</v>
      </c>
      <c r="K637" t="str">
        <f>IF(HR_Data5[[#This Row],[Age]]&lt;30,"Young",IF(HR_Data5[[#This Row],[Age]]&lt;=45,"Mid-Career","Senior"))</f>
        <v>Young</v>
      </c>
      <c r="L637" s="10">
        <f ca="1">DATEDIF(HR_Data5[[#This Row],[Joining Date]],TODAY(),"Y")</f>
        <v>7</v>
      </c>
      <c r="M637" s="10" t="str">
        <f>IF(HR_Data5[[#This Row],[Salary]]&lt;55000,"Low",IF(HR_Data5[[#This Row],[Salary]]&lt;=65000,"Medium","High"))</f>
        <v>Medium</v>
      </c>
      <c r="N637" s="10">
        <f>YEAR(HR_Data5[[#This Row],[Joining Date]])</f>
        <v>2018</v>
      </c>
      <c r="O637" s="10" cm="1">
        <f t="array" ref="O637">_xlfn.SWITCH(HR_Data5[[#This Row],[Performance Score]],
"A",5,
"B",4,
"C",3,
"D",2,
"F",1)</f>
        <v>1</v>
      </c>
      <c r="P637" s="10"/>
    </row>
    <row r="638" spans="1:16" x14ac:dyDescent="0.3">
      <c r="A638" t="s">
        <v>58</v>
      </c>
      <c r="B638">
        <v>40</v>
      </c>
      <c r="C638" s="6">
        <v>60000</v>
      </c>
      <c r="D638" t="s">
        <v>11</v>
      </c>
      <c r="E638" t="s">
        <v>37</v>
      </c>
      <c r="F638" t="s">
        <v>43</v>
      </c>
      <c r="G638" s="7">
        <v>43549</v>
      </c>
      <c r="H638" t="s">
        <v>41</v>
      </c>
      <c r="I638" t="s">
        <v>32</v>
      </c>
      <c r="J638" t="s">
        <v>69</v>
      </c>
      <c r="K638" t="str">
        <f>IF(HR_Data5[[#This Row],[Age]]&lt;30,"Young",IF(HR_Data5[[#This Row],[Age]]&lt;=45,"Mid-Career","Senior"))</f>
        <v>Mid-Career</v>
      </c>
      <c r="L638" s="10">
        <f ca="1">DATEDIF(HR_Data5[[#This Row],[Joining Date]],TODAY(),"Y")</f>
        <v>6</v>
      </c>
      <c r="M638" s="10" t="str">
        <f>IF(HR_Data5[[#This Row],[Salary]]&lt;55000,"Low",IF(HR_Data5[[#This Row],[Salary]]&lt;=65000,"Medium","High"))</f>
        <v>Medium</v>
      </c>
      <c r="N638" s="10">
        <f>YEAR(HR_Data5[[#This Row],[Joining Date]])</f>
        <v>2019</v>
      </c>
      <c r="O638" s="10" cm="1">
        <f t="array" ref="O638">_xlfn.SWITCH(HR_Data5[[#This Row],[Performance Score]],
"A",5,
"B",4,
"C",3,
"D",2,
"F",1)</f>
        <v>4</v>
      </c>
      <c r="P638" s="10"/>
    </row>
    <row r="639" spans="1:16" x14ac:dyDescent="0.3">
      <c r="A639" t="s">
        <v>54</v>
      </c>
      <c r="B639">
        <v>40</v>
      </c>
      <c r="C639" s="6">
        <v>65000</v>
      </c>
      <c r="D639" t="s">
        <v>36</v>
      </c>
      <c r="E639" t="s">
        <v>12</v>
      </c>
      <c r="F639" t="s">
        <v>20</v>
      </c>
      <c r="G639" s="7">
        <v>43195</v>
      </c>
      <c r="H639" t="s">
        <v>31</v>
      </c>
      <c r="I639" t="s">
        <v>22</v>
      </c>
      <c r="J639" t="s">
        <v>45</v>
      </c>
      <c r="K639" t="str">
        <f>IF(HR_Data5[[#This Row],[Age]]&lt;30,"Young",IF(HR_Data5[[#This Row],[Age]]&lt;=45,"Mid-Career","Senior"))</f>
        <v>Mid-Career</v>
      </c>
      <c r="L639" s="10">
        <f ca="1">DATEDIF(HR_Data5[[#This Row],[Joining Date]],TODAY(),"Y")</f>
        <v>7</v>
      </c>
      <c r="M639" s="10" t="str">
        <f>IF(HR_Data5[[#This Row],[Salary]]&lt;55000,"Low",IF(HR_Data5[[#This Row],[Salary]]&lt;=65000,"Medium","High"))</f>
        <v>Medium</v>
      </c>
      <c r="N639" s="10">
        <f>YEAR(HR_Data5[[#This Row],[Joining Date]])</f>
        <v>2018</v>
      </c>
      <c r="O639" s="10" cm="1">
        <f t="array" ref="O639">_xlfn.SWITCH(HR_Data5[[#This Row],[Performance Score]],
"A",5,
"B",4,
"C",3,
"D",2,
"F",1)</f>
        <v>5</v>
      </c>
      <c r="P639" s="10"/>
    </row>
    <row r="640" spans="1:16" x14ac:dyDescent="0.3">
      <c r="A640" t="s">
        <v>51</v>
      </c>
      <c r="B640">
        <v>35</v>
      </c>
      <c r="C640" s="6">
        <v>70000</v>
      </c>
      <c r="D640" t="s">
        <v>11</v>
      </c>
      <c r="E640" t="s">
        <v>12</v>
      </c>
      <c r="F640" t="s">
        <v>43</v>
      </c>
      <c r="G640" s="7">
        <v>43845</v>
      </c>
      <c r="H640" t="s">
        <v>14</v>
      </c>
      <c r="I640" t="s">
        <v>69</v>
      </c>
      <c r="J640" t="s">
        <v>69</v>
      </c>
      <c r="K640" t="str">
        <f>IF(HR_Data5[[#This Row],[Age]]&lt;30,"Young",IF(HR_Data5[[#This Row],[Age]]&lt;=45,"Mid-Career","Senior"))</f>
        <v>Mid-Career</v>
      </c>
      <c r="L640" s="10">
        <f ca="1">DATEDIF(HR_Data5[[#This Row],[Joining Date]],TODAY(),"Y")</f>
        <v>6</v>
      </c>
      <c r="M640" s="10" t="str">
        <f>IF(HR_Data5[[#This Row],[Salary]]&lt;55000,"Low",IF(HR_Data5[[#This Row],[Salary]]&lt;=65000,"Medium","High"))</f>
        <v>High</v>
      </c>
      <c r="N640" s="10">
        <f>YEAR(HR_Data5[[#This Row],[Joining Date]])</f>
        <v>2020</v>
      </c>
      <c r="O640" s="10" cm="1">
        <f t="array" ref="O640">_xlfn.SWITCH(HR_Data5[[#This Row],[Performance Score]],
"A",5,
"B",4,
"C",3,
"D",2,
"F",1)</f>
        <v>2</v>
      </c>
      <c r="P640" s="10"/>
    </row>
    <row r="641" spans="1:16" x14ac:dyDescent="0.3">
      <c r="A641" t="s">
        <v>53</v>
      </c>
      <c r="B641">
        <v>36</v>
      </c>
      <c r="C641" s="6" t="s">
        <v>68</v>
      </c>
      <c r="D641" t="s">
        <v>11</v>
      </c>
      <c r="E641" t="s">
        <v>26</v>
      </c>
      <c r="F641" t="s">
        <v>43</v>
      </c>
      <c r="G641" s="7">
        <v>43800</v>
      </c>
      <c r="H641" t="s">
        <v>14</v>
      </c>
      <c r="I641" t="s">
        <v>15</v>
      </c>
      <c r="J641" t="s">
        <v>28</v>
      </c>
      <c r="K641" t="str">
        <f>IF(HR_Data5[[#This Row],[Age]]&lt;30,"Young",IF(HR_Data5[[#This Row],[Age]]&lt;=45,"Mid-Career","Senior"))</f>
        <v>Mid-Career</v>
      </c>
      <c r="L641" s="10">
        <f ca="1">DATEDIF(HR_Data5[[#This Row],[Joining Date]],TODAY(),"Y")</f>
        <v>6</v>
      </c>
      <c r="M641" s="10" t="str">
        <f>IF(HR_Data5[[#This Row],[Salary]]&lt;55000,"Low",IF(HR_Data5[[#This Row],[Salary]]&lt;=65000,"Medium","High"))</f>
        <v>High</v>
      </c>
      <c r="N641" s="10">
        <f>YEAR(HR_Data5[[#This Row],[Joining Date]])</f>
        <v>2019</v>
      </c>
      <c r="O641" s="10" cm="1">
        <f t="array" ref="O641">_xlfn.SWITCH(HR_Data5[[#This Row],[Performance Score]],
"A",5,
"B",4,
"C",3,
"D",2,
"F",1)</f>
        <v>2</v>
      </c>
      <c r="P641" s="10"/>
    </row>
    <row r="642" spans="1:16" x14ac:dyDescent="0.3">
      <c r="A642" t="s">
        <v>59</v>
      </c>
      <c r="B642">
        <v>30</v>
      </c>
      <c r="C642" s="6">
        <v>60000</v>
      </c>
      <c r="D642" t="s">
        <v>11</v>
      </c>
      <c r="E642" t="s">
        <v>12</v>
      </c>
      <c r="F642" t="s">
        <v>20</v>
      </c>
      <c r="G642" s="7">
        <v>43549</v>
      </c>
      <c r="H642" t="s">
        <v>41</v>
      </c>
      <c r="I642" t="s">
        <v>69</v>
      </c>
      <c r="J642" t="s">
        <v>28</v>
      </c>
      <c r="K642" t="str">
        <f>IF(HR_Data5[[#This Row],[Age]]&lt;30,"Young",IF(HR_Data5[[#This Row],[Age]]&lt;=45,"Mid-Career","Senior"))</f>
        <v>Mid-Career</v>
      </c>
      <c r="L642" s="10">
        <f ca="1">DATEDIF(HR_Data5[[#This Row],[Joining Date]],TODAY(),"Y")</f>
        <v>6</v>
      </c>
      <c r="M642" s="10" t="str">
        <f>IF(HR_Data5[[#This Row],[Salary]]&lt;55000,"Low",IF(HR_Data5[[#This Row],[Salary]]&lt;=65000,"Medium","High"))</f>
        <v>Medium</v>
      </c>
      <c r="N642" s="10">
        <f>YEAR(HR_Data5[[#This Row],[Joining Date]])</f>
        <v>2019</v>
      </c>
      <c r="O642" s="10" cm="1">
        <f t="array" ref="O642">_xlfn.SWITCH(HR_Data5[[#This Row],[Performance Score]],
"A",5,
"B",4,
"C",3,
"D",2,
"F",1)</f>
        <v>4</v>
      </c>
      <c r="P642" s="10"/>
    </row>
    <row r="643" spans="1:16" x14ac:dyDescent="0.3">
      <c r="A643" t="s">
        <v>57</v>
      </c>
      <c r="B643">
        <v>50</v>
      </c>
      <c r="C643" s="6">
        <v>70000</v>
      </c>
      <c r="D643" t="s">
        <v>11</v>
      </c>
      <c r="E643" t="s">
        <v>12</v>
      </c>
      <c r="F643" t="s">
        <v>20</v>
      </c>
      <c r="G643" s="7">
        <v>43195</v>
      </c>
      <c r="H643" t="s">
        <v>21</v>
      </c>
      <c r="I643" t="s">
        <v>22</v>
      </c>
      <c r="J643" t="s">
        <v>23</v>
      </c>
      <c r="K643" t="str">
        <f>IF(HR_Data5[[#This Row],[Age]]&lt;30,"Young",IF(HR_Data5[[#This Row],[Age]]&lt;=45,"Mid-Career","Senior"))</f>
        <v>Senior</v>
      </c>
      <c r="L643" s="10">
        <f ca="1">DATEDIF(HR_Data5[[#This Row],[Joining Date]],TODAY(),"Y")</f>
        <v>7</v>
      </c>
      <c r="M643" s="10" t="str">
        <f>IF(HR_Data5[[#This Row],[Salary]]&lt;55000,"Low",IF(HR_Data5[[#This Row],[Salary]]&lt;=65000,"Medium","High"))</f>
        <v>High</v>
      </c>
      <c r="N643" s="10">
        <f>YEAR(HR_Data5[[#This Row],[Joining Date]])</f>
        <v>2018</v>
      </c>
      <c r="O643" s="10" cm="1">
        <f t="array" ref="O643">_xlfn.SWITCH(HR_Data5[[#This Row],[Performance Score]],
"A",5,
"B",4,
"C",3,
"D",2,
"F",1)</f>
        <v>1</v>
      </c>
      <c r="P643" s="10"/>
    </row>
    <row r="644" spans="1:16" x14ac:dyDescent="0.3">
      <c r="A644" t="s">
        <v>59</v>
      </c>
      <c r="B644">
        <v>36</v>
      </c>
      <c r="C644" s="6">
        <v>70000</v>
      </c>
      <c r="D644" t="s">
        <v>36</v>
      </c>
      <c r="E644" t="s">
        <v>19</v>
      </c>
      <c r="F644" t="s">
        <v>44</v>
      </c>
      <c r="G644" s="7">
        <v>43800</v>
      </c>
      <c r="H644" t="s">
        <v>14</v>
      </c>
      <c r="I644" t="s">
        <v>32</v>
      </c>
      <c r="J644" t="s">
        <v>23</v>
      </c>
      <c r="K644" t="str">
        <f>IF(HR_Data5[[#This Row],[Age]]&lt;30,"Young",IF(HR_Data5[[#This Row],[Age]]&lt;=45,"Mid-Career","Senior"))</f>
        <v>Mid-Career</v>
      </c>
      <c r="L644" s="10">
        <f ca="1">DATEDIF(HR_Data5[[#This Row],[Joining Date]],TODAY(),"Y")</f>
        <v>6</v>
      </c>
      <c r="M644" s="10" t="str">
        <f>IF(HR_Data5[[#This Row],[Salary]]&lt;55000,"Low",IF(HR_Data5[[#This Row],[Salary]]&lt;=65000,"Medium","High"))</f>
        <v>High</v>
      </c>
      <c r="N644" s="10">
        <f>YEAR(HR_Data5[[#This Row],[Joining Date]])</f>
        <v>2019</v>
      </c>
      <c r="O644" s="10" cm="1">
        <f t="array" ref="O644">_xlfn.SWITCH(HR_Data5[[#This Row],[Performance Score]],
"A",5,
"B",4,
"C",3,
"D",2,
"F",1)</f>
        <v>2</v>
      </c>
      <c r="P644" s="10"/>
    </row>
    <row r="645" spans="1:16" x14ac:dyDescent="0.3">
      <c r="A645" t="s">
        <v>58</v>
      </c>
      <c r="B645">
        <v>50</v>
      </c>
      <c r="C645" s="6">
        <v>50000</v>
      </c>
      <c r="D645" t="s">
        <v>11</v>
      </c>
      <c r="E645" t="s">
        <v>37</v>
      </c>
      <c r="F645" t="s">
        <v>20</v>
      </c>
      <c r="G645" s="7">
        <v>43549</v>
      </c>
      <c r="H645" t="s">
        <v>14</v>
      </c>
      <c r="I645" t="s">
        <v>69</v>
      </c>
      <c r="J645" t="s">
        <v>69</v>
      </c>
      <c r="K645" t="str">
        <f>IF(HR_Data5[[#This Row],[Age]]&lt;30,"Young",IF(HR_Data5[[#This Row],[Age]]&lt;=45,"Mid-Career","Senior"))</f>
        <v>Senior</v>
      </c>
      <c r="L645" s="10">
        <f ca="1">DATEDIF(HR_Data5[[#This Row],[Joining Date]],TODAY(),"Y")</f>
        <v>6</v>
      </c>
      <c r="M645" s="10" t="str">
        <f>IF(HR_Data5[[#This Row],[Salary]]&lt;55000,"Low",IF(HR_Data5[[#This Row],[Salary]]&lt;=65000,"Medium","High"))</f>
        <v>Low</v>
      </c>
      <c r="N645" s="10">
        <f>YEAR(HR_Data5[[#This Row],[Joining Date]])</f>
        <v>2019</v>
      </c>
      <c r="O645" s="10" cm="1">
        <f t="array" ref="O645">_xlfn.SWITCH(HR_Data5[[#This Row],[Performance Score]],
"A",5,
"B",4,
"C",3,
"D",2,
"F",1)</f>
        <v>2</v>
      </c>
      <c r="P645" s="10"/>
    </row>
    <row r="646" spans="1:16" x14ac:dyDescent="0.3">
      <c r="A646" t="s">
        <v>59</v>
      </c>
      <c r="B646">
        <v>35</v>
      </c>
      <c r="C646" s="6">
        <v>60000</v>
      </c>
      <c r="D646" t="s">
        <v>36</v>
      </c>
      <c r="E646" t="s">
        <v>19</v>
      </c>
      <c r="F646" t="s">
        <v>44</v>
      </c>
      <c r="G646" s="7">
        <v>43881</v>
      </c>
      <c r="H646" t="s">
        <v>21</v>
      </c>
      <c r="I646" t="s">
        <v>69</v>
      </c>
      <c r="J646" t="s">
        <v>69</v>
      </c>
      <c r="K646" t="str">
        <f>IF(HR_Data5[[#This Row],[Age]]&lt;30,"Young",IF(HR_Data5[[#This Row],[Age]]&lt;=45,"Mid-Career","Senior"))</f>
        <v>Mid-Career</v>
      </c>
      <c r="L646" s="10">
        <f ca="1">DATEDIF(HR_Data5[[#This Row],[Joining Date]],TODAY(),"Y")</f>
        <v>6</v>
      </c>
      <c r="M646" s="10" t="str">
        <f>IF(HR_Data5[[#This Row],[Salary]]&lt;55000,"Low",IF(HR_Data5[[#This Row],[Salary]]&lt;=65000,"Medium","High"))</f>
        <v>Medium</v>
      </c>
      <c r="N646" s="10">
        <f>YEAR(HR_Data5[[#This Row],[Joining Date]])</f>
        <v>2020</v>
      </c>
      <c r="O646" s="10" cm="1">
        <f t="array" ref="O646">_xlfn.SWITCH(HR_Data5[[#This Row],[Performance Score]],
"A",5,
"B",4,
"C",3,
"D",2,
"F",1)</f>
        <v>1</v>
      </c>
      <c r="P646" s="10"/>
    </row>
    <row r="647" spans="1:16" x14ac:dyDescent="0.3">
      <c r="A647" t="s">
        <v>54</v>
      </c>
      <c r="B647">
        <v>35</v>
      </c>
      <c r="C647" s="6" t="s">
        <v>68</v>
      </c>
      <c r="D647" t="s">
        <v>18</v>
      </c>
      <c r="E647" t="s">
        <v>12</v>
      </c>
      <c r="F647" t="s">
        <v>44</v>
      </c>
      <c r="G647" s="7">
        <v>43195</v>
      </c>
      <c r="H647" t="s">
        <v>31</v>
      </c>
      <c r="I647" t="s">
        <v>22</v>
      </c>
      <c r="J647" t="s">
        <v>69</v>
      </c>
      <c r="K647" t="str">
        <f>IF(HR_Data5[[#This Row],[Age]]&lt;30,"Young",IF(HR_Data5[[#This Row],[Age]]&lt;=45,"Mid-Career","Senior"))</f>
        <v>Mid-Career</v>
      </c>
      <c r="L647" s="10">
        <f ca="1">DATEDIF(HR_Data5[[#This Row],[Joining Date]],TODAY(),"Y")</f>
        <v>7</v>
      </c>
      <c r="M647" s="10" t="str">
        <f>IF(HR_Data5[[#This Row],[Salary]]&lt;55000,"Low",IF(HR_Data5[[#This Row],[Salary]]&lt;=65000,"Medium","High"))</f>
        <v>High</v>
      </c>
      <c r="N647" s="10">
        <f>YEAR(HR_Data5[[#This Row],[Joining Date]])</f>
        <v>2018</v>
      </c>
      <c r="O647" s="10" cm="1">
        <f t="array" ref="O647">_xlfn.SWITCH(HR_Data5[[#This Row],[Performance Score]],
"A",5,
"B",4,
"C",3,
"D",2,
"F",1)</f>
        <v>5</v>
      </c>
      <c r="P647" s="10"/>
    </row>
    <row r="648" spans="1:16" x14ac:dyDescent="0.3">
      <c r="A648" t="s">
        <v>55</v>
      </c>
      <c r="B648">
        <v>35</v>
      </c>
      <c r="C648" s="6">
        <v>60000</v>
      </c>
      <c r="D648" t="s">
        <v>36</v>
      </c>
      <c r="E648" t="s">
        <v>26</v>
      </c>
      <c r="F648" t="s">
        <v>44</v>
      </c>
      <c r="G648" s="7">
        <v>43881</v>
      </c>
      <c r="H648" t="s">
        <v>14</v>
      </c>
      <c r="I648" t="s">
        <v>15</v>
      </c>
      <c r="J648" t="s">
        <v>23</v>
      </c>
      <c r="K648" t="str">
        <f>IF(HR_Data5[[#This Row],[Age]]&lt;30,"Young",IF(HR_Data5[[#This Row],[Age]]&lt;=45,"Mid-Career","Senior"))</f>
        <v>Mid-Career</v>
      </c>
      <c r="L648" s="10">
        <f ca="1">DATEDIF(HR_Data5[[#This Row],[Joining Date]],TODAY(),"Y")</f>
        <v>6</v>
      </c>
      <c r="M648" s="10" t="str">
        <f>IF(HR_Data5[[#This Row],[Salary]]&lt;55000,"Low",IF(HR_Data5[[#This Row],[Salary]]&lt;=65000,"Medium","High"))</f>
        <v>Medium</v>
      </c>
      <c r="N648" s="10">
        <f>YEAR(HR_Data5[[#This Row],[Joining Date]])</f>
        <v>2020</v>
      </c>
      <c r="O648" s="10" cm="1">
        <f t="array" ref="O648">_xlfn.SWITCH(HR_Data5[[#This Row],[Performance Score]],
"A",5,
"B",4,
"C",3,
"D",2,
"F",1)</f>
        <v>2</v>
      </c>
      <c r="P648" s="10"/>
    </row>
    <row r="649" spans="1:16" x14ac:dyDescent="0.3">
      <c r="A649" t="s">
        <v>60</v>
      </c>
      <c r="B649">
        <v>25</v>
      </c>
      <c r="C649" s="6">
        <v>70000</v>
      </c>
      <c r="D649" t="s">
        <v>36</v>
      </c>
      <c r="E649" t="s">
        <v>19</v>
      </c>
      <c r="F649" t="s">
        <v>43</v>
      </c>
      <c r="G649" s="7">
        <v>43845</v>
      </c>
      <c r="H649" t="s">
        <v>27</v>
      </c>
      <c r="I649" t="s">
        <v>32</v>
      </c>
      <c r="J649" t="s">
        <v>23</v>
      </c>
      <c r="K649" t="str">
        <f>IF(HR_Data5[[#This Row],[Age]]&lt;30,"Young",IF(HR_Data5[[#This Row],[Age]]&lt;=45,"Mid-Career","Senior"))</f>
        <v>Young</v>
      </c>
      <c r="L649" s="10">
        <f ca="1">DATEDIF(HR_Data5[[#This Row],[Joining Date]],TODAY(),"Y")</f>
        <v>6</v>
      </c>
      <c r="M649" s="10" t="str">
        <f>IF(HR_Data5[[#This Row],[Salary]]&lt;55000,"Low",IF(HR_Data5[[#This Row],[Salary]]&lt;=65000,"Medium","High"))</f>
        <v>High</v>
      </c>
      <c r="N649" s="10">
        <f>YEAR(HR_Data5[[#This Row],[Joining Date]])</f>
        <v>2020</v>
      </c>
      <c r="O649" s="10" cm="1">
        <f t="array" ref="O649">_xlfn.SWITCH(HR_Data5[[#This Row],[Performance Score]],
"A",5,
"B",4,
"C",3,
"D",2,
"F",1)</f>
        <v>3</v>
      </c>
      <c r="P649" s="10"/>
    </row>
    <row r="650" spans="1:16" x14ac:dyDescent="0.3">
      <c r="A650" t="s">
        <v>57</v>
      </c>
      <c r="B650">
        <v>50</v>
      </c>
      <c r="C650" s="6" t="s">
        <v>68</v>
      </c>
      <c r="D650" t="s">
        <v>11</v>
      </c>
      <c r="E650" t="s">
        <v>19</v>
      </c>
      <c r="F650" t="s">
        <v>43</v>
      </c>
      <c r="G650" s="7">
        <v>43881</v>
      </c>
      <c r="H650" t="s">
        <v>14</v>
      </c>
      <c r="I650" t="s">
        <v>22</v>
      </c>
      <c r="J650" t="s">
        <v>69</v>
      </c>
      <c r="K650" t="str">
        <f>IF(HR_Data5[[#This Row],[Age]]&lt;30,"Young",IF(HR_Data5[[#This Row],[Age]]&lt;=45,"Mid-Career","Senior"))</f>
        <v>Senior</v>
      </c>
      <c r="L650" s="10">
        <f ca="1">DATEDIF(HR_Data5[[#This Row],[Joining Date]],TODAY(),"Y")</f>
        <v>6</v>
      </c>
      <c r="M650" s="10" t="str">
        <f>IF(HR_Data5[[#This Row],[Salary]]&lt;55000,"Low",IF(HR_Data5[[#This Row],[Salary]]&lt;=65000,"Medium","High"))</f>
        <v>High</v>
      </c>
      <c r="N650" s="10">
        <f>YEAR(HR_Data5[[#This Row],[Joining Date]])</f>
        <v>2020</v>
      </c>
      <c r="O650" s="10" cm="1">
        <f t="array" ref="O650">_xlfn.SWITCH(HR_Data5[[#This Row],[Performance Score]],
"A",5,
"B",4,
"C",3,
"D",2,
"F",1)</f>
        <v>2</v>
      </c>
      <c r="P650" s="10"/>
    </row>
    <row r="651" spans="1:16" x14ac:dyDescent="0.3">
      <c r="A651" t="s">
        <v>59</v>
      </c>
      <c r="B651">
        <v>36</v>
      </c>
      <c r="C651" s="6">
        <v>65000</v>
      </c>
      <c r="D651" t="s">
        <v>18</v>
      </c>
      <c r="E651" t="s">
        <v>30</v>
      </c>
      <c r="F651" t="s">
        <v>20</v>
      </c>
      <c r="G651" s="7">
        <v>43881</v>
      </c>
      <c r="H651" t="s">
        <v>31</v>
      </c>
      <c r="I651" t="s">
        <v>69</v>
      </c>
      <c r="J651" t="s">
        <v>69</v>
      </c>
      <c r="K651" t="str">
        <f>IF(HR_Data5[[#This Row],[Age]]&lt;30,"Young",IF(HR_Data5[[#This Row],[Age]]&lt;=45,"Mid-Career","Senior"))</f>
        <v>Mid-Career</v>
      </c>
      <c r="L651" s="10">
        <f ca="1">DATEDIF(HR_Data5[[#This Row],[Joining Date]],TODAY(),"Y")</f>
        <v>6</v>
      </c>
      <c r="M651" s="10" t="str">
        <f>IF(HR_Data5[[#This Row],[Salary]]&lt;55000,"Low",IF(HR_Data5[[#This Row],[Salary]]&lt;=65000,"Medium","High"))</f>
        <v>Medium</v>
      </c>
      <c r="N651" s="10">
        <f>YEAR(HR_Data5[[#This Row],[Joining Date]])</f>
        <v>2020</v>
      </c>
      <c r="O651" s="10" cm="1">
        <f t="array" ref="O651">_xlfn.SWITCH(HR_Data5[[#This Row],[Performance Score]],
"A",5,
"B",4,
"C",3,
"D",2,
"F",1)</f>
        <v>5</v>
      </c>
      <c r="P651" s="10"/>
    </row>
    <row r="652" spans="1:16" x14ac:dyDescent="0.3">
      <c r="A652" t="s">
        <v>59</v>
      </c>
      <c r="B652">
        <v>36</v>
      </c>
      <c r="C652" s="6">
        <v>50000</v>
      </c>
      <c r="D652" t="s">
        <v>18</v>
      </c>
      <c r="E652" t="s">
        <v>12</v>
      </c>
      <c r="F652" t="s">
        <v>43</v>
      </c>
      <c r="G652" s="7">
        <v>43195</v>
      </c>
      <c r="H652" t="s">
        <v>31</v>
      </c>
      <c r="I652" t="s">
        <v>32</v>
      </c>
      <c r="J652" t="s">
        <v>69</v>
      </c>
      <c r="K652" t="str">
        <f>IF(HR_Data5[[#This Row],[Age]]&lt;30,"Young",IF(HR_Data5[[#This Row],[Age]]&lt;=45,"Mid-Career","Senior"))</f>
        <v>Mid-Career</v>
      </c>
      <c r="L652" s="10">
        <f ca="1">DATEDIF(HR_Data5[[#This Row],[Joining Date]],TODAY(),"Y")</f>
        <v>7</v>
      </c>
      <c r="M652" s="10" t="str">
        <f>IF(HR_Data5[[#This Row],[Salary]]&lt;55000,"Low",IF(HR_Data5[[#This Row],[Salary]]&lt;=65000,"Medium","High"))</f>
        <v>Low</v>
      </c>
      <c r="N652" s="10">
        <f>YEAR(HR_Data5[[#This Row],[Joining Date]])</f>
        <v>2018</v>
      </c>
      <c r="O652" s="10" cm="1">
        <f t="array" ref="O652">_xlfn.SWITCH(HR_Data5[[#This Row],[Performance Score]],
"A",5,
"B",4,
"C",3,
"D",2,
"F",1)</f>
        <v>5</v>
      </c>
      <c r="P652" s="10"/>
    </row>
    <row r="653" spans="1:16" x14ac:dyDescent="0.3">
      <c r="A653" t="s">
        <v>58</v>
      </c>
      <c r="B653">
        <v>40</v>
      </c>
      <c r="C653" s="6">
        <v>70000</v>
      </c>
      <c r="D653" t="s">
        <v>18</v>
      </c>
      <c r="E653" t="s">
        <v>26</v>
      </c>
      <c r="F653" t="s">
        <v>20</v>
      </c>
      <c r="G653" s="7">
        <v>43845</v>
      </c>
      <c r="H653" t="s">
        <v>41</v>
      </c>
      <c r="I653" t="s">
        <v>69</v>
      </c>
      <c r="J653" t="s">
        <v>28</v>
      </c>
      <c r="K653" t="str">
        <f>IF(HR_Data5[[#This Row],[Age]]&lt;30,"Young",IF(HR_Data5[[#This Row],[Age]]&lt;=45,"Mid-Career","Senior"))</f>
        <v>Mid-Career</v>
      </c>
      <c r="L653" s="10">
        <f ca="1">DATEDIF(HR_Data5[[#This Row],[Joining Date]],TODAY(),"Y")</f>
        <v>6</v>
      </c>
      <c r="M653" s="10" t="str">
        <f>IF(HR_Data5[[#This Row],[Salary]]&lt;55000,"Low",IF(HR_Data5[[#This Row],[Salary]]&lt;=65000,"Medium","High"))</f>
        <v>High</v>
      </c>
      <c r="N653" s="10">
        <f>YEAR(HR_Data5[[#This Row],[Joining Date]])</f>
        <v>2020</v>
      </c>
      <c r="O653" s="10" cm="1">
        <f t="array" ref="O653">_xlfn.SWITCH(HR_Data5[[#This Row],[Performance Score]],
"A",5,
"B",4,
"C",3,
"D",2,
"F",1)</f>
        <v>4</v>
      </c>
      <c r="P653" s="10"/>
    </row>
    <row r="654" spans="1:16" x14ac:dyDescent="0.3">
      <c r="A654" t="s">
        <v>60</v>
      </c>
      <c r="B654">
        <v>40</v>
      </c>
      <c r="C654" s="6">
        <v>55000</v>
      </c>
      <c r="D654" t="s">
        <v>18</v>
      </c>
      <c r="E654" t="s">
        <v>19</v>
      </c>
      <c r="F654" t="s">
        <v>43</v>
      </c>
      <c r="G654" s="7">
        <v>43881</v>
      </c>
      <c r="H654" t="s">
        <v>27</v>
      </c>
      <c r="I654" t="s">
        <v>22</v>
      </c>
      <c r="J654" t="s">
        <v>45</v>
      </c>
      <c r="K654" t="str">
        <f>IF(HR_Data5[[#This Row],[Age]]&lt;30,"Young",IF(HR_Data5[[#This Row],[Age]]&lt;=45,"Mid-Career","Senior"))</f>
        <v>Mid-Career</v>
      </c>
      <c r="L654" s="10">
        <f ca="1">DATEDIF(HR_Data5[[#This Row],[Joining Date]],TODAY(),"Y")</f>
        <v>6</v>
      </c>
      <c r="M654" s="10" t="str">
        <f>IF(HR_Data5[[#This Row],[Salary]]&lt;55000,"Low",IF(HR_Data5[[#This Row],[Salary]]&lt;=65000,"Medium","High"))</f>
        <v>Medium</v>
      </c>
      <c r="N654" s="10">
        <f>YEAR(HR_Data5[[#This Row],[Joining Date]])</f>
        <v>2020</v>
      </c>
      <c r="O654" s="10" cm="1">
        <f t="array" ref="O654">_xlfn.SWITCH(HR_Data5[[#This Row],[Performance Score]],
"A",5,
"B",4,
"C",3,
"D",2,
"F",1)</f>
        <v>3</v>
      </c>
      <c r="P654" s="10"/>
    </row>
    <row r="655" spans="1:16" x14ac:dyDescent="0.3">
      <c r="A655" t="s">
        <v>56</v>
      </c>
      <c r="B655">
        <v>40</v>
      </c>
      <c r="C655" s="6">
        <v>55000</v>
      </c>
      <c r="D655" t="s">
        <v>36</v>
      </c>
      <c r="E655" t="s">
        <v>19</v>
      </c>
      <c r="F655" t="s">
        <v>13</v>
      </c>
      <c r="G655" s="7">
        <v>43800</v>
      </c>
      <c r="H655" t="s">
        <v>31</v>
      </c>
      <c r="I655" t="s">
        <v>69</v>
      </c>
      <c r="J655" t="s">
        <v>45</v>
      </c>
      <c r="K655" t="str">
        <f>IF(HR_Data5[[#This Row],[Age]]&lt;30,"Young",IF(HR_Data5[[#This Row],[Age]]&lt;=45,"Mid-Career","Senior"))</f>
        <v>Mid-Career</v>
      </c>
      <c r="L655" s="10">
        <f ca="1">DATEDIF(HR_Data5[[#This Row],[Joining Date]],TODAY(),"Y")</f>
        <v>6</v>
      </c>
      <c r="M655" s="10" t="str">
        <f>IF(HR_Data5[[#This Row],[Salary]]&lt;55000,"Low",IF(HR_Data5[[#This Row],[Salary]]&lt;=65000,"Medium","High"))</f>
        <v>Medium</v>
      </c>
      <c r="N655" s="10">
        <f>YEAR(HR_Data5[[#This Row],[Joining Date]])</f>
        <v>2019</v>
      </c>
      <c r="O655" s="10" cm="1">
        <f t="array" ref="O655">_xlfn.SWITCH(HR_Data5[[#This Row],[Performance Score]],
"A",5,
"B",4,
"C",3,
"D",2,
"F",1)</f>
        <v>5</v>
      </c>
      <c r="P655" s="10"/>
    </row>
    <row r="656" spans="1:16" x14ac:dyDescent="0.3">
      <c r="A656" t="s">
        <v>59</v>
      </c>
      <c r="B656">
        <v>35</v>
      </c>
      <c r="C656" s="6">
        <v>50000</v>
      </c>
      <c r="D656" t="s">
        <v>18</v>
      </c>
      <c r="E656" t="s">
        <v>26</v>
      </c>
      <c r="F656" t="s">
        <v>13</v>
      </c>
      <c r="G656" s="7">
        <v>43549</v>
      </c>
      <c r="H656" t="s">
        <v>21</v>
      </c>
      <c r="I656" t="s">
        <v>69</v>
      </c>
      <c r="J656" t="s">
        <v>23</v>
      </c>
      <c r="K656" t="str">
        <f>IF(HR_Data5[[#This Row],[Age]]&lt;30,"Young",IF(HR_Data5[[#This Row],[Age]]&lt;=45,"Mid-Career","Senior"))</f>
        <v>Mid-Career</v>
      </c>
      <c r="L656" s="10">
        <f ca="1">DATEDIF(HR_Data5[[#This Row],[Joining Date]],TODAY(),"Y")</f>
        <v>6</v>
      </c>
      <c r="M656" s="10" t="str">
        <f>IF(HR_Data5[[#This Row],[Salary]]&lt;55000,"Low",IF(HR_Data5[[#This Row],[Salary]]&lt;=65000,"Medium","High"))</f>
        <v>Low</v>
      </c>
      <c r="N656" s="10">
        <f>YEAR(HR_Data5[[#This Row],[Joining Date]])</f>
        <v>2019</v>
      </c>
      <c r="O656" s="10" cm="1">
        <f t="array" ref="O656">_xlfn.SWITCH(HR_Data5[[#This Row],[Performance Score]],
"A",5,
"B",4,
"C",3,
"D",2,
"F",1)</f>
        <v>1</v>
      </c>
      <c r="P656" s="10"/>
    </row>
    <row r="657" spans="1:16" x14ac:dyDescent="0.3">
      <c r="A657" t="s">
        <v>54</v>
      </c>
      <c r="B657">
        <v>36</v>
      </c>
      <c r="C657" s="6">
        <v>65000</v>
      </c>
      <c r="D657" t="s">
        <v>36</v>
      </c>
      <c r="E657" t="s">
        <v>12</v>
      </c>
      <c r="F657" t="s">
        <v>20</v>
      </c>
      <c r="G657" s="7">
        <v>43881</v>
      </c>
      <c r="H657" t="s">
        <v>27</v>
      </c>
      <c r="I657" t="s">
        <v>69</v>
      </c>
      <c r="J657" t="s">
        <v>28</v>
      </c>
      <c r="K657" t="str">
        <f>IF(HR_Data5[[#This Row],[Age]]&lt;30,"Young",IF(HR_Data5[[#This Row],[Age]]&lt;=45,"Mid-Career","Senior"))</f>
        <v>Mid-Career</v>
      </c>
      <c r="L657" s="10">
        <f ca="1">DATEDIF(HR_Data5[[#This Row],[Joining Date]],TODAY(),"Y")</f>
        <v>6</v>
      </c>
      <c r="M657" s="10" t="str">
        <f>IF(HR_Data5[[#This Row],[Salary]]&lt;55000,"Low",IF(HR_Data5[[#This Row],[Salary]]&lt;=65000,"Medium","High"))</f>
        <v>Medium</v>
      </c>
      <c r="N657" s="10">
        <f>YEAR(HR_Data5[[#This Row],[Joining Date]])</f>
        <v>2020</v>
      </c>
      <c r="O657" s="10" cm="1">
        <f t="array" ref="O657">_xlfn.SWITCH(HR_Data5[[#This Row],[Performance Score]],
"A",5,
"B",4,
"C",3,
"D",2,
"F",1)</f>
        <v>3</v>
      </c>
      <c r="P657" s="10"/>
    </row>
    <row r="658" spans="1:16" x14ac:dyDescent="0.3">
      <c r="A658" t="s">
        <v>51</v>
      </c>
      <c r="B658">
        <v>50</v>
      </c>
      <c r="C658" s="6">
        <v>70000</v>
      </c>
      <c r="D658" t="s">
        <v>36</v>
      </c>
      <c r="E658" t="s">
        <v>30</v>
      </c>
      <c r="F658" t="s">
        <v>43</v>
      </c>
      <c r="G658" s="7">
        <v>43845</v>
      </c>
      <c r="H658" t="s">
        <v>27</v>
      </c>
      <c r="I658" t="s">
        <v>15</v>
      </c>
      <c r="J658" t="s">
        <v>69</v>
      </c>
      <c r="K658" t="str">
        <f>IF(HR_Data5[[#This Row],[Age]]&lt;30,"Young",IF(HR_Data5[[#This Row],[Age]]&lt;=45,"Mid-Career","Senior"))</f>
        <v>Senior</v>
      </c>
      <c r="L658" s="10">
        <f ca="1">DATEDIF(HR_Data5[[#This Row],[Joining Date]],TODAY(),"Y")</f>
        <v>6</v>
      </c>
      <c r="M658" s="10" t="str">
        <f>IF(HR_Data5[[#This Row],[Salary]]&lt;55000,"Low",IF(HR_Data5[[#This Row],[Salary]]&lt;=65000,"Medium","High"))</f>
        <v>High</v>
      </c>
      <c r="N658" s="10">
        <f>YEAR(HR_Data5[[#This Row],[Joining Date]])</f>
        <v>2020</v>
      </c>
      <c r="O658" s="10" cm="1">
        <f t="array" ref="O658">_xlfn.SWITCH(HR_Data5[[#This Row],[Performance Score]],
"A",5,
"B",4,
"C",3,
"D",2,
"F",1)</f>
        <v>3</v>
      </c>
      <c r="P658" s="10"/>
    </row>
    <row r="659" spans="1:16" x14ac:dyDescent="0.3">
      <c r="A659" t="s">
        <v>57</v>
      </c>
      <c r="B659">
        <v>35</v>
      </c>
      <c r="C659" s="6">
        <v>60000</v>
      </c>
      <c r="D659" t="s">
        <v>36</v>
      </c>
      <c r="E659" t="s">
        <v>19</v>
      </c>
      <c r="F659" t="s">
        <v>43</v>
      </c>
      <c r="G659" s="7">
        <v>43881</v>
      </c>
      <c r="H659" t="s">
        <v>21</v>
      </c>
      <c r="I659" t="s">
        <v>69</v>
      </c>
      <c r="J659" t="s">
        <v>23</v>
      </c>
      <c r="K659" t="str">
        <f>IF(HR_Data5[[#This Row],[Age]]&lt;30,"Young",IF(HR_Data5[[#This Row],[Age]]&lt;=45,"Mid-Career","Senior"))</f>
        <v>Mid-Career</v>
      </c>
      <c r="L659" s="10">
        <f ca="1">DATEDIF(HR_Data5[[#This Row],[Joining Date]],TODAY(),"Y")</f>
        <v>6</v>
      </c>
      <c r="M659" s="10" t="str">
        <f>IF(HR_Data5[[#This Row],[Salary]]&lt;55000,"Low",IF(HR_Data5[[#This Row],[Salary]]&lt;=65000,"Medium","High"))</f>
        <v>Medium</v>
      </c>
      <c r="N659" s="10">
        <f>YEAR(HR_Data5[[#This Row],[Joining Date]])</f>
        <v>2020</v>
      </c>
      <c r="O659" s="10" cm="1">
        <f t="array" ref="O659">_xlfn.SWITCH(HR_Data5[[#This Row],[Performance Score]],
"A",5,
"B",4,
"C",3,
"D",2,
"F",1)</f>
        <v>1</v>
      </c>
      <c r="P659" s="10"/>
    </row>
    <row r="660" spans="1:16" x14ac:dyDescent="0.3">
      <c r="A660" t="s">
        <v>59</v>
      </c>
      <c r="B660">
        <v>25</v>
      </c>
      <c r="C660" s="6">
        <v>50000</v>
      </c>
      <c r="D660" t="s">
        <v>18</v>
      </c>
      <c r="E660" t="s">
        <v>30</v>
      </c>
      <c r="F660" t="s">
        <v>44</v>
      </c>
      <c r="G660" s="7">
        <v>43549</v>
      </c>
      <c r="H660" t="s">
        <v>14</v>
      </c>
      <c r="I660" t="s">
        <v>69</v>
      </c>
      <c r="J660" t="s">
        <v>28</v>
      </c>
      <c r="K660" t="str">
        <f>IF(HR_Data5[[#This Row],[Age]]&lt;30,"Young",IF(HR_Data5[[#This Row],[Age]]&lt;=45,"Mid-Career","Senior"))</f>
        <v>Young</v>
      </c>
      <c r="L660" s="10">
        <f ca="1">DATEDIF(HR_Data5[[#This Row],[Joining Date]],TODAY(),"Y")</f>
        <v>6</v>
      </c>
      <c r="M660" s="10" t="str">
        <f>IF(HR_Data5[[#This Row],[Salary]]&lt;55000,"Low",IF(HR_Data5[[#This Row],[Salary]]&lt;=65000,"Medium","High"))</f>
        <v>Low</v>
      </c>
      <c r="N660" s="10">
        <f>YEAR(HR_Data5[[#This Row],[Joining Date]])</f>
        <v>2019</v>
      </c>
      <c r="O660" s="10" cm="1">
        <f t="array" ref="O660">_xlfn.SWITCH(HR_Data5[[#This Row],[Performance Score]],
"A",5,
"B",4,
"C",3,
"D",2,
"F",1)</f>
        <v>2</v>
      </c>
      <c r="P660" s="10"/>
    </row>
    <row r="661" spans="1:16" x14ac:dyDescent="0.3">
      <c r="A661" t="s">
        <v>54</v>
      </c>
      <c r="B661">
        <v>40</v>
      </c>
      <c r="C661" s="6">
        <v>65000</v>
      </c>
      <c r="D661" t="s">
        <v>11</v>
      </c>
      <c r="E661" t="s">
        <v>37</v>
      </c>
      <c r="F661" t="s">
        <v>39</v>
      </c>
      <c r="G661" s="7">
        <v>43845</v>
      </c>
      <c r="H661" t="s">
        <v>21</v>
      </c>
      <c r="I661" t="s">
        <v>69</v>
      </c>
      <c r="J661" t="s">
        <v>69</v>
      </c>
      <c r="K661" t="str">
        <f>IF(HR_Data5[[#This Row],[Age]]&lt;30,"Young",IF(HR_Data5[[#This Row],[Age]]&lt;=45,"Mid-Career","Senior"))</f>
        <v>Mid-Career</v>
      </c>
      <c r="L661" s="10">
        <f ca="1">DATEDIF(HR_Data5[[#This Row],[Joining Date]],TODAY(),"Y")</f>
        <v>6</v>
      </c>
      <c r="M661" s="10" t="str">
        <f>IF(HR_Data5[[#This Row],[Salary]]&lt;55000,"Low",IF(HR_Data5[[#This Row],[Salary]]&lt;=65000,"Medium","High"))</f>
        <v>Medium</v>
      </c>
      <c r="N661" s="10">
        <f>YEAR(HR_Data5[[#This Row],[Joining Date]])</f>
        <v>2020</v>
      </c>
      <c r="O661" s="10" cm="1">
        <f t="array" ref="O661">_xlfn.SWITCH(HR_Data5[[#This Row],[Performance Score]],
"A",5,
"B",4,
"C",3,
"D",2,
"F",1)</f>
        <v>1</v>
      </c>
      <c r="P661" s="10"/>
    </row>
    <row r="662" spans="1:16" x14ac:dyDescent="0.3">
      <c r="A662" t="s">
        <v>54</v>
      </c>
      <c r="B662">
        <v>35</v>
      </c>
      <c r="C662" s="6">
        <v>60000</v>
      </c>
      <c r="D662" t="s">
        <v>11</v>
      </c>
      <c r="E662" t="s">
        <v>12</v>
      </c>
      <c r="F662" t="s">
        <v>20</v>
      </c>
      <c r="G662" s="7">
        <v>43195</v>
      </c>
      <c r="H662" t="s">
        <v>21</v>
      </c>
      <c r="I662" t="s">
        <v>32</v>
      </c>
      <c r="J662" t="s">
        <v>28</v>
      </c>
      <c r="K662" t="str">
        <f>IF(HR_Data5[[#This Row],[Age]]&lt;30,"Young",IF(HR_Data5[[#This Row],[Age]]&lt;=45,"Mid-Career","Senior"))</f>
        <v>Mid-Career</v>
      </c>
      <c r="L662" s="10">
        <f ca="1">DATEDIF(HR_Data5[[#This Row],[Joining Date]],TODAY(),"Y")</f>
        <v>7</v>
      </c>
      <c r="M662" s="10" t="str">
        <f>IF(HR_Data5[[#This Row],[Salary]]&lt;55000,"Low",IF(HR_Data5[[#This Row],[Salary]]&lt;=65000,"Medium","High"))</f>
        <v>Medium</v>
      </c>
      <c r="N662" s="10">
        <f>YEAR(HR_Data5[[#This Row],[Joining Date]])</f>
        <v>2018</v>
      </c>
      <c r="O662" s="10" cm="1">
        <f t="array" ref="O662">_xlfn.SWITCH(HR_Data5[[#This Row],[Performance Score]],
"A",5,
"B",4,
"C",3,
"D",2,
"F",1)</f>
        <v>1</v>
      </c>
      <c r="P662" s="10"/>
    </row>
    <row r="663" spans="1:16" x14ac:dyDescent="0.3">
      <c r="A663" t="s">
        <v>57</v>
      </c>
      <c r="B663">
        <v>35</v>
      </c>
      <c r="C663" s="6">
        <v>55000</v>
      </c>
      <c r="D663" t="s">
        <v>18</v>
      </c>
      <c r="E663" t="s">
        <v>37</v>
      </c>
      <c r="F663" t="s">
        <v>39</v>
      </c>
      <c r="G663" s="7">
        <v>43845</v>
      </c>
      <c r="H663" t="s">
        <v>14</v>
      </c>
      <c r="I663" t="s">
        <v>69</v>
      </c>
      <c r="J663" t="s">
        <v>23</v>
      </c>
      <c r="K663" t="str">
        <f>IF(HR_Data5[[#This Row],[Age]]&lt;30,"Young",IF(HR_Data5[[#This Row],[Age]]&lt;=45,"Mid-Career","Senior"))</f>
        <v>Mid-Career</v>
      </c>
      <c r="L663" s="10">
        <f ca="1">DATEDIF(HR_Data5[[#This Row],[Joining Date]],TODAY(),"Y")</f>
        <v>6</v>
      </c>
      <c r="M663" s="10" t="str">
        <f>IF(HR_Data5[[#This Row],[Salary]]&lt;55000,"Low",IF(HR_Data5[[#This Row],[Salary]]&lt;=65000,"Medium","High"))</f>
        <v>Medium</v>
      </c>
      <c r="N663" s="10">
        <f>YEAR(HR_Data5[[#This Row],[Joining Date]])</f>
        <v>2020</v>
      </c>
      <c r="O663" s="10" cm="1">
        <f t="array" ref="O663">_xlfn.SWITCH(HR_Data5[[#This Row],[Performance Score]],
"A",5,
"B",4,
"C",3,
"D",2,
"F",1)</f>
        <v>2</v>
      </c>
      <c r="P663" s="10"/>
    </row>
    <row r="664" spans="1:16" x14ac:dyDescent="0.3">
      <c r="A664" t="s">
        <v>56</v>
      </c>
      <c r="B664">
        <v>25</v>
      </c>
      <c r="C664" s="6">
        <v>55000</v>
      </c>
      <c r="D664" t="s">
        <v>11</v>
      </c>
      <c r="E664" t="s">
        <v>37</v>
      </c>
      <c r="F664" t="s">
        <v>39</v>
      </c>
      <c r="G664" s="7">
        <v>43195</v>
      </c>
      <c r="H664" t="s">
        <v>14</v>
      </c>
      <c r="I664" t="s">
        <v>69</v>
      </c>
      <c r="J664" t="s">
        <v>45</v>
      </c>
      <c r="K664" t="str">
        <f>IF(HR_Data5[[#This Row],[Age]]&lt;30,"Young",IF(HR_Data5[[#This Row],[Age]]&lt;=45,"Mid-Career","Senior"))</f>
        <v>Young</v>
      </c>
      <c r="L664" s="10">
        <f ca="1">DATEDIF(HR_Data5[[#This Row],[Joining Date]],TODAY(),"Y")</f>
        <v>7</v>
      </c>
      <c r="M664" s="10" t="str">
        <f>IF(HR_Data5[[#This Row],[Salary]]&lt;55000,"Low",IF(HR_Data5[[#This Row],[Salary]]&lt;=65000,"Medium","High"))</f>
        <v>Medium</v>
      </c>
      <c r="N664" s="10">
        <f>YEAR(HR_Data5[[#This Row],[Joining Date]])</f>
        <v>2018</v>
      </c>
      <c r="O664" s="10" cm="1">
        <f t="array" ref="O664">_xlfn.SWITCH(HR_Data5[[#This Row],[Performance Score]],
"A",5,
"B",4,
"C",3,
"D",2,
"F",1)</f>
        <v>2</v>
      </c>
      <c r="P664" s="10"/>
    </row>
    <row r="665" spans="1:16" x14ac:dyDescent="0.3">
      <c r="A665" t="s">
        <v>54</v>
      </c>
      <c r="B665">
        <v>30</v>
      </c>
      <c r="C665" s="6">
        <v>60000</v>
      </c>
      <c r="D665" t="s">
        <v>11</v>
      </c>
      <c r="E665" t="s">
        <v>37</v>
      </c>
      <c r="F665" t="s">
        <v>20</v>
      </c>
      <c r="G665" s="7">
        <v>43845</v>
      </c>
      <c r="H665" t="s">
        <v>14</v>
      </c>
      <c r="I665" t="s">
        <v>22</v>
      </c>
      <c r="J665" t="s">
        <v>69</v>
      </c>
      <c r="K665" t="str">
        <f>IF(HR_Data5[[#This Row],[Age]]&lt;30,"Young",IF(HR_Data5[[#This Row],[Age]]&lt;=45,"Mid-Career","Senior"))</f>
        <v>Mid-Career</v>
      </c>
      <c r="L665" s="10">
        <f ca="1">DATEDIF(HR_Data5[[#This Row],[Joining Date]],TODAY(),"Y")</f>
        <v>6</v>
      </c>
      <c r="M665" s="10" t="str">
        <f>IF(HR_Data5[[#This Row],[Salary]]&lt;55000,"Low",IF(HR_Data5[[#This Row],[Salary]]&lt;=65000,"Medium","High"))</f>
        <v>Medium</v>
      </c>
      <c r="N665" s="10">
        <f>YEAR(HR_Data5[[#This Row],[Joining Date]])</f>
        <v>2020</v>
      </c>
      <c r="O665" s="10" cm="1">
        <f t="array" ref="O665">_xlfn.SWITCH(HR_Data5[[#This Row],[Performance Score]],
"A",5,
"B",4,
"C",3,
"D",2,
"F",1)</f>
        <v>2</v>
      </c>
      <c r="P665" s="10"/>
    </row>
    <row r="666" spans="1:16" x14ac:dyDescent="0.3">
      <c r="A666" t="s">
        <v>51</v>
      </c>
      <c r="B666">
        <v>36</v>
      </c>
      <c r="C666" s="6">
        <v>50000</v>
      </c>
      <c r="D666" t="s">
        <v>36</v>
      </c>
      <c r="E666" t="s">
        <v>12</v>
      </c>
      <c r="F666" t="s">
        <v>43</v>
      </c>
      <c r="G666" s="7">
        <v>43549</v>
      </c>
      <c r="H666" t="s">
        <v>14</v>
      </c>
      <c r="I666" t="s">
        <v>15</v>
      </c>
      <c r="J666" t="s">
        <v>69</v>
      </c>
      <c r="K666" t="str">
        <f>IF(HR_Data5[[#This Row],[Age]]&lt;30,"Young",IF(HR_Data5[[#This Row],[Age]]&lt;=45,"Mid-Career","Senior"))</f>
        <v>Mid-Career</v>
      </c>
      <c r="L666" s="10">
        <f ca="1">DATEDIF(HR_Data5[[#This Row],[Joining Date]],TODAY(),"Y")</f>
        <v>6</v>
      </c>
      <c r="M666" s="10" t="str">
        <f>IF(HR_Data5[[#This Row],[Salary]]&lt;55000,"Low",IF(HR_Data5[[#This Row],[Salary]]&lt;=65000,"Medium","High"))</f>
        <v>Low</v>
      </c>
      <c r="N666" s="10">
        <f>YEAR(HR_Data5[[#This Row],[Joining Date]])</f>
        <v>2019</v>
      </c>
      <c r="O666" s="10" cm="1">
        <f t="array" ref="O666">_xlfn.SWITCH(HR_Data5[[#This Row],[Performance Score]],
"A",5,
"B",4,
"C",3,
"D",2,
"F",1)</f>
        <v>2</v>
      </c>
      <c r="P666" s="10"/>
    </row>
    <row r="667" spans="1:16" x14ac:dyDescent="0.3">
      <c r="A667" t="s">
        <v>54</v>
      </c>
      <c r="B667">
        <v>50</v>
      </c>
      <c r="C667" s="6">
        <v>55000</v>
      </c>
      <c r="D667" t="s">
        <v>36</v>
      </c>
      <c r="E667" t="s">
        <v>12</v>
      </c>
      <c r="F667" t="s">
        <v>20</v>
      </c>
      <c r="G667" s="7">
        <v>43549</v>
      </c>
      <c r="H667" t="s">
        <v>14</v>
      </c>
      <c r="I667" t="s">
        <v>32</v>
      </c>
      <c r="J667" t="s">
        <v>28</v>
      </c>
      <c r="K667" t="str">
        <f>IF(HR_Data5[[#This Row],[Age]]&lt;30,"Young",IF(HR_Data5[[#This Row],[Age]]&lt;=45,"Mid-Career","Senior"))</f>
        <v>Senior</v>
      </c>
      <c r="L667" s="10">
        <f ca="1">DATEDIF(HR_Data5[[#This Row],[Joining Date]],TODAY(),"Y")</f>
        <v>6</v>
      </c>
      <c r="M667" s="10" t="str">
        <f>IF(HR_Data5[[#This Row],[Salary]]&lt;55000,"Low",IF(HR_Data5[[#This Row],[Salary]]&lt;=65000,"Medium","High"))</f>
        <v>Medium</v>
      </c>
      <c r="N667" s="10">
        <f>YEAR(HR_Data5[[#This Row],[Joining Date]])</f>
        <v>2019</v>
      </c>
      <c r="O667" s="10" cm="1">
        <f t="array" ref="O667">_xlfn.SWITCH(HR_Data5[[#This Row],[Performance Score]],
"A",5,
"B",4,
"C",3,
"D",2,
"F",1)</f>
        <v>2</v>
      </c>
      <c r="P667" s="10"/>
    </row>
    <row r="668" spans="1:16" x14ac:dyDescent="0.3">
      <c r="A668" t="s">
        <v>54</v>
      </c>
      <c r="B668">
        <v>30</v>
      </c>
      <c r="C668" s="6">
        <v>70000</v>
      </c>
      <c r="D668" t="s">
        <v>18</v>
      </c>
      <c r="E668" t="s">
        <v>26</v>
      </c>
      <c r="F668" t="s">
        <v>39</v>
      </c>
      <c r="G668" s="7">
        <v>43845</v>
      </c>
      <c r="H668" t="s">
        <v>21</v>
      </c>
      <c r="I668" t="s">
        <v>69</v>
      </c>
      <c r="J668" t="s">
        <v>23</v>
      </c>
      <c r="K668" t="str">
        <f>IF(HR_Data5[[#This Row],[Age]]&lt;30,"Young",IF(HR_Data5[[#This Row],[Age]]&lt;=45,"Mid-Career","Senior"))</f>
        <v>Mid-Career</v>
      </c>
      <c r="L668" s="10">
        <f ca="1">DATEDIF(HR_Data5[[#This Row],[Joining Date]],TODAY(),"Y")</f>
        <v>6</v>
      </c>
      <c r="M668" s="10" t="str">
        <f>IF(HR_Data5[[#This Row],[Salary]]&lt;55000,"Low",IF(HR_Data5[[#This Row],[Salary]]&lt;=65000,"Medium","High"))</f>
        <v>High</v>
      </c>
      <c r="N668" s="10">
        <f>YEAR(HR_Data5[[#This Row],[Joining Date]])</f>
        <v>2020</v>
      </c>
      <c r="O668" s="10" cm="1">
        <f t="array" ref="O668">_xlfn.SWITCH(HR_Data5[[#This Row],[Performance Score]],
"A",5,
"B",4,
"C",3,
"D",2,
"F",1)</f>
        <v>1</v>
      </c>
      <c r="P668" s="10"/>
    </row>
    <row r="669" spans="1:16" x14ac:dyDescent="0.3">
      <c r="A669" t="s">
        <v>54</v>
      </c>
      <c r="B669">
        <v>40</v>
      </c>
      <c r="C669" s="6" t="s">
        <v>68</v>
      </c>
      <c r="D669" t="s">
        <v>18</v>
      </c>
      <c r="E669" t="s">
        <v>30</v>
      </c>
      <c r="F669" t="s">
        <v>43</v>
      </c>
      <c r="G669" s="7">
        <v>43881</v>
      </c>
      <c r="H669" t="s">
        <v>41</v>
      </c>
      <c r="I669" t="s">
        <v>22</v>
      </c>
      <c r="J669" t="s">
        <v>23</v>
      </c>
      <c r="K669" t="str">
        <f>IF(HR_Data5[[#This Row],[Age]]&lt;30,"Young",IF(HR_Data5[[#This Row],[Age]]&lt;=45,"Mid-Career","Senior"))</f>
        <v>Mid-Career</v>
      </c>
      <c r="L669" s="10">
        <f ca="1">DATEDIF(HR_Data5[[#This Row],[Joining Date]],TODAY(),"Y")</f>
        <v>6</v>
      </c>
      <c r="M669" s="10" t="str">
        <f>IF(HR_Data5[[#This Row],[Salary]]&lt;55000,"Low",IF(HR_Data5[[#This Row],[Salary]]&lt;=65000,"Medium","High"))</f>
        <v>High</v>
      </c>
      <c r="N669" s="10">
        <f>YEAR(HR_Data5[[#This Row],[Joining Date]])</f>
        <v>2020</v>
      </c>
      <c r="O669" s="10" cm="1">
        <f t="array" ref="O669">_xlfn.SWITCH(HR_Data5[[#This Row],[Performance Score]],
"A",5,
"B",4,
"C",3,
"D",2,
"F",1)</f>
        <v>4</v>
      </c>
      <c r="P669" s="10"/>
    </row>
    <row r="670" spans="1:16" x14ac:dyDescent="0.3">
      <c r="A670" t="s">
        <v>55</v>
      </c>
      <c r="B670">
        <v>35</v>
      </c>
      <c r="C670" s="6">
        <v>60000</v>
      </c>
      <c r="D670" t="s">
        <v>11</v>
      </c>
      <c r="E670" t="s">
        <v>30</v>
      </c>
      <c r="F670" t="s">
        <v>13</v>
      </c>
      <c r="G670" s="7">
        <v>43549</v>
      </c>
      <c r="H670" t="s">
        <v>41</v>
      </c>
      <c r="I670" t="s">
        <v>15</v>
      </c>
      <c r="J670" t="s">
        <v>69</v>
      </c>
      <c r="K670" t="str">
        <f>IF(HR_Data5[[#This Row],[Age]]&lt;30,"Young",IF(HR_Data5[[#This Row],[Age]]&lt;=45,"Mid-Career","Senior"))</f>
        <v>Mid-Career</v>
      </c>
      <c r="L670" s="10">
        <f ca="1">DATEDIF(HR_Data5[[#This Row],[Joining Date]],TODAY(),"Y")</f>
        <v>6</v>
      </c>
      <c r="M670" s="10" t="str">
        <f>IF(HR_Data5[[#This Row],[Salary]]&lt;55000,"Low",IF(HR_Data5[[#This Row],[Salary]]&lt;=65000,"Medium","High"))</f>
        <v>Medium</v>
      </c>
      <c r="N670" s="10">
        <f>YEAR(HR_Data5[[#This Row],[Joining Date]])</f>
        <v>2019</v>
      </c>
      <c r="O670" s="10" cm="1">
        <f t="array" ref="O670">_xlfn.SWITCH(HR_Data5[[#This Row],[Performance Score]],
"A",5,
"B",4,
"C",3,
"D",2,
"F",1)</f>
        <v>4</v>
      </c>
      <c r="P670" s="10"/>
    </row>
    <row r="671" spans="1:16" x14ac:dyDescent="0.3">
      <c r="A671" t="s">
        <v>55</v>
      </c>
      <c r="B671">
        <v>25</v>
      </c>
      <c r="C671" s="6">
        <v>60000</v>
      </c>
      <c r="D671" t="s">
        <v>36</v>
      </c>
      <c r="E671" t="s">
        <v>26</v>
      </c>
      <c r="F671" t="s">
        <v>20</v>
      </c>
      <c r="G671" s="7">
        <v>43195</v>
      </c>
      <c r="H671" t="s">
        <v>31</v>
      </c>
      <c r="I671" t="s">
        <v>32</v>
      </c>
      <c r="J671" t="s">
        <v>23</v>
      </c>
      <c r="K671" t="str">
        <f>IF(HR_Data5[[#This Row],[Age]]&lt;30,"Young",IF(HR_Data5[[#This Row],[Age]]&lt;=45,"Mid-Career","Senior"))</f>
        <v>Young</v>
      </c>
      <c r="L671" s="10">
        <f ca="1">DATEDIF(HR_Data5[[#This Row],[Joining Date]],TODAY(),"Y")</f>
        <v>7</v>
      </c>
      <c r="M671" s="10" t="str">
        <f>IF(HR_Data5[[#This Row],[Salary]]&lt;55000,"Low",IF(HR_Data5[[#This Row],[Salary]]&lt;=65000,"Medium","High"))</f>
        <v>Medium</v>
      </c>
      <c r="N671" s="10">
        <f>YEAR(HR_Data5[[#This Row],[Joining Date]])</f>
        <v>2018</v>
      </c>
      <c r="O671" s="10" cm="1">
        <f t="array" ref="O671">_xlfn.SWITCH(HR_Data5[[#This Row],[Performance Score]],
"A",5,
"B",4,
"C",3,
"D",2,
"F",1)</f>
        <v>5</v>
      </c>
      <c r="P671" s="10"/>
    </row>
    <row r="672" spans="1:16" x14ac:dyDescent="0.3">
      <c r="A672" t="s">
        <v>56</v>
      </c>
      <c r="B672">
        <v>25</v>
      </c>
      <c r="C672" s="6">
        <v>55000</v>
      </c>
      <c r="D672" t="s">
        <v>18</v>
      </c>
      <c r="E672" t="s">
        <v>26</v>
      </c>
      <c r="F672" t="s">
        <v>20</v>
      </c>
      <c r="G672" s="7">
        <v>43195</v>
      </c>
      <c r="H672" t="s">
        <v>41</v>
      </c>
      <c r="I672" t="s">
        <v>32</v>
      </c>
      <c r="J672" t="s">
        <v>23</v>
      </c>
      <c r="K672" t="str">
        <f>IF(HR_Data5[[#This Row],[Age]]&lt;30,"Young",IF(HR_Data5[[#This Row],[Age]]&lt;=45,"Mid-Career","Senior"))</f>
        <v>Young</v>
      </c>
      <c r="L672" s="10">
        <f ca="1">DATEDIF(HR_Data5[[#This Row],[Joining Date]],TODAY(),"Y")</f>
        <v>7</v>
      </c>
      <c r="M672" s="10" t="str">
        <f>IF(HR_Data5[[#This Row],[Salary]]&lt;55000,"Low",IF(HR_Data5[[#This Row],[Salary]]&lt;=65000,"Medium","High"))</f>
        <v>Medium</v>
      </c>
      <c r="N672" s="10">
        <f>YEAR(HR_Data5[[#This Row],[Joining Date]])</f>
        <v>2018</v>
      </c>
      <c r="O672" s="10" cm="1">
        <f t="array" ref="O672">_xlfn.SWITCH(HR_Data5[[#This Row],[Performance Score]],
"A",5,
"B",4,
"C",3,
"D",2,
"F",1)</f>
        <v>4</v>
      </c>
      <c r="P672" s="10"/>
    </row>
    <row r="673" spans="1:16" x14ac:dyDescent="0.3">
      <c r="A673" t="s">
        <v>59</v>
      </c>
      <c r="B673">
        <v>36</v>
      </c>
      <c r="C673" s="6">
        <v>50000</v>
      </c>
      <c r="D673" t="s">
        <v>18</v>
      </c>
      <c r="E673" t="s">
        <v>37</v>
      </c>
      <c r="F673" t="s">
        <v>43</v>
      </c>
      <c r="G673" s="7">
        <v>43800</v>
      </c>
      <c r="H673" t="s">
        <v>41</v>
      </c>
      <c r="I673" t="s">
        <v>69</v>
      </c>
      <c r="J673" t="s">
        <v>69</v>
      </c>
      <c r="K673" t="str">
        <f>IF(HR_Data5[[#This Row],[Age]]&lt;30,"Young",IF(HR_Data5[[#This Row],[Age]]&lt;=45,"Mid-Career","Senior"))</f>
        <v>Mid-Career</v>
      </c>
      <c r="L673" s="10">
        <f ca="1">DATEDIF(HR_Data5[[#This Row],[Joining Date]],TODAY(),"Y")</f>
        <v>6</v>
      </c>
      <c r="M673" s="10" t="str">
        <f>IF(HR_Data5[[#This Row],[Salary]]&lt;55000,"Low",IF(HR_Data5[[#This Row],[Salary]]&lt;=65000,"Medium","High"))</f>
        <v>Low</v>
      </c>
      <c r="N673" s="10">
        <f>YEAR(HR_Data5[[#This Row],[Joining Date]])</f>
        <v>2019</v>
      </c>
      <c r="O673" s="10" cm="1">
        <f t="array" ref="O673">_xlfn.SWITCH(HR_Data5[[#This Row],[Performance Score]],
"A",5,
"B",4,
"C",3,
"D",2,
"F",1)</f>
        <v>4</v>
      </c>
      <c r="P673" s="10"/>
    </row>
    <row r="674" spans="1:16" x14ac:dyDescent="0.3">
      <c r="A674" t="s">
        <v>54</v>
      </c>
      <c r="B674">
        <v>30</v>
      </c>
      <c r="C674" s="6">
        <v>70000</v>
      </c>
      <c r="D674" t="s">
        <v>18</v>
      </c>
      <c r="E674" t="s">
        <v>26</v>
      </c>
      <c r="F674" t="s">
        <v>13</v>
      </c>
      <c r="G674" s="7">
        <v>43195</v>
      </c>
      <c r="H674" t="s">
        <v>21</v>
      </c>
      <c r="I674" t="s">
        <v>32</v>
      </c>
      <c r="J674" t="s">
        <v>69</v>
      </c>
      <c r="K674" t="str">
        <f>IF(HR_Data5[[#This Row],[Age]]&lt;30,"Young",IF(HR_Data5[[#This Row],[Age]]&lt;=45,"Mid-Career","Senior"))</f>
        <v>Mid-Career</v>
      </c>
      <c r="L674" s="10">
        <f ca="1">DATEDIF(HR_Data5[[#This Row],[Joining Date]],TODAY(),"Y")</f>
        <v>7</v>
      </c>
      <c r="M674" s="10" t="str">
        <f>IF(HR_Data5[[#This Row],[Salary]]&lt;55000,"Low",IF(HR_Data5[[#This Row],[Salary]]&lt;=65000,"Medium","High"))</f>
        <v>High</v>
      </c>
      <c r="N674" s="10">
        <f>YEAR(HR_Data5[[#This Row],[Joining Date]])</f>
        <v>2018</v>
      </c>
      <c r="O674" s="10" cm="1">
        <f t="array" ref="O674">_xlfn.SWITCH(HR_Data5[[#This Row],[Performance Score]],
"A",5,
"B",4,
"C",3,
"D",2,
"F",1)</f>
        <v>1</v>
      </c>
      <c r="P674" s="10"/>
    </row>
    <row r="675" spans="1:16" x14ac:dyDescent="0.3">
      <c r="A675" t="s">
        <v>60</v>
      </c>
      <c r="B675">
        <v>36</v>
      </c>
      <c r="C675" s="6">
        <v>50000</v>
      </c>
      <c r="D675" t="s">
        <v>18</v>
      </c>
      <c r="E675" t="s">
        <v>19</v>
      </c>
      <c r="F675" t="s">
        <v>13</v>
      </c>
      <c r="G675" s="7">
        <v>43800</v>
      </c>
      <c r="H675" t="s">
        <v>14</v>
      </c>
      <c r="I675" t="s">
        <v>22</v>
      </c>
      <c r="J675" t="s">
        <v>45</v>
      </c>
      <c r="K675" t="str">
        <f>IF(HR_Data5[[#This Row],[Age]]&lt;30,"Young",IF(HR_Data5[[#This Row],[Age]]&lt;=45,"Mid-Career","Senior"))</f>
        <v>Mid-Career</v>
      </c>
      <c r="L675" s="10">
        <f ca="1">DATEDIF(HR_Data5[[#This Row],[Joining Date]],TODAY(),"Y")</f>
        <v>6</v>
      </c>
      <c r="M675" s="10" t="str">
        <f>IF(HR_Data5[[#This Row],[Salary]]&lt;55000,"Low",IF(HR_Data5[[#This Row],[Salary]]&lt;=65000,"Medium","High"))</f>
        <v>Low</v>
      </c>
      <c r="N675" s="10">
        <f>YEAR(HR_Data5[[#This Row],[Joining Date]])</f>
        <v>2019</v>
      </c>
      <c r="O675" s="10" cm="1">
        <f t="array" ref="O675">_xlfn.SWITCH(HR_Data5[[#This Row],[Performance Score]],
"A",5,
"B",4,
"C",3,
"D",2,
"F",1)</f>
        <v>2</v>
      </c>
      <c r="P675" s="10"/>
    </row>
    <row r="676" spans="1:16" x14ac:dyDescent="0.3">
      <c r="A676" t="s">
        <v>59</v>
      </c>
      <c r="B676">
        <v>35</v>
      </c>
      <c r="C676" s="6">
        <v>65000</v>
      </c>
      <c r="D676" t="s">
        <v>18</v>
      </c>
      <c r="E676" t="s">
        <v>30</v>
      </c>
      <c r="F676" t="s">
        <v>43</v>
      </c>
      <c r="G676" s="7">
        <v>43845</v>
      </c>
      <c r="H676" t="s">
        <v>14</v>
      </c>
      <c r="I676" t="s">
        <v>32</v>
      </c>
      <c r="J676" t="s">
        <v>45</v>
      </c>
      <c r="K676" t="str">
        <f>IF(HR_Data5[[#This Row],[Age]]&lt;30,"Young",IF(HR_Data5[[#This Row],[Age]]&lt;=45,"Mid-Career","Senior"))</f>
        <v>Mid-Career</v>
      </c>
      <c r="L676" s="10">
        <f ca="1">DATEDIF(HR_Data5[[#This Row],[Joining Date]],TODAY(),"Y")</f>
        <v>6</v>
      </c>
      <c r="M676" s="10" t="str">
        <f>IF(HR_Data5[[#This Row],[Salary]]&lt;55000,"Low",IF(HR_Data5[[#This Row],[Salary]]&lt;=65000,"Medium","High"))</f>
        <v>Medium</v>
      </c>
      <c r="N676" s="10">
        <f>YEAR(HR_Data5[[#This Row],[Joining Date]])</f>
        <v>2020</v>
      </c>
      <c r="O676" s="10" cm="1">
        <f t="array" ref="O676">_xlfn.SWITCH(HR_Data5[[#This Row],[Performance Score]],
"A",5,
"B",4,
"C",3,
"D",2,
"F",1)</f>
        <v>2</v>
      </c>
      <c r="P676" s="10"/>
    </row>
    <row r="677" spans="1:16" x14ac:dyDescent="0.3">
      <c r="A677" t="s">
        <v>56</v>
      </c>
      <c r="B677">
        <v>36</v>
      </c>
      <c r="C677" s="6">
        <v>65000</v>
      </c>
      <c r="D677" t="s">
        <v>18</v>
      </c>
      <c r="E677" t="s">
        <v>26</v>
      </c>
      <c r="F677" t="s">
        <v>44</v>
      </c>
      <c r="G677" s="7">
        <v>43845</v>
      </c>
      <c r="H677" t="s">
        <v>21</v>
      </c>
      <c r="I677" t="s">
        <v>69</v>
      </c>
      <c r="J677" t="s">
        <v>28</v>
      </c>
      <c r="K677" t="str">
        <f>IF(HR_Data5[[#This Row],[Age]]&lt;30,"Young",IF(HR_Data5[[#This Row],[Age]]&lt;=45,"Mid-Career","Senior"))</f>
        <v>Mid-Career</v>
      </c>
      <c r="L677" s="10">
        <f ca="1">DATEDIF(HR_Data5[[#This Row],[Joining Date]],TODAY(),"Y")</f>
        <v>6</v>
      </c>
      <c r="M677" s="10" t="str">
        <f>IF(HR_Data5[[#This Row],[Salary]]&lt;55000,"Low",IF(HR_Data5[[#This Row],[Salary]]&lt;=65000,"Medium","High"))</f>
        <v>Medium</v>
      </c>
      <c r="N677" s="10">
        <f>YEAR(HR_Data5[[#This Row],[Joining Date]])</f>
        <v>2020</v>
      </c>
      <c r="O677" s="10" cm="1">
        <f t="array" ref="O677">_xlfn.SWITCH(HR_Data5[[#This Row],[Performance Score]],
"A",5,
"B",4,
"C",3,
"D",2,
"F",1)</f>
        <v>1</v>
      </c>
      <c r="P677" s="10"/>
    </row>
    <row r="678" spans="1:16" x14ac:dyDescent="0.3">
      <c r="A678" t="s">
        <v>52</v>
      </c>
      <c r="B678">
        <v>50</v>
      </c>
      <c r="C678" s="6" t="s">
        <v>68</v>
      </c>
      <c r="D678" t="s">
        <v>11</v>
      </c>
      <c r="E678" t="s">
        <v>19</v>
      </c>
      <c r="F678" t="s">
        <v>20</v>
      </c>
      <c r="G678" s="7">
        <v>43845</v>
      </c>
      <c r="H678" t="s">
        <v>41</v>
      </c>
      <c r="I678" t="s">
        <v>22</v>
      </c>
      <c r="J678" t="s">
        <v>69</v>
      </c>
      <c r="K678" t="str">
        <f>IF(HR_Data5[[#This Row],[Age]]&lt;30,"Young",IF(HR_Data5[[#This Row],[Age]]&lt;=45,"Mid-Career","Senior"))</f>
        <v>Senior</v>
      </c>
      <c r="L678" s="10">
        <f ca="1">DATEDIF(HR_Data5[[#This Row],[Joining Date]],TODAY(),"Y")</f>
        <v>6</v>
      </c>
      <c r="M678" s="10" t="str">
        <f>IF(HR_Data5[[#This Row],[Salary]]&lt;55000,"Low",IF(HR_Data5[[#This Row],[Salary]]&lt;=65000,"Medium","High"))</f>
        <v>High</v>
      </c>
      <c r="N678" s="10">
        <f>YEAR(HR_Data5[[#This Row],[Joining Date]])</f>
        <v>2020</v>
      </c>
      <c r="O678" s="10" cm="1">
        <f t="array" ref="O678">_xlfn.SWITCH(HR_Data5[[#This Row],[Performance Score]],
"A",5,
"B",4,
"C",3,
"D",2,
"F",1)</f>
        <v>4</v>
      </c>
      <c r="P678" s="10"/>
    </row>
    <row r="679" spans="1:16" x14ac:dyDescent="0.3">
      <c r="A679" t="s">
        <v>59</v>
      </c>
      <c r="B679">
        <v>25</v>
      </c>
      <c r="C679" s="6">
        <v>55000</v>
      </c>
      <c r="D679" t="s">
        <v>36</v>
      </c>
      <c r="E679" t="s">
        <v>19</v>
      </c>
      <c r="F679" t="s">
        <v>20</v>
      </c>
      <c r="G679" s="7">
        <v>43881</v>
      </c>
      <c r="H679" t="s">
        <v>21</v>
      </c>
      <c r="I679" t="s">
        <v>15</v>
      </c>
      <c r="J679" t="s">
        <v>28</v>
      </c>
      <c r="K679" t="str">
        <f>IF(HR_Data5[[#This Row],[Age]]&lt;30,"Young",IF(HR_Data5[[#This Row],[Age]]&lt;=45,"Mid-Career","Senior"))</f>
        <v>Young</v>
      </c>
      <c r="L679" s="10">
        <f ca="1">DATEDIF(HR_Data5[[#This Row],[Joining Date]],TODAY(),"Y")</f>
        <v>6</v>
      </c>
      <c r="M679" s="10" t="str">
        <f>IF(HR_Data5[[#This Row],[Salary]]&lt;55000,"Low",IF(HR_Data5[[#This Row],[Salary]]&lt;=65000,"Medium","High"))</f>
        <v>Medium</v>
      </c>
      <c r="N679" s="10">
        <f>YEAR(HR_Data5[[#This Row],[Joining Date]])</f>
        <v>2020</v>
      </c>
      <c r="O679" s="10" cm="1">
        <f t="array" ref="O679">_xlfn.SWITCH(HR_Data5[[#This Row],[Performance Score]],
"A",5,
"B",4,
"C",3,
"D",2,
"F",1)</f>
        <v>1</v>
      </c>
      <c r="P679" s="10"/>
    </row>
    <row r="680" spans="1:16" x14ac:dyDescent="0.3">
      <c r="A680" t="s">
        <v>59</v>
      </c>
      <c r="B680">
        <v>25</v>
      </c>
      <c r="C680" s="6">
        <v>55000</v>
      </c>
      <c r="D680" t="s">
        <v>36</v>
      </c>
      <c r="E680" t="s">
        <v>19</v>
      </c>
      <c r="F680" t="s">
        <v>39</v>
      </c>
      <c r="G680" s="7">
        <v>43881</v>
      </c>
      <c r="H680" t="s">
        <v>31</v>
      </c>
      <c r="I680" t="s">
        <v>15</v>
      </c>
      <c r="J680" t="s">
        <v>45</v>
      </c>
      <c r="K680" t="str">
        <f>IF(HR_Data5[[#This Row],[Age]]&lt;30,"Young",IF(HR_Data5[[#This Row],[Age]]&lt;=45,"Mid-Career","Senior"))</f>
        <v>Young</v>
      </c>
      <c r="L680" s="10">
        <f ca="1">DATEDIF(HR_Data5[[#This Row],[Joining Date]],TODAY(),"Y")</f>
        <v>6</v>
      </c>
      <c r="M680" s="10" t="str">
        <f>IF(HR_Data5[[#This Row],[Salary]]&lt;55000,"Low",IF(HR_Data5[[#This Row],[Salary]]&lt;=65000,"Medium","High"))</f>
        <v>Medium</v>
      </c>
      <c r="N680" s="10">
        <f>YEAR(HR_Data5[[#This Row],[Joining Date]])</f>
        <v>2020</v>
      </c>
      <c r="O680" s="10" cm="1">
        <f t="array" ref="O680">_xlfn.SWITCH(HR_Data5[[#This Row],[Performance Score]],
"A",5,
"B",4,
"C",3,
"D",2,
"F",1)</f>
        <v>5</v>
      </c>
      <c r="P680" s="10"/>
    </row>
    <row r="681" spans="1:16" x14ac:dyDescent="0.3">
      <c r="A681" t="s">
        <v>53</v>
      </c>
      <c r="B681">
        <v>40</v>
      </c>
      <c r="C681" s="6">
        <v>55000</v>
      </c>
      <c r="D681" t="s">
        <v>18</v>
      </c>
      <c r="E681" t="s">
        <v>19</v>
      </c>
      <c r="F681" t="s">
        <v>43</v>
      </c>
      <c r="G681" s="7">
        <v>43800</v>
      </c>
      <c r="H681" t="s">
        <v>14</v>
      </c>
      <c r="I681" t="s">
        <v>69</v>
      </c>
      <c r="J681" t="s">
        <v>69</v>
      </c>
      <c r="K681" t="str">
        <f>IF(HR_Data5[[#This Row],[Age]]&lt;30,"Young",IF(HR_Data5[[#This Row],[Age]]&lt;=45,"Mid-Career","Senior"))</f>
        <v>Mid-Career</v>
      </c>
      <c r="L681" s="10">
        <f ca="1">DATEDIF(HR_Data5[[#This Row],[Joining Date]],TODAY(),"Y")</f>
        <v>6</v>
      </c>
      <c r="M681" s="10" t="str">
        <f>IF(HR_Data5[[#This Row],[Salary]]&lt;55000,"Low",IF(HR_Data5[[#This Row],[Salary]]&lt;=65000,"Medium","High"))</f>
        <v>Medium</v>
      </c>
      <c r="N681" s="10">
        <f>YEAR(HR_Data5[[#This Row],[Joining Date]])</f>
        <v>2019</v>
      </c>
      <c r="O681" s="10" cm="1">
        <f t="array" ref="O681">_xlfn.SWITCH(HR_Data5[[#This Row],[Performance Score]],
"A",5,
"B",4,
"C",3,
"D",2,
"F",1)</f>
        <v>2</v>
      </c>
      <c r="P681" s="10"/>
    </row>
    <row r="682" spans="1:16" x14ac:dyDescent="0.3">
      <c r="A682" t="s">
        <v>58</v>
      </c>
      <c r="B682">
        <v>40</v>
      </c>
      <c r="C682" s="6" t="s">
        <v>68</v>
      </c>
      <c r="D682" t="s">
        <v>36</v>
      </c>
      <c r="E682" t="s">
        <v>37</v>
      </c>
      <c r="F682" t="s">
        <v>39</v>
      </c>
      <c r="G682" s="7">
        <v>43195</v>
      </c>
      <c r="H682" t="s">
        <v>27</v>
      </c>
      <c r="I682" t="s">
        <v>69</v>
      </c>
      <c r="J682" t="s">
        <v>23</v>
      </c>
      <c r="K682" t="str">
        <f>IF(HR_Data5[[#This Row],[Age]]&lt;30,"Young",IF(HR_Data5[[#This Row],[Age]]&lt;=45,"Mid-Career","Senior"))</f>
        <v>Mid-Career</v>
      </c>
      <c r="L682" s="10">
        <f ca="1">DATEDIF(HR_Data5[[#This Row],[Joining Date]],TODAY(),"Y")</f>
        <v>7</v>
      </c>
      <c r="M682" s="10" t="str">
        <f>IF(HR_Data5[[#This Row],[Salary]]&lt;55000,"Low",IF(HR_Data5[[#This Row],[Salary]]&lt;=65000,"Medium","High"))</f>
        <v>High</v>
      </c>
      <c r="N682" s="10">
        <f>YEAR(HR_Data5[[#This Row],[Joining Date]])</f>
        <v>2018</v>
      </c>
      <c r="O682" s="10" cm="1">
        <f t="array" ref="O682">_xlfn.SWITCH(HR_Data5[[#This Row],[Performance Score]],
"A",5,
"B",4,
"C",3,
"D",2,
"F",1)</f>
        <v>3</v>
      </c>
      <c r="P682" s="10"/>
    </row>
    <row r="683" spans="1:16" x14ac:dyDescent="0.3">
      <c r="A683" t="s">
        <v>53</v>
      </c>
      <c r="B683">
        <v>35</v>
      </c>
      <c r="C683" s="6">
        <v>65000</v>
      </c>
      <c r="D683" t="s">
        <v>36</v>
      </c>
      <c r="E683" t="s">
        <v>19</v>
      </c>
      <c r="F683" t="s">
        <v>39</v>
      </c>
      <c r="G683" s="7">
        <v>43195</v>
      </c>
      <c r="H683" t="s">
        <v>31</v>
      </c>
      <c r="I683" t="s">
        <v>69</v>
      </c>
      <c r="J683" t="s">
        <v>45</v>
      </c>
      <c r="K683" t="str">
        <f>IF(HR_Data5[[#This Row],[Age]]&lt;30,"Young",IF(HR_Data5[[#This Row],[Age]]&lt;=45,"Mid-Career","Senior"))</f>
        <v>Mid-Career</v>
      </c>
      <c r="L683" s="10">
        <f ca="1">DATEDIF(HR_Data5[[#This Row],[Joining Date]],TODAY(),"Y")</f>
        <v>7</v>
      </c>
      <c r="M683" s="10" t="str">
        <f>IF(HR_Data5[[#This Row],[Salary]]&lt;55000,"Low",IF(HR_Data5[[#This Row],[Salary]]&lt;=65000,"Medium","High"))</f>
        <v>Medium</v>
      </c>
      <c r="N683" s="10">
        <f>YEAR(HR_Data5[[#This Row],[Joining Date]])</f>
        <v>2018</v>
      </c>
      <c r="O683" s="10" cm="1">
        <f t="array" ref="O683">_xlfn.SWITCH(HR_Data5[[#This Row],[Performance Score]],
"A",5,
"B",4,
"C",3,
"D",2,
"F",1)</f>
        <v>5</v>
      </c>
      <c r="P683" s="10"/>
    </row>
    <row r="684" spans="1:16" x14ac:dyDescent="0.3">
      <c r="A684" t="s">
        <v>51</v>
      </c>
      <c r="B684">
        <v>50</v>
      </c>
      <c r="C684" s="6">
        <v>50000</v>
      </c>
      <c r="D684" t="s">
        <v>36</v>
      </c>
      <c r="E684" t="s">
        <v>37</v>
      </c>
      <c r="F684" t="s">
        <v>13</v>
      </c>
      <c r="G684" s="7">
        <v>43845</v>
      </c>
      <c r="H684" t="s">
        <v>31</v>
      </c>
      <c r="I684" t="s">
        <v>15</v>
      </c>
      <c r="J684" t="s">
        <v>69</v>
      </c>
      <c r="K684" t="str">
        <f>IF(HR_Data5[[#This Row],[Age]]&lt;30,"Young",IF(HR_Data5[[#This Row],[Age]]&lt;=45,"Mid-Career","Senior"))</f>
        <v>Senior</v>
      </c>
      <c r="L684" s="10">
        <f ca="1">DATEDIF(HR_Data5[[#This Row],[Joining Date]],TODAY(),"Y")</f>
        <v>6</v>
      </c>
      <c r="M684" s="10" t="str">
        <f>IF(HR_Data5[[#This Row],[Salary]]&lt;55000,"Low",IF(HR_Data5[[#This Row],[Salary]]&lt;=65000,"Medium","High"))</f>
        <v>Low</v>
      </c>
      <c r="N684" s="10">
        <f>YEAR(HR_Data5[[#This Row],[Joining Date]])</f>
        <v>2020</v>
      </c>
      <c r="O684" s="10" cm="1">
        <f t="array" ref="O684">_xlfn.SWITCH(HR_Data5[[#This Row],[Performance Score]],
"A",5,
"B",4,
"C",3,
"D",2,
"F",1)</f>
        <v>5</v>
      </c>
      <c r="P684" s="10"/>
    </row>
    <row r="685" spans="1:16" x14ac:dyDescent="0.3">
      <c r="A685" t="s">
        <v>55</v>
      </c>
      <c r="B685">
        <v>30</v>
      </c>
      <c r="C685" s="6" t="s">
        <v>68</v>
      </c>
      <c r="D685" t="s">
        <v>18</v>
      </c>
      <c r="E685" t="s">
        <v>37</v>
      </c>
      <c r="F685" t="s">
        <v>20</v>
      </c>
      <c r="G685" s="7">
        <v>43549</v>
      </c>
      <c r="H685" t="s">
        <v>21</v>
      </c>
      <c r="I685" t="s">
        <v>15</v>
      </c>
      <c r="J685" t="s">
        <v>45</v>
      </c>
      <c r="K685" t="str">
        <f>IF(HR_Data5[[#This Row],[Age]]&lt;30,"Young",IF(HR_Data5[[#This Row],[Age]]&lt;=45,"Mid-Career","Senior"))</f>
        <v>Mid-Career</v>
      </c>
      <c r="L685" s="10">
        <f ca="1">DATEDIF(HR_Data5[[#This Row],[Joining Date]],TODAY(),"Y")</f>
        <v>6</v>
      </c>
      <c r="M685" s="10" t="str">
        <f>IF(HR_Data5[[#This Row],[Salary]]&lt;55000,"Low",IF(HR_Data5[[#This Row],[Salary]]&lt;=65000,"Medium","High"))</f>
        <v>High</v>
      </c>
      <c r="N685" s="10">
        <f>YEAR(HR_Data5[[#This Row],[Joining Date]])</f>
        <v>2019</v>
      </c>
      <c r="O685" s="10" cm="1">
        <f t="array" ref="O685">_xlfn.SWITCH(HR_Data5[[#This Row],[Performance Score]],
"A",5,
"B",4,
"C",3,
"D",2,
"F",1)</f>
        <v>1</v>
      </c>
      <c r="P685" s="10"/>
    </row>
    <row r="686" spans="1:16" x14ac:dyDescent="0.3">
      <c r="A686" t="s">
        <v>55</v>
      </c>
      <c r="B686">
        <v>36</v>
      </c>
      <c r="C686" s="6" t="s">
        <v>68</v>
      </c>
      <c r="D686" t="s">
        <v>18</v>
      </c>
      <c r="E686" t="s">
        <v>19</v>
      </c>
      <c r="F686" t="s">
        <v>39</v>
      </c>
      <c r="G686" s="7">
        <v>43881</v>
      </c>
      <c r="H686" t="s">
        <v>41</v>
      </c>
      <c r="I686" t="s">
        <v>15</v>
      </c>
      <c r="J686" t="s">
        <v>69</v>
      </c>
      <c r="K686" t="str">
        <f>IF(HR_Data5[[#This Row],[Age]]&lt;30,"Young",IF(HR_Data5[[#This Row],[Age]]&lt;=45,"Mid-Career","Senior"))</f>
        <v>Mid-Career</v>
      </c>
      <c r="L686" s="10">
        <f ca="1">DATEDIF(HR_Data5[[#This Row],[Joining Date]],TODAY(),"Y")</f>
        <v>6</v>
      </c>
      <c r="M686" s="10" t="str">
        <f>IF(HR_Data5[[#This Row],[Salary]]&lt;55000,"Low",IF(HR_Data5[[#This Row],[Salary]]&lt;=65000,"Medium","High"))</f>
        <v>High</v>
      </c>
      <c r="N686" s="10">
        <f>YEAR(HR_Data5[[#This Row],[Joining Date]])</f>
        <v>2020</v>
      </c>
      <c r="O686" s="10" cm="1">
        <f t="array" ref="O686">_xlfn.SWITCH(HR_Data5[[#This Row],[Performance Score]],
"A",5,
"B",4,
"C",3,
"D",2,
"F",1)</f>
        <v>4</v>
      </c>
      <c r="P686" s="10"/>
    </row>
    <row r="687" spans="1:16" x14ac:dyDescent="0.3">
      <c r="A687" t="s">
        <v>58</v>
      </c>
      <c r="B687">
        <v>35</v>
      </c>
      <c r="C687" s="6">
        <v>50000</v>
      </c>
      <c r="D687" t="s">
        <v>36</v>
      </c>
      <c r="E687" t="s">
        <v>30</v>
      </c>
      <c r="F687" t="s">
        <v>13</v>
      </c>
      <c r="G687" s="7">
        <v>43881</v>
      </c>
      <c r="H687" t="s">
        <v>14</v>
      </c>
      <c r="I687" t="s">
        <v>15</v>
      </c>
      <c r="J687" t="s">
        <v>69</v>
      </c>
      <c r="K687" t="str">
        <f>IF(HR_Data5[[#This Row],[Age]]&lt;30,"Young",IF(HR_Data5[[#This Row],[Age]]&lt;=45,"Mid-Career","Senior"))</f>
        <v>Mid-Career</v>
      </c>
      <c r="L687" s="10">
        <f ca="1">DATEDIF(HR_Data5[[#This Row],[Joining Date]],TODAY(),"Y")</f>
        <v>6</v>
      </c>
      <c r="M687" s="10" t="str">
        <f>IF(HR_Data5[[#This Row],[Salary]]&lt;55000,"Low",IF(HR_Data5[[#This Row],[Salary]]&lt;=65000,"Medium","High"))</f>
        <v>Low</v>
      </c>
      <c r="N687" s="10">
        <f>YEAR(HR_Data5[[#This Row],[Joining Date]])</f>
        <v>2020</v>
      </c>
      <c r="O687" s="10" cm="1">
        <f t="array" ref="O687">_xlfn.SWITCH(HR_Data5[[#This Row],[Performance Score]],
"A",5,
"B",4,
"C",3,
"D",2,
"F",1)</f>
        <v>2</v>
      </c>
      <c r="P687" s="10"/>
    </row>
    <row r="688" spans="1:16" x14ac:dyDescent="0.3">
      <c r="A688" t="s">
        <v>57</v>
      </c>
      <c r="B688">
        <v>40</v>
      </c>
      <c r="C688" s="6">
        <v>55000</v>
      </c>
      <c r="D688" t="s">
        <v>36</v>
      </c>
      <c r="E688" t="s">
        <v>19</v>
      </c>
      <c r="F688" t="s">
        <v>43</v>
      </c>
      <c r="G688" s="7">
        <v>43845</v>
      </c>
      <c r="H688" t="s">
        <v>27</v>
      </c>
      <c r="I688" t="s">
        <v>32</v>
      </c>
      <c r="J688" t="s">
        <v>69</v>
      </c>
      <c r="K688" t="str">
        <f>IF(HR_Data5[[#This Row],[Age]]&lt;30,"Young",IF(HR_Data5[[#This Row],[Age]]&lt;=45,"Mid-Career","Senior"))</f>
        <v>Mid-Career</v>
      </c>
      <c r="L688" s="10">
        <f ca="1">DATEDIF(HR_Data5[[#This Row],[Joining Date]],TODAY(),"Y")</f>
        <v>6</v>
      </c>
      <c r="M688" s="10" t="str">
        <f>IF(HR_Data5[[#This Row],[Salary]]&lt;55000,"Low",IF(HR_Data5[[#This Row],[Salary]]&lt;=65000,"Medium","High"))</f>
        <v>Medium</v>
      </c>
      <c r="N688" s="10">
        <f>YEAR(HR_Data5[[#This Row],[Joining Date]])</f>
        <v>2020</v>
      </c>
      <c r="O688" s="10" cm="1">
        <f t="array" ref="O688">_xlfn.SWITCH(HR_Data5[[#This Row],[Performance Score]],
"A",5,
"B",4,
"C",3,
"D",2,
"F",1)</f>
        <v>3</v>
      </c>
      <c r="P688" s="10"/>
    </row>
    <row r="689" spans="1:16" x14ac:dyDescent="0.3">
      <c r="A689" t="s">
        <v>57</v>
      </c>
      <c r="B689">
        <v>36</v>
      </c>
      <c r="C689" s="6">
        <v>70000</v>
      </c>
      <c r="D689" t="s">
        <v>18</v>
      </c>
      <c r="E689" t="s">
        <v>19</v>
      </c>
      <c r="F689" t="s">
        <v>39</v>
      </c>
      <c r="G689" s="7">
        <v>43881</v>
      </c>
      <c r="H689" t="s">
        <v>31</v>
      </c>
      <c r="I689" t="s">
        <v>22</v>
      </c>
      <c r="J689" t="s">
        <v>28</v>
      </c>
      <c r="K689" t="str">
        <f>IF(HR_Data5[[#This Row],[Age]]&lt;30,"Young",IF(HR_Data5[[#This Row],[Age]]&lt;=45,"Mid-Career","Senior"))</f>
        <v>Mid-Career</v>
      </c>
      <c r="L689" s="10">
        <f ca="1">DATEDIF(HR_Data5[[#This Row],[Joining Date]],TODAY(),"Y")</f>
        <v>6</v>
      </c>
      <c r="M689" s="10" t="str">
        <f>IF(HR_Data5[[#This Row],[Salary]]&lt;55000,"Low",IF(HR_Data5[[#This Row],[Salary]]&lt;=65000,"Medium","High"))</f>
        <v>High</v>
      </c>
      <c r="N689" s="10">
        <f>YEAR(HR_Data5[[#This Row],[Joining Date]])</f>
        <v>2020</v>
      </c>
      <c r="O689" s="10" cm="1">
        <f t="array" ref="O689">_xlfn.SWITCH(HR_Data5[[#This Row],[Performance Score]],
"A",5,
"B",4,
"C",3,
"D",2,
"F",1)</f>
        <v>5</v>
      </c>
      <c r="P689" s="10"/>
    </row>
    <row r="690" spans="1:16" x14ac:dyDescent="0.3">
      <c r="A690" t="s">
        <v>56</v>
      </c>
      <c r="B690">
        <v>40</v>
      </c>
      <c r="C690" s="6">
        <v>50000</v>
      </c>
      <c r="D690" t="s">
        <v>11</v>
      </c>
      <c r="E690" t="s">
        <v>19</v>
      </c>
      <c r="F690" t="s">
        <v>20</v>
      </c>
      <c r="G690" s="7">
        <v>43845</v>
      </c>
      <c r="H690" t="s">
        <v>27</v>
      </c>
      <c r="I690" t="s">
        <v>22</v>
      </c>
      <c r="J690" t="s">
        <v>69</v>
      </c>
      <c r="K690" t="str">
        <f>IF(HR_Data5[[#This Row],[Age]]&lt;30,"Young",IF(HR_Data5[[#This Row],[Age]]&lt;=45,"Mid-Career","Senior"))</f>
        <v>Mid-Career</v>
      </c>
      <c r="L690" s="10">
        <f ca="1">DATEDIF(HR_Data5[[#This Row],[Joining Date]],TODAY(),"Y")</f>
        <v>6</v>
      </c>
      <c r="M690" s="10" t="str">
        <f>IF(HR_Data5[[#This Row],[Salary]]&lt;55000,"Low",IF(HR_Data5[[#This Row],[Salary]]&lt;=65000,"Medium","High"))</f>
        <v>Low</v>
      </c>
      <c r="N690" s="10">
        <f>YEAR(HR_Data5[[#This Row],[Joining Date]])</f>
        <v>2020</v>
      </c>
      <c r="O690" s="10" cm="1">
        <f t="array" ref="O690">_xlfn.SWITCH(HR_Data5[[#This Row],[Performance Score]],
"A",5,
"B",4,
"C",3,
"D",2,
"F",1)</f>
        <v>3</v>
      </c>
      <c r="P690" s="10"/>
    </row>
    <row r="691" spans="1:16" x14ac:dyDescent="0.3">
      <c r="A691" t="s">
        <v>58</v>
      </c>
      <c r="B691">
        <v>36</v>
      </c>
      <c r="C691" s="6">
        <v>65000</v>
      </c>
      <c r="D691" t="s">
        <v>36</v>
      </c>
      <c r="E691" t="s">
        <v>30</v>
      </c>
      <c r="F691" t="s">
        <v>39</v>
      </c>
      <c r="G691" s="7">
        <v>43800</v>
      </c>
      <c r="H691" t="s">
        <v>41</v>
      </c>
      <c r="I691" t="s">
        <v>69</v>
      </c>
      <c r="J691" t="s">
        <v>45</v>
      </c>
      <c r="K691" t="str">
        <f>IF(HR_Data5[[#This Row],[Age]]&lt;30,"Young",IF(HR_Data5[[#This Row],[Age]]&lt;=45,"Mid-Career","Senior"))</f>
        <v>Mid-Career</v>
      </c>
      <c r="L691" s="10">
        <f ca="1">DATEDIF(HR_Data5[[#This Row],[Joining Date]],TODAY(),"Y")</f>
        <v>6</v>
      </c>
      <c r="M691" s="10" t="str">
        <f>IF(HR_Data5[[#This Row],[Salary]]&lt;55000,"Low",IF(HR_Data5[[#This Row],[Salary]]&lt;=65000,"Medium","High"))</f>
        <v>Medium</v>
      </c>
      <c r="N691" s="10">
        <f>YEAR(HR_Data5[[#This Row],[Joining Date]])</f>
        <v>2019</v>
      </c>
      <c r="O691" s="10" cm="1">
        <f t="array" ref="O691">_xlfn.SWITCH(HR_Data5[[#This Row],[Performance Score]],
"A",5,
"B",4,
"C",3,
"D",2,
"F",1)</f>
        <v>4</v>
      </c>
      <c r="P691" s="10"/>
    </row>
    <row r="692" spans="1:16" x14ac:dyDescent="0.3">
      <c r="A692" t="s">
        <v>59</v>
      </c>
      <c r="B692">
        <v>30</v>
      </c>
      <c r="C692" s="6">
        <v>60000</v>
      </c>
      <c r="D692" t="s">
        <v>11</v>
      </c>
      <c r="E692" t="s">
        <v>12</v>
      </c>
      <c r="F692" t="s">
        <v>43</v>
      </c>
      <c r="G692" s="7">
        <v>43195</v>
      </c>
      <c r="H692" t="s">
        <v>41</v>
      </c>
      <c r="I692" t="s">
        <v>32</v>
      </c>
      <c r="J692" t="s">
        <v>69</v>
      </c>
      <c r="K692" t="str">
        <f>IF(HR_Data5[[#This Row],[Age]]&lt;30,"Young",IF(HR_Data5[[#This Row],[Age]]&lt;=45,"Mid-Career","Senior"))</f>
        <v>Mid-Career</v>
      </c>
      <c r="L692" s="10">
        <f ca="1">DATEDIF(HR_Data5[[#This Row],[Joining Date]],TODAY(),"Y")</f>
        <v>7</v>
      </c>
      <c r="M692" s="10" t="str">
        <f>IF(HR_Data5[[#This Row],[Salary]]&lt;55000,"Low",IF(HR_Data5[[#This Row],[Salary]]&lt;=65000,"Medium","High"))</f>
        <v>Medium</v>
      </c>
      <c r="N692" s="10">
        <f>YEAR(HR_Data5[[#This Row],[Joining Date]])</f>
        <v>2018</v>
      </c>
      <c r="O692" s="10" cm="1">
        <f t="array" ref="O692">_xlfn.SWITCH(HR_Data5[[#This Row],[Performance Score]],
"A",5,
"B",4,
"C",3,
"D",2,
"F",1)</f>
        <v>4</v>
      </c>
      <c r="P692" s="10"/>
    </row>
    <row r="693" spans="1:16" x14ac:dyDescent="0.3">
      <c r="A693" t="s">
        <v>57</v>
      </c>
      <c r="B693">
        <v>35</v>
      </c>
      <c r="C693" s="6">
        <v>60000</v>
      </c>
      <c r="D693" t="s">
        <v>36</v>
      </c>
      <c r="E693" t="s">
        <v>12</v>
      </c>
      <c r="F693" t="s">
        <v>39</v>
      </c>
      <c r="G693" s="7">
        <v>43549</v>
      </c>
      <c r="H693" t="s">
        <v>27</v>
      </c>
      <c r="I693" t="s">
        <v>15</v>
      </c>
      <c r="J693" t="s">
        <v>23</v>
      </c>
      <c r="K693" t="str">
        <f>IF(HR_Data5[[#This Row],[Age]]&lt;30,"Young",IF(HR_Data5[[#This Row],[Age]]&lt;=45,"Mid-Career","Senior"))</f>
        <v>Mid-Career</v>
      </c>
      <c r="L693" s="10">
        <f ca="1">DATEDIF(HR_Data5[[#This Row],[Joining Date]],TODAY(),"Y")</f>
        <v>6</v>
      </c>
      <c r="M693" s="10" t="str">
        <f>IF(HR_Data5[[#This Row],[Salary]]&lt;55000,"Low",IF(HR_Data5[[#This Row],[Salary]]&lt;=65000,"Medium","High"))</f>
        <v>Medium</v>
      </c>
      <c r="N693" s="10">
        <f>YEAR(HR_Data5[[#This Row],[Joining Date]])</f>
        <v>2019</v>
      </c>
      <c r="O693" s="10" cm="1">
        <f t="array" ref="O693">_xlfn.SWITCH(HR_Data5[[#This Row],[Performance Score]],
"A",5,
"B",4,
"C",3,
"D",2,
"F",1)</f>
        <v>3</v>
      </c>
      <c r="P693" s="10"/>
    </row>
    <row r="694" spans="1:16" x14ac:dyDescent="0.3">
      <c r="A694" t="s">
        <v>54</v>
      </c>
      <c r="B694">
        <v>36</v>
      </c>
      <c r="C694" s="6" t="s">
        <v>68</v>
      </c>
      <c r="D694" t="s">
        <v>11</v>
      </c>
      <c r="E694" t="s">
        <v>37</v>
      </c>
      <c r="F694" t="s">
        <v>20</v>
      </c>
      <c r="G694" s="7">
        <v>43195</v>
      </c>
      <c r="H694" t="s">
        <v>14</v>
      </c>
      <c r="I694" t="s">
        <v>15</v>
      </c>
      <c r="J694" t="s">
        <v>45</v>
      </c>
      <c r="K694" t="str">
        <f>IF(HR_Data5[[#This Row],[Age]]&lt;30,"Young",IF(HR_Data5[[#This Row],[Age]]&lt;=45,"Mid-Career","Senior"))</f>
        <v>Mid-Career</v>
      </c>
      <c r="L694" s="10">
        <f ca="1">DATEDIF(HR_Data5[[#This Row],[Joining Date]],TODAY(),"Y")</f>
        <v>7</v>
      </c>
      <c r="M694" s="10" t="str">
        <f>IF(HR_Data5[[#This Row],[Salary]]&lt;55000,"Low",IF(HR_Data5[[#This Row],[Salary]]&lt;=65000,"Medium","High"))</f>
        <v>High</v>
      </c>
      <c r="N694" s="10">
        <f>YEAR(HR_Data5[[#This Row],[Joining Date]])</f>
        <v>2018</v>
      </c>
      <c r="O694" s="10" cm="1">
        <f t="array" ref="O694">_xlfn.SWITCH(HR_Data5[[#This Row],[Performance Score]],
"A",5,
"B",4,
"C",3,
"D",2,
"F",1)</f>
        <v>2</v>
      </c>
      <c r="P694" s="10"/>
    </row>
    <row r="695" spans="1:16" x14ac:dyDescent="0.3">
      <c r="A695" t="s">
        <v>60</v>
      </c>
      <c r="B695">
        <v>50</v>
      </c>
      <c r="C695" s="6">
        <v>60000</v>
      </c>
      <c r="D695" t="s">
        <v>11</v>
      </c>
      <c r="E695" t="s">
        <v>37</v>
      </c>
      <c r="F695" t="s">
        <v>13</v>
      </c>
      <c r="G695" s="7">
        <v>43195</v>
      </c>
      <c r="H695" t="s">
        <v>41</v>
      </c>
      <c r="I695" t="s">
        <v>69</v>
      </c>
      <c r="J695" t="s">
        <v>69</v>
      </c>
      <c r="K695" t="str">
        <f>IF(HR_Data5[[#This Row],[Age]]&lt;30,"Young",IF(HR_Data5[[#This Row],[Age]]&lt;=45,"Mid-Career","Senior"))</f>
        <v>Senior</v>
      </c>
      <c r="L695" s="10">
        <f ca="1">DATEDIF(HR_Data5[[#This Row],[Joining Date]],TODAY(),"Y")</f>
        <v>7</v>
      </c>
      <c r="M695" s="10" t="str">
        <f>IF(HR_Data5[[#This Row],[Salary]]&lt;55000,"Low",IF(HR_Data5[[#This Row],[Salary]]&lt;=65000,"Medium","High"))</f>
        <v>Medium</v>
      </c>
      <c r="N695" s="10">
        <f>YEAR(HR_Data5[[#This Row],[Joining Date]])</f>
        <v>2018</v>
      </c>
      <c r="O695" s="10" cm="1">
        <f t="array" ref="O695">_xlfn.SWITCH(HR_Data5[[#This Row],[Performance Score]],
"A",5,
"B",4,
"C",3,
"D",2,
"F",1)</f>
        <v>4</v>
      </c>
      <c r="P695" s="10"/>
    </row>
    <row r="696" spans="1:16" x14ac:dyDescent="0.3">
      <c r="A696" t="s">
        <v>59</v>
      </c>
      <c r="B696">
        <v>25</v>
      </c>
      <c r="C696" s="6">
        <v>70000</v>
      </c>
      <c r="D696" t="s">
        <v>11</v>
      </c>
      <c r="E696" t="s">
        <v>30</v>
      </c>
      <c r="F696" t="s">
        <v>20</v>
      </c>
      <c r="G696" s="7">
        <v>43800</v>
      </c>
      <c r="H696" t="s">
        <v>27</v>
      </c>
      <c r="I696" t="s">
        <v>69</v>
      </c>
      <c r="J696" t="s">
        <v>69</v>
      </c>
      <c r="K696" t="str">
        <f>IF(HR_Data5[[#This Row],[Age]]&lt;30,"Young",IF(HR_Data5[[#This Row],[Age]]&lt;=45,"Mid-Career","Senior"))</f>
        <v>Young</v>
      </c>
      <c r="L696" s="10">
        <f ca="1">DATEDIF(HR_Data5[[#This Row],[Joining Date]],TODAY(),"Y")</f>
        <v>6</v>
      </c>
      <c r="M696" s="10" t="str">
        <f>IF(HR_Data5[[#This Row],[Salary]]&lt;55000,"Low",IF(HR_Data5[[#This Row],[Salary]]&lt;=65000,"Medium","High"))</f>
        <v>High</v>
      </c>
      <c r="N696" s="10">
        <f>YEAR(HR_Data5[[#This Row],[Joining Date]])</f>
        <v>2019</v>
      </c>
      <c r="O696" s="10" cm="1">
        <f t="array" ref="O696">_xlfn.SWITCH(HR_Data5[[#This Row],[Performance Score]],
"A",5,
"B",4,
"C",3,
"D",2,
"F",1)</f>
        <v>3</v>
      </c>
      <c r="P696" s="10"/>
    </row>
    <row r="697" spans="1:16" x14ac:dyDescent="0.3">
      <c r="A697" t="s">
        <v>51</v>
      </c>
      <c r="B697">
        <v>50</v>
      </c>
      <c r="C697" s="6">
        <v>55000</v>
      </c>
      <c r="D697" t="s">
        <v>18</v>
      </c>
      <c r="E697" t="s">
        <v>26</v>
      </c>
      <c r="F697" t="s">
        <v>13</v>
      </c>
      <c r="G697" s="7">
        <v>43881</v>
      </c>
      <c r="H697" t="s">
        <v>31</v>
      </c>
      <c r="I697" t="s">
        <v>69</v>
      </c>
      <c r="J697" t="s">
        <v>23</v>
      </c>
      <c r="K697" t="str">
        <f>IF(HR_Data5[[#This Row],[Age]]&lt;30,"Young",IF(HR_Data5[[#This Row],[Age]]&lt;=45,"Mid-Career","Senior"))</f>
        <v>Senior</v>
      </c>
      <c r="L697" s="10">
        <f ca="1">DATEDIF(HR_Data5[[#This Row],[Joining Date]],TODAY(),"Y")</f>
        <v>6</v>
      </c>
      <c r="M697" s="10" t="str">
        <f>IF(HR_Data5[[#This Row],[Salary]]&lt;55000,"Low",IF(HR_Data5[[#This Row],[Salary]]&lt;=65000,"Medium","High"))</f>
        <v>Medium</v>
      </c>
      <c r="N697" s="10">
        <f>YEAR(HR_Data5[[#This Row],[Joining Date]])</f>
        <v>2020</v>
      </c>
      <c r="O697" s="10" cm="1">
        <f t="array" ref="O697">_xlfn.SWITCH(HR_Data5[[#This Row],[Performance Score]],
"A",5,
"B",4,
"C",3,
"D",2,
"F",1)</f>
        <v>5</v>
      </c>
      <c r="P697" s="10"/>
    </row>
    <row r="698" spans="1:16" x14ac:dyDescent="0.3">
      <c r="A698" t="s">
        <v>54</v>
      </c>
      <c r="B698">
        <v>50</v>
      </c>
      <c r="C698" s="6">
        <v>65000</v>
      </c>
      <c r="D698" t="s">
        <v>11</v>
      </c>
      <c r="E698" t="s">
        <v>12</v>
      </c>
      <c r="F698" t="s">
        <v>44</v>
      </c>
      <c r="G698" s="7">
        <v>43549</v>
      </c>
      <c r="H698" t="s">
        <v>27</v>
      </c>
      <c r="I698" t="s">
        <v>15</v>
      </c>
      <c r="J698" t="s">
        <v>69</v>
      </c>
      <c r="K698" t="str">
        <f>IF(HR_Data5[[#This Row],[Age]]&lt;30,"Young",IF(HR_Data5[[#This Row],[Age]]&lt;=45,"Mid-Career","Senior"))</f>
        <v>Senior</v>
      </c>
      <c r="L698" s="10">
        <f ca="1">DATEDIF(HR_Data5[[#This Row],[Joining Date]],TODAY(),"Y")</f>
        <v>6</v>
      </c>
      <c r="M698" s="10" t="str">
        <f>IF(HR_Data5[[#This Row],[Salary]]&lt;55000,"Low",IF(HR_Data5[[#This Row],[Salary]]&lt;=65000,"Medium","High"))</f>
        <v>Medium</v>
      </c>
      <c r="N698" s="10">
        <f>YEAR(HR_Data5[[#This Row],[Joining Date]])</f>
        <v>2019</v>
      </c>
      <c r="O698" s="10" cm="1">
        <f t="array" ref="O698">_xlfn.SWITCH(HR_Data5[[#This Row],[Performance Score]],
"A",5,
"B",4,
"C",3,
"D",2,
"F",1)</f>
        <v>3</v>
      </c>
      <c r="P698" s="10"/>
    </row>
    <row r="699" spans="1:16" x14ac:dyDescent="0.3">
      <c r="A699" t="s">
        <v>54</v>
      </c>
      <c r="B699">
        <v>25</v>
      </c>
      <c r="C699" s="6">
        <v>70000</v>
      </c>
      <c r="D699" t="s">
        <v>11</v>
      </c>
      <c r="E699" t="s">
        <v>37</v>
      </c>
      <c r="F699" t="s">
        <v>20</v>
      </c>
      <c r="G699" s="7">
        <v>43881</v>
      </c>
      <c r="H699" t="s">
        <v>27</v>
      </c>
      <c r="I699" t="s">
        <v>69</v>
      </c>
      <c r="J699" t="s">
        <v>45</v>
      </c>
      <c r="K699" t="str">
        <f>IF(HR_Data5[[#This Row],[Age]]&lt;30,"Young",IF(HR_Data5[[#This Row],[Age]]&lt;=45,"Mid-Career","Senior"))</f>
        <v>Young</v>
      </c>
      <c r="L699" s="10">
        <f ca="1">DATEDIF(HR_Data5[[#This Row],[Joining Date]],TODAY(),"Y")</f>
        <v>6</v>
      </c>
      <c r="M699" s="10" t="str">
        <f>IF(HR_Data5[[#This Row],[Salary]]&lt;55000,"Low",IF(HR_Data5[[#This Row],[Salary]]&lt;=65000,"Medium","High"))</f>
        <v>High</v>
      </c>
      <c r="N699" s="10">
        <f>YEAR(HR_Data5[[#This Row],[Joining Date]])</f>
        <v>2020</v>
      </c>
      <c r="O699" s="10" cm="1">
        <f t="array" ref="O699">_xlfn.SWITCH(HR_Data5[[#This Row],[Performance Score]],
"A",5,
"B",4,
"C",3,
"D",2,
"F",1)</f>
        <v>3</v>
      </c>
      <c r="P699" s="10"/>
    </row>
    <row r="700" spans="1:16" x14ac:dyDescent="0.3">
      <c r="A700" t="s">
        <v>58</v>
      </c>
      <c r="B700">
        <v>50</v>
      </c>
      <c r="C700" s="6">
        <v>65000</v>
      </c>
      <c r="D700" t="s">
        <v>11</v>
      </c>
      <c r="E700" t="s">
        <v>12</v>
      </c>
      <c r="F700" t="s">
        <v>20</v>
      </c>
      <c r="G700" s="7">
        <v>43195</v>
      </c>
      <c r="H700" t="s">
        <v>21</v>
      </c>
      <c r="I700" t="s">
        <v>32</v>
      </c>
      <c r="J700" t="s">
        <v>45</v>
      </c>
      <c r="K700" t="str">
        <f>IF(HR_Data5[[#This Row],[Age]]&lt;30,"Young",IF(HR_Data5[[#This Row],[Age]]&lt;=45,"Mid-Career","Senior"))</f>
        <v>Senior</v>
      </c>
      <c r="L700" s="10">
        <f ca="1">DATEDIF(HR_Data5[[#This Row],[Joining Date]],TODAY(),"Y")</f>
        <v>7</v>
      </c>
      <c r="M700" s="10" t="str">
        <f>IF(HR_Data5[[#This Row],[Salary]]&lt;55000,"Low",IF(HR_Data5[[#This Row],[Salary]]&lt;=65000,"Medium","High"))</f>
        <v>Medium</v>
      </c>
      <c r="N700" s="10">
        <f>YEAR(HR_Data5[[#This Row],[Joining Date]])</f>
        <v>2018</v>
      </c>
      <c r="O700" s="10" cm="1">
        <f t="array" ref="O700">_xlfn.SWITCH(HR_Data5[[#This Row],[Performance Score]],
"A",5,
"B",4,
"C",3,
"D",2,
"F",1)</f>
        <v>1</v>
      </c>
      <c r="P700" s="10"/>
    </row>
    <row r="701" spans="1:16" x14ac:dyDescent="0.3">
      <c r="A701" t="s">
        <v>56</v>
      </c>
      <c r="B701">
        <v>36</v>
      </c>
      <c r="C701" s="6">
        <v>65000</v>
      </c>
      <c r="D701" t="s">
        <v>36</v>
      </c>
      <c r="E701" t="s">
        <v>30</v>
      </c>
      <c r="F701" t="s">
        <v>43</v>
      </c>
      <c r="G701" s="7">
        <v>43845</v>
      </c>
      <c r="H701" t="s">
        <v>41</v>
      </c>
      <c r="I701" t="s">
        <v>22</v>
      </c>
      <c r="J701" t="s">
        <v>23</v>
      </c>
      <c r="K701" t="str">
        <f>IF(HR_Data5[[#This Row],[Age]]&lt;30,"Young",IF(HR_Data5[[#This Row],[Age]]&lt;=45,"Mid-Career","Senior"))</f>
        <v>Mid-Career</v>
      </c>
      <c r="L701" s="10">
        <f ca="1">DATEDIF(HR_Data5[[#This Row],[Joining Date]],TODAY(),"Y")</f>
        <v>6</v>
      </c>
      <c r="M701" s="10" t="str">
        <f>IF(HR_Data5[[#This Row],[Salary]]&lt;55000,"Low",IF(HR_Data5[[#This Row],[Salary]]&lt;=65000,"Medium","High"))</f>
        <v>Medium</v>
      </c>
      <c r="N701" s="10">
        <f>YEAR(HR_Data5[[#This Row],[Joining Date]])</f>
        <v>2020</v>
      </c>
      <c r="O701" s="10" cm="1">
        <f t="array" ref="O701">_xlfn.SWITCH(HR_Data5[[#This Row],[Performance Score]],
"A",5,
"B",4,
"C",3,
"D",2,
"F",1)</f>
        <v>4</v>
      </c>
      <c r="P701" s="10"/>
    </row>
    <row r="702" spans="1:16" x14ac:dyDescent="0.3">
      <c r="A702" t="s">
        <v>51</v>
      </c>
      <c r="B702">
        <v>36</v>
      </c>
      <c r="C702" s="6">
        <v>55000</v>
      </c>
      <c r="D702" t="s">
        <v>11</v>
      </c>
      <c r="E702" t="s">
        <v>30</v>
      </c>
      <c r="F702" t="s">
        <v>39</v>
      </c>
      <c r="G702" s="7">
        <v>43195</v>
      </c>
      <c r="H702" t="s">
        <v>14</v>
      </c>
      <c r="I702" t="s">
        <v>15</v>
      </c>
      <c r="J702" t="s">
        <v>69</v>
      </c>
      <c r="K702" t="str">
        <f>IF(HR_Data5[[#This Row],[Age]]&lt;30,"Young",IF(HR_Data5[[#This Row],[Age]]&lt;=45,"Mid-Career","Senior"))</f>
        <v>Mid-Career</v>
      </c>
      <c r="L702" s="10">
        <f ca="1">DATEDIF(HR_Data5[[#This Row],[Joining Date]],TODAY(),"Y")</f>
        <v>7</v>
      </c>
      <c r="M702" s="10" t="str">
        <f>IF(HR_Data5[[#This Row],[Salary]]&lt;55000,"Low",IF(HR_Data5[[#This Row],[Salary]]&lt;=65000,"Medium","High"))</f>
        <v>Medium</v>
      </c>
      <c r="N702" s="10">
        <f>YEAR(HR_Data5[[#This Row],[Joining Date]])</f>
        <v>2018</v>
      </c>
      <c r="O702" s="10" cm="1">
        <f t="array" ref="O702">_xlfn.SWITCH(HR_Data5[[#This Row],[Performance Score]],
"A",5,
"B",4,
"C",3,
"D",2,
"F",1)</f>
        <v>2</v>
      </c>
      <c r="P702" s="10"/>
    </row>
    <row r="703" spans="1:16" x14ac:dyDescent="0.3">
      <c r="A703" t="s">
        <v>57</v>
      </c>
      <c r="B703">
        <v>36</v>
      </c>
      <c r="C703" s="6" t="s">
        <v>68</v>
      </c>
      <c r="D703" t="s">
        <v>36</v>
      </c>
      <c r="E703" t="s">
        <v>26</v>
      </c>
      <c r="F703" t="s">
        <v>13</v>
      </c>
      <c r="G703" s="7">
        <v>43881</v>
      </c>
      <c r="H703" t="s">
        <v>14</v>
      </c>
      <c r="I703" t="s">
        <v>32</v>
      </c>
      <c r="J703" t="s">
        <v>45</v>
      </c>
      <c r="K703" t="str">
        <f>IF(HR_Data5[[#This Row],[Age]]&lt;30,"Young",IF(HR_Data5[[#This Row],[Age]]&lt;=45,"Mid-Career","Senior"))</f>
        <v>Mid-Career</v>
      </c>
      <c r="L703" s="10">
        <f ca="1">DATEDIF(HR_Data5[[#This Row],[Joining Date]],TODAY(),"Y")</f>
        <v>6</v>
      </c>
      <c r="M703" s="10" t="str">
        <f>IF(HR_Data5[[#This Row],[Salary]]&lt;55000,"Low",IF(HR_Data5[[#This Row],[Salary]]&lt;=65000,"Medium","High"))</f>
        <v>High</v>
      </c>
      <c r="N703" s="10">
        <f>YEAR(HR_Data5[[#This Row],[Joining Date]])</f>
        <v>2020</v>
      </c>
      <c r="O703" s="10" cm="1">
        <f t="array" ref="O703">_xlfn.SWITCH(HR_Data5[[#This Row],[Performance Score]],
"A",5,
"B",4,
"C",3,
"D",2,
"F",1)</f>
        <v>2</v>
      </c>
      <c r="P703" s="10"/>
    </row>
    <row r="704" spans="1:16" x14ac:dyDescent="0.3">
      <c r="A704" t="s">
        <v>58</v>
      </c>
      <c r="B704">
        <v>25</v>
      </c>
      <c r="C704" s="6">
        <v>60000</v>
      </c>
      <c r="D704" t="s">
        <v>11</v>
      </c>
      <c r="E704" t="s">
        <v>26</v>
      </c>
      <c r="F704" t="s">
        <v>13</v>
      </c>
      <c r="G704" s="7">
        <v>43195</v>
      </c>
      <c r="H704" t="s">
        <v>21</v>
      </c>
      <c r="I704" t="s">
        <v>15</v>
      </c>
      <c r="J704" t="s">
        <v>45</v>
      </c>
      <c r="K704" t="str">
        <f>IF(HR_Data5[[#This Row],[Age]]&lt;30,"Young",IF(HR_Data5[[#This Row],[Age]]&lt;=45,"Mid-Career","Senior"))</f>
        <v>Young</v>
      </c>
      <c r="L704" s="10">
        <f ca="1">DATEDIF(HR_Data5[[#This Row],[Joining Date]],TODAY(),"Y")</f>
        <v>7</v>
      </c>
      <c r="M704" s="10" t="str">
        <f>IF(HR_Data5[[#This Row],[Salary]]&lt;55000,"Low",IF(HR_Data5[[#This Row],[Salary]]&lt;=65000,"Medium","High"))</f>
        <v>Medium</v>
      </c>
      <c r="N704" s="10">
        <f>YEAR(HR_Data5[[#This Row],[Joining Date]])</f>
        <v>2018</v>
      </c>
      <c r="O704" s="10" cm="1">
        <f t="array" ref="O704">_xlfn.SWITCH(HR_Data5[[#This Row],[Performance Score]],
"A",5,
"B",4,
"C",3,
"D",2,
"F",1)</f>
        <v>1</v>
      </c>
      <c r="P704" s="10"/>
    </row>
    <row r="705" spans="1:16" x14ac:dyDescent="0.3">
      <c r="A705" t="s">
        <v>57</v>
      </c>
      <c r="B705">
        <v>50</v>
      </c>
      <c r="C705" s="6">
        <v>55000</v>
      </c>
      <c r="D705" t="s">
        <v>11</v>
      </c>
      <c r="E705" t="s">
        <v>30</v>
      </c>
      <c r="F705" t="s">
        <v>43</v>
      </c>
      <c r="G705" s="7">
        <v>43845</v>
      </c>
      <c r="H705" t="s">
        <v>14</v>
      </c>
      <c r="I705" t="s">
        <v>69</v>
      </c>
      <c r="J705" t="s">
        <v>45</v>
      </c>
      <c r="K705" t="str">
        <f>IF(HR_Data5[[#This Row],[Age]]&lt;30,"Young",IF(HR_Data5[[#This Row],[Age]]&lt;=45,"Mid-Career","Senior"))</f>
        <v>Senior</v>
      </c>
      <c r="L705" s="10">
        <f ca="1">DATEDIF(HR_Data5[[#This Row],[Joining Date]],TODAY(),"Y")</f>
        <v>6</v>
      </c>
      <c r="M705" s="10" t="str">
        <f>IF(HR_Data5[[#This Row],[Salary]]&lt;55000,"Low",IF(HR_Data5[[#This Row],[Salary]]&lt;=65000,"Medium","High"))</f>
        <v>Medium</v>
      </c>
      <c r="N705" s="10">
        <f>YEAR(HR_Data5[[#This Row],[Joining Date]])</f>
        <v>2020</v>
      </c>
      <c r="O705" s="10" cm="1">
        <f t="array" ref="O705">_xlfn.SWITCH(HR_Data5[[#This Row],[Performance Score]],
"A",5,
"B",4,
"C",3,
"D",2,
"F",1)</f>
        <v>2</v>
      </c>
      <c r="P705" s="10"/>
    </row>
    <row r="706" spans="1:16" x14ac:dyDescent="0.3">
      <c r="A706" t="s">
        <v>58</v>
      </c>
      <c r="B706">
        <v>25</v>
      </c>
      <c r="C706" s="6">
        <v>70000</v>
      </c>
      <c r="D706" t="s">
        <v>18</v>
      </c>
      <c r="E706" t="s">
        <v>37</v>
      </c>
      <c r="F706" t="s">
        <v>43</v>
      </c>
      <c r="G706" s="7">
        <v>43800</v>
      </c>
      <c r="H706" t="s">
        <v>27</v>
      </c>
      <c r="I706" t="s">
        <v>69</v>
      </c>
      <c r="J706" t="s">
        <v>69</v>
      </c>
      <c r="K706" t="str">
        <f>IF(HR_Data5[[#This Row],[Age]]&lt;30,"Young",IF(HR_Data5[[#This Row],[Age]]&lt;=45,"Mid-Career","Senior"))</f>
        <v>Young</v>
      </c>
      <c r="L706" s="10">
        <f ca="1">DATEDIF(HR_Data5[[#This Row],[Joining Date]],TODAY(),"Y")</f>
        <v>6</v>
      </c>
      <c r="M706" s="10" t="str">
        <f>IF(HR_Data5[[#This Row],[Salary]]&lt;55000,"Low",IF(HR_Data5[[#This Row],[Salary]]&lt;=65000,"Medium","High"))</f>
        <v>High</v>
      </c>
      <c r="N706" s="10">
        <f>YEAR(HR_Data5[[#This Row],[Joining Date]])</f>
        <v>2019</v>
      </c>
      <c r="O706" s="10" cm="1">
        <f t="array" ref="O706">_xlfn.SWITCH(HR_Data5[[#This Row],[Performance Score]],
"A",5,
"B",4,
"C",3,
"D",2,
"F",1)</f>
        <v>3</v>
      </c>
      <c r="P706" s="10"/>
    </row>
    <row r="707" spans="1:16" x14ac:dyDescent="0.3">
      <c r="A707" t="s">
        <v>58</v>
      </c>
      <c r="B707">
        <v>36</v>
      </c>
      <c r="C707" s="6" t="s">
        <v>68</v>
      </c>
      <c r="D707" t="s">
        <v>36</v>
      </c>
      <c r="E707" t="s">
        <v>12</v>
      </c>
      <c r="F707" t="s">
        <v>39</v>
      </c>
      <c r="G707" s="7">
        <v>43881</v>
      </c>
      <c r="H707" t="s">
        <v>21</v>
      </c>
      <c r="I707" t="s">
        <v>69</v>
      </c>
      <c r="J707" t="s">
        <v>23</v>
      </c>
      <c r="K707" t="str">
        <f>IF(HR_Data5[[#This Row],[Age]]&lt;30,"Young",IF(HR_Data5[[#This Row],[Age]]&lt;=45,"Mid-Career","Senior"))</f>
        <v>Mid-Career</v>
      </c>
      <c r="L707" s="10">
        <f ca="1">DATEDIF(HR_Data5[[#This Row],[Joining Date]],TODAY(),"Y")</f>
        <v>6</v>
      </c>
      <c r="M707" s="10" t="str">
        <f>IF(HR_Data5[[#This Row],[Salary]]&lt;55000,"Low",IF(HR_Data5[[#This Row],[Salary]]&lt;=65000,"Medium","High"))</f>
        <v>High</v>
      </c>
      <c r="N707" s="10">
        <f>YEAR(HR_Data5[[#This Row],[Joining Date]])</f>
        <v>2020</v>
      </c>
      <c r="O707" s="10" cm="1">
        <f t="array" ref="O707">_xlfn.SWITCH(HR_Data5[[#This Row],[Performance Score]],
"A",5,
"B",4,
"C",3,
"D",2,
"F",1)</f>
        <v>1</v>
      </c>
      <c r="P707" s="10"/>
    </row>
    <row r="708" spans="1:16" x14ac:dyDescent="0.3">
      <c r="A708" t="s">
        <v>58</v>
      </c>
      <c r="B708">
        <v>50</v>
      </c>
      <c r="C708" s="6">
        <v>70000</v>
      </c>
      <c r="D708" t="s">
        <v>11</v>
      </c>
      <c r="E708" t="s">
        <v>19</v>
      </c>
      <c r="F708" t="s">
        <v>39</v>
      </c>
      <c r="G708" s="7">
        <v>43195</v>
      </c>
      <c r="H708" t="s">
        <v>31</v>
      </c>
      <c r="I708" t="s">
        <v>22</v>
      </c>
      <c r="J708" t="s">
        <v>45</v>
      </c>
      <c r="K708" t="str">
        <f>IF(HR_Data5[[#This Row],[Age]]&lt;30,"Young",IF(HR_Data5[[#This Row],[Age]]&lt;=45,"Mid-Career","Senior"))</f>
        <v>Senior</v>
      </c>
      <c r="L708" s="10">
        <f ca="1">DATEDIF(HR_Data5[[#This Row],[Joining Date]],TODAY(),"Y")</f>
        <v>7</v>
      </c>
      <c r="M708" s="10" t="str">
        <f>IF(HR_Data5[[#This Row],[Salary]]&lt;55000,"Low",IF(HR_Data5[[#This Row],[Salary]]&lt;=65000,"Medium","High"))</f>
        <v>High</v>
      </c>
      <c r="N708" s="10">
        <f>YEAR(HR_Data5[[#This Row],[Joining Date]])</f>
        <v>2018</v>
      </c>
      <c r="O708" s="10" cm="1">
        <f t="array" ref="O708">_xlfn.SWITCH(HR_Data5[[#This Row],[Performance Score]],
"A",5,
"B",4,
"C",3,
"D",2,
"F",1)</f>
        <v>5</v>
      </c>
      <c r="P708" s="10"/>
    </row>
    <row r="709" spans="1:16" x14ac:dyDescent="0.3">
      <c r="A709" t="s">
        <v>56</v>
      </c>
      <c r="B709">
        <v>50</v>
      </c>
      <c r="C709" s="6" t="s">
        <v>68</v>
      </c>
      <c r="D709" t="s">
        <v>36</v>
      </c>
      <c r="E709" t="s">
        <v>26</v>
      </c>
      <c r="F709" t="s">
        <v>20</v>
      </c>
      <c r="G709" s="7">
        <v>43881</v>
      </c>
      <c r="H709" t="s">
        <v>41</v>
      </c>
      <c r="I709" t="s">
        <v>69</v>
      </c>
      <c r="J709" t="s">
        <v>69</v>
      </c>
      <c r="K709" t="str">
        <f>IF(HR_Data5[[#This Row],[Age]]&lt;30,"Young",IF(HR_Data5[[#This Row],[Age]]&lt;=45,"Mid-Career","Senior"))</f>
        <v>Senior</v>
      </c>
      <c r="L709" s="10">
        <f ca="1">DATEDIF(HR_Data5[[#This Row],[Joining Date]],TODAY(),"Y")</f>
        <v>6</v>
      </c>
      <c r="M709" s="10" t="str">
        <f>IF(HR_Data5[[#This Row],[Salary]]&lt;55000,"Low",IF(HR_Data5[[#This Row],[Salary]]&lt;=65000,"Medium","High"))</f>
        <v>High</v>
      </c>
      <c r="N709" s="10">
        <f>YEAR(HR_Data5[[#This Row],[Joining Date]])</f>
        <v>2020</v>
      </c>
      <c r="O709" s="10" cm="1">
        <f t="array" ref="O709">_xlfn.SWITCH(HR_Data5[[#This Row],[Performance Score]],
"A",5,
"B",4,
"C",3,
"D",2,
"F",1)</f>
        <v>4</v>
      </c>
      <c r="P709" s="10"/>
    </row>
    <row r="710" spans="1:16" x14ac:dyDescent="0.3">
      <c r="A710" t="s">
        <v>58</v>
      </c>
      <c r="B710">
        <v>40</v>
      </c>
      <c r="C710" s="6">
        <v>70000</v>
      </c>
      <c r="D710" t="s">
        <v>36</v>
      </c>
      <c r="E710" t="s">
        <v>19</v>
      </c>
      <c r="F710" t="s">
        <v>44</v>
      </c>
      <c r="G710" s="7">
        <v>43800</v>
      </c>
      <c r="H710" t="s">
        <v>41</v>
      </c>
      <c r="I710" t="s">
        <v>15</v>
      </c>
      <c r="J710" t="s">
        <v>69</v>
      </c>
      <c r="K710" t="str">
        <f>IF(HR_Data5[[#This Row],[Age]]&lt;30,"Young",IF(HR_Data5[[#This Row],[Age]]&lt;=45,"Mid-Career","Senior"))</f>
        <v>Mid-Career</v>
      </c>
      <c r="L710" s="10">
        <f ca="1">DATEDIF(HR_Data5[[#This Row],[Joining Date]],TODAY(),"Y")</f>
        <v>6</v>
      </c>
      <c r="M710" s="10" t="str">
        <f>IF(HR_Data5[[#This Row],[Salary]]&lt;55000,"Low",IF(HR_Data5[[#This Row],[Salary]]&lt;=65000,"Medium","High"))</f>
        <v>High</v>
      </c>
      <c r="N710" s="10">
        <f>YEAR(HR_Data5[[#This Row],[Joining Date]])</f>
        <v>2019</v>
      </c>
      <c r="O710" s="10" cm="1">
        <f t="array" ref="O710">_xlfn.SWITCH(HR_Data5[[#This Row],[Performance Score]],
"A",5,
"B",4,
"C",3,
"D",2,
"F",1)</f>
        <v>4</v>
      </c>
      <c r="P710" s="10"/>
    </row>
    <row r="711" spans="1:16" x14ac:dyDescent="0.3">
      <c r="A711" t="s">
        <v>52</v>
      </c>
      <c r="B711">
        <v>40</v>
      </c>
      <c r="C711" s="6">
        <v>55000</v>
      </c>
      <c r="D711" t="s">
        <v>18</v>
      </c>
      <c r="E711" t="s">
        <v>37</v>
      </c>
      <c r="F711" t="s">
        <v>39</v>
      </c>
      <c r="G711" s="7">
        <v>43195</v>
      </c>
      <c r="H711" t="s">
        <v>41</v>
      </c>
      <c r="I711" t="s">
        <v>69</v>
      </c>
      <c r="J711" t="s">
        <v>28</v>
      </c>
      <c r="K711" t="str">
        <f>IF(HR_Data5[[#This Row],[Age]]&lt;30,"Young",IF(HR_Data5[[#This Row],[Age]]&lt;=45,"Mid-Career","Senior"))</f>
        <v>Mid-Career</v>
      </c>
      <c r="L711" s="10">
        <f ca="1">DATEDIF(HR_Data5[[#This Row],[Joining Date]],TODAY(),"Y")</f>
        <v>7</v>
      </c>
      <c r="M711" s="10" t="str">
        <f>IF(HR_Data5[[#This Row],[Salary]]&lt;55000,"Low",IF(HR_Data5[[#This Row],[Salary]]&lt;=65000,"Medium","High"))</f>
        <v>Medium</v>
      </c>
      <c r="N711" s="10">
        <f>YEAR(HR_Data5[[#This Row],[Joining Date]])</f>
        <v>2018</v>
      </c>
      <c r="O711" s="10" cm="1">
        <f t="array" ref="O711">_xlfn.SWITCH(HR_Data5[[#This Row],[Performance Score]],
"A",5,
"B",4,
"C",3,
"D",2,
"F",1)</f>
        <v>4</v>
      </c>
      <c r="P711" s="10"/>
    </row>
    <row r="712" spans="1:16" x14ac:dyDescent="0.3">
      <c r="A712" t="s">
        <v>60</v>
      </c>
      <c r="B712">
        <v>30</v>
      </c>
      <c r="C712" s="6" t="s">
        <v>68</v>
      </c>
      <c r="D712" t="s">
        <v>18</v>
      </c>
      <c r="E712" t="s">
        <v>26</v>
      </c>
      <c r="F712" t="s">
        <v>43</v>
      </c>
      <c r="G712" s="7">
        <v>43195</v>
      </c>
      <c r="H712" t="s">
        <v>27</v>
      </c>
      <c r="I712" t="s">
        <v>15</v>
      </c>
      <c r="J712" t="s">
        <v>23</v>
      </c>
      <c r="K712" t="str">
        <f>IF(HR_Data5[[#This Row],[Age]]&lt;30,"Young",IF(HR_Data5[[#This Row],[Age]]&lt;=45,"Mid-Career","Senior"))</f>
        <v>Mid-Career</v>
      </c>
      <c r="L712" s="10">
        <f ca="1">DATEDIF(HR_Data5[[#This Row],[Joining Date]],TODAY(),"Y")</f>
        <v>7</v>
      </c>
      <c r="M712" s="10" t="str">
        <f>IF(HR_Data5[[#This Row],[Salary]]&lt;55000,"Low",IF(HR_Data5[[#This Row],[Salary]]&lt;=65000,"Medium","High"))</f>
        <v>High</v>
      </c>
      <c r="N712" s="10">
        <f>YEAR(HR_Data5[[#This Row],[Joining Date]])</f>
        <v>2018</v>
      </c>
      <c r="O712" s="10" cm="1">
        <f t="array" ref="O712">_xlfn.SWITCH(HR_Data5[[#This Row],[Performance Score]],
"A",5,
"B",4,
"C",3,
"D",2,
"F",1)</f>
        <v>3</v>
      </c>
      <c r="P712" s="10"/>
    </row>
    <row r="713" spans="1:16" x14ac:dyDescent="0.3">
      <c r="A713" t="s">
        <v>57</v>
      </c>
      <c r="B713">
        <v>35</v>
      </c>
      <c r="C713" s="6" t="s">
        <v>68</v>
      </c>
      <c r="D713" t="s">
        <v>18</v>
      </c>
      <c r="E713" t="s">
        <v>19</v>
      </c>
      <c r="F713" t="s">
        <v>39</v>
      </c>
      <c r="G713" s="7">
        <v>43881</v>
      </c>
      <c r="H713" t="s">
        <v>31</v>
      </c>
      <c r="I713" t="s">
        <v>22</v>
      </c>
      <c r="J713" t="s">
        <v>69</v>
      </c>
      <c r="K713" t="str">
        <f>IF(HR_Data5[[#This Row],[Age]]&lt;30,"Young",IF(HR_Data5[[#This Row],[Age]]&lt;=45,"Mid-Career","Senior"))</f>
        <v>Mid-Career</v>
      </c>
      <c r="L713" s="10">
        <f ca="1">DATEDIF(HR_Data5[[#This Row],[Joining Date]],TODAY(),"Y")</f>
        <v>6</v>
      </c>
      <c r="M713" s="10" t="str">
        <f>IF(HR_Data5[[#This Row],[Salary]]&lt;55000,"Low",IF(HR_Data5[[#This Row],[Salary]]&lt;=65000,"Medium","High"))</f>
        <v>High</v>
      </c>
      <c r="N713" s="10">
        <f>YEAR(HR_Data5[[#This Row],[Joining Date]])</f>
        <v>2020</v>
      </c>
      <c r="O713" s="10" cm="1">
        <f t="array" ref="O713">_xlfn.SWITCH(HR_Data5[[#This Row],[Performance Score]],
"A",5,
"B",4,
"C",3,
"D",2,
"F",1)</f>
        <v>5</v>
      </c>
      <c r="P713" s="10"/>
    </row>
    <row r="714" spans="1:16" x14ac:dyDescent="0.3">
      <c r="A714" t="s">
        <v>59</v>
      </c>
      <c r="B714">
        <v>40</v>
      </c>
      <c r="C714" s="6">
        <v>65000</v>
      </c>
      <c r="D714" t="s">
        <v>18</v>
      </c>
      <c r="E714" t="s">
        <v>37</v>
      </c>
      <c r="F714" t="s">
        <v>13</v>
      </c>
      <c r="G714" s="7">
        <v>43881</v>
      </c>
      <c r="H714" t="s">
        <v>21</v>
      </c>
      <c r="I714" t="s">
        <v>69</v>
      </c>
      <c r="J714" t="s">
        <v>45</v>
      </c>
      <c r="K714" t="str">
        <f>IF(HR_Data5[[#This Row],[Age]]&lt;30,"Young",IF(HR_Data5[[#This Row],[Age]]&lt;=45,"Mid-Career","Senior"))</f>
        <v>Mid-Career</v>
      </c>
      <c r="L714" s="10">
        <f ca="1">DATEDIF(HR_Data5[[#This Row],[Joining Date]],TODAY(),"Y")</f>
        <v>6</v>
      </c>
      <c r="M714" s="10" t="str">
        <f>IF(HR_Data5[[#This Row],[Salary]]&lt;55000,"Low",IF(HR_Data5[[#This Row],[Salary]]&lt;=65000,"Medium","High"))</f>
        <v>Medium</v>
      </c>
      <c r="N714" s="10">
        <f>YEAR(HR_Data5[[#This Row],[Joining Date]])</f>
        <v>2020</v>
      </c>
      <c r="O714" s="10" cm="1">
        <f t="array" ref="O714">_xlfn.SWITCH(HR_Data5[[#This Row],[Performance Score]],
"A",5,
"B",4,
"C",3,
"D",2,
"F",1)</f>
        <v>1</v>
      </c>
      <c r="P714" s="10"/>
    </row>
    <row r="715" spans="1:16" x14ac:dyDescent="0.3">
      <c r="A715" t="s">
        <v>53</v>
      </c>
      <c r="B715">
        <v>25</v>
      </c>
      <c r="C715" s="6">
        <v>65000</v>
      </c>
      <c r="D715" t="s">
        <v>18</v>
      </c>
      <c r="E715" t="s">
        <v>12</v>
      </c>
      <c r="F715" t="s">
        <v>44</v>
      </c>
      <c r="G715" s="7">
        <v>43845</v>
      </c>
      <c r="H715" t="s">
        <v>21</v>
      </c>
      <c r="I715" t="s">
        <v>69</v>
      </c>
      <c r="J715" t="s">
        <v>28</v>
      </c>
      <c r="K715" t="str">
        <f>IF(HR_Data5[[#This Row],[Age]]&lt;30,"Young",IF(HR_Data5[[#This Row],[Age]]&lt;=45,"Mid-Career","Senior"))</f>
        <v>Young</v>
      </c>
      <c r="L715" s="10">
        <f ca="1">DATEDIF(HR_Data5[[#This Row],[Joining Date]],TODAY(),"Y")</f>
        <v>6</v>
      </c>
      <c r="M715" s="10" t="str">
        <f>IF(HR_Data5[[#This Row],[Salary]]&lt;55000,"Low",IF(HR_Data5[[#This Row],[Salary]]&lt;=65000,"Medium","High"))</f>
        <v>Medium</v>
      </c>
      <c r="N715" s="10">
        <f>YEAR(HR_Data5[[#This Row],[Joining Date]])</f>
        <v>2020</v>
      </c>
      <c r="O715" s="10" cm="1">
        <f t="array" ref="O715">_xlfn.SWITCH(HR_Data5[[#This Row],[Performance Score]],
"A",5,
"B",4,
"C",3,
"D",2,
"F",1)</f>
        <v>1</v>
      </c>
      <c r="P715" s="10"/>
    </row>
    <row r="716" spans="1:16" x14ac:dyDescent="0.3">
      <c r="A716" t="s">
        <v>51</v>
      </c>
      <c r="B716">
        <v>40</v>
      </c>
      <c r="C716" s="6">
        <v>50000</v>
      </c>
      <c r="D716" t="s">
        <v>18</v>
      </c>
      <c r="E716" t="s">
        <v>37</v>
      </c>
      <c r="F716" t="s">
        <v>20</v>
      </c>
      <c r="G716" s="7">
        <v>43800</v>
      </c>
      <c r="H716" t="s">
        <v>41</v>
      </c>
      <c r="I716" t="s">
        <v>69</v>
      </c>
      <c r="J716" t="s">
        <v>23</v>
      </c>
      <c r="K716" t="str">
        <f>IF(HR_Data5[[#This Row],[Age]]&lt;30,"Young",IF(HR_Data5[[#This Row],[Age]]&lt;=45,"Mid-Career","Senior"))</f>
        <v>Mid-Career</v>
      </c>
      <c r="L716" s="10">
        <f ca="1">DATEDIF(HR_Data5[[#This Row],[Joining Date]],TODAY(),"Y")</f>
        <v>6</v>
      </c>
      <c r="M716" s="10" t="str">
        <f>IF(HR_Data5[[#This Row],[Salary]]&lt;55000,"Low",IF(HR_Data5[[#This Row],[Salary]]&lt;=65000,"Medium","High"))</f>
        <v>Low</v>
      </c>
      <c r="N716" s="10">
        <f>YEAR(HR_Data5[[#This Row],[Joining Date]])</f>
        <v>2019</v>
      </c>
      <c r="O716" s="10" cm="1">
        <f t="array" ref="O716">_xlfn.SWITCH(HR_Data5[[#This Row],[Performance Score]],
"A",5,
"B",4,
"C",3,
"D",2,
"F",1)</f>
        <v>4</v>
      </c>
      <c r="P716" s="10"/>
    </row>
    <row r="717" spans="1:16" x14ac:dyDescent="0.3">
      <c r="A717" t="s">
        <v>55</v>
      </c>
      <c r="B717">
        <v>30</v>
      </c>
      <c r="C717" s="6">
        <v>70000</v>
      </c>
      <c r="D717" t="s">
        <v>18</v>
      </c>
      <c r="E717" t="s">
        <v>26</v>
      </c>
      <c r="F717" t="s">
        <v>13</v>
      </c>
      <c r="G717" s="7">
        <v>43845</v>
      </c>
      <c r="H717" t="s">
        <v>31</v>
      </c>
      <c r="I717" t="s">
        <v>69</v>
      </c>
      <c r="J717" t="s">
        <v>69</v>
      </c>
      <c r="K717" t="str">
        <f>IF(HR_Data5[[#This Row],[Age]]&lt;30,"Young",IF(HR_Data5[[#This Row],[Age]]&lt;=45,"Mid-Career","Senior"))</f>
        <v>Mid-Career</v>
      </c>
      <c r="L717" s="10">
        <f ca="1">DATEDIF(HR_Data5[[#This Row],[Joining Date]],TODAY(),"Y")</f>
        <v>6</v>
      </c>
      <c r="M717" s="10" t="str">
        <f>IF(HR_Data5[[#This Row],[Salary]]&lt;55000,"Low",IF(HR_Data5[[#This Row],[Salary]]&lt;=65000,"Medium","High"))</f>
        <v>High</v>
      </c>
      <c r="N717" s="10">
        <f>YEAR(HR_Data5[[#This Row],[Joining Date]])</f>
        <v>2020</v>
      </c>
      <c r="O717" s="10" cm="1">
        <f t="array" ref="O717">_xlfn.SWITCH(HR_Data5[[#This Row],[Performance Score]],
"A",5,
"B",4,
"C",3,
"D",2,
"F",1)</f>
        <v>5</v>
      </c>
      <c r="P717" s="10"/>
    </row>
    <row r="718" spans="1:16" x14ac:dyDescent="0.3">
      <c r="A718" t="s">
        <v>56</v>
      </c>
      <c r="B718">
        <v>50</v>
      </c>
      <c r="C718" s="6">
        <v>65000</v>
      </c>
      <c r="D718" t="s">
        <v>18</v>
      </c>
      <c r="E718" t="s">
        <v>30</v>
      </c>
      <c r="F718" t="s">
        <v>13</v>
      </c>
      <c r="G718" s="7">
        <v>43195</v>
      </c>
      <c r="H718" t="s">
        <v>31</v>
      </c>
      <c r="I718" t="s">
        <v>69</v>
      </c>
      <c r="J718" t="s">
        <v>28</v>
      </c>
      <c r="K718" t="str">
        <f>IF(HR_Data5[[#This Row],[Age]]&lt;30,"Young",IF(HR_Data5[[#This Row],[Age]]&lt;=45,"Mid-Career","Senior"))</f>
        <v>Senior</v>
      </c>
      <c r="L718" s="10">
        <f ca="1">DATEDIF(HR_Data5[[#This Row],[Joining Date]],TODAY(),"Y")</f>
        <v>7</v>
      </c>
      <c r="M718" s="10" t="str">
        <f>IF(HR_Data5[[#This Row],[Salary]]&lt;55000,"Low",IF(HR_Data5[[#This Row],[Salary]]&lt;=65000,"Medium","High"))</f>
        <v>Medium</v>
      </c>
      <c r="N718" s="10">
        <f>YEAR(HR_Data5[[#This Row],[Joining Date]])</f>
        <v>2018</v>
      </c>
      <c r="O718" s="10" cm="1">
        <f t="array" ref="O718">_xlfn.SWITCH(HR_Data5[[#This Row],[Performance Score]],
"A",5,
"B",4,
"C",3,
"D",2,
"F",1)</f>
        <v>5</v>
      </c>
      <c r="P718" s="10"/>
    </row>
    <row r="719" spans="1:16" x14ac:dyDescent="0.3">
      <c r="A719" t="s">
        <v>59</v>
      </c>
      <c r="B719">
        <v>30</v>
      </c>
      <c r="C719" s="6">
        <v>50000</v>
      </c>
      <c r="D719" t="s">
        <v>11</v>
      </c>
      <c r="E719" t="s">
        <v>12</v>
      </c>
      <c r="F719" t="s">
        <v>44</v>
      </c>
      <c r="G719" s="7">
        <v>43881</v>
      </c>
      <c r="H719" t="s">
        <v>31</v>
      </c>
      <c r="I719" t="s">
        <v>69</v>
      </c>
      <c r="J719" t="s">
        <v>28</v>
      </c>
      <c r="K719" t="str">
        <f>IF(HR_Data5[[#This Row],[Age]]&lt;30,"Young",IF(HR_Data5[[#This Row],[Age]]&lt;=45,"Mid-Career","Senior"))</f>
        <v>Mid-Career</v>
      </c>
      <c r="L719" s="10">
        <f ca="1">DATEDIF(HR_Data5[[#This Row],[Joining Date]],TODAY(),"Y")</f>
        <v>6</v>
      </c>
      <c r="M719" s="10" t="str">
        <f>IF(HR_Data5[[#This Row],[Salary]]&lt;55000,"Low",IF(HR_Data5[[#This Row],[Salary]]&lt;=65000,"Medium","High"))</f>
        <v>Low</v>
      </c>
      <c r="N719" s="10">
        <f>YEAR(HR_Data5[[#This Row],[Joining Date]])</f>
        <v>2020</v>
      </c>
      <c r="O719" s="10" cm="1">
        <f t="array" ref="O719">_xlfn.SWITCH(HR_Data5[[#This Row],[Performance Score]],
"A",5,
"B",4,
"C",3,
"D",2,
"F",1)</f>
        <v>5</v>
      </c>
      <c r="P719" s="10"/>
    </row>
    <row r="720" spans="1:16" x14ac:dyDescent="0.3">
      <c r="A720" t="s">
        <v>54</v>
      </c>
      <c r="B720">
        <v>50</v>
      </c>
      <c r="C720" s="6">
        <v>65000</v>
      </c>
      <c r="D720" t="s">
        <v>36</v>
      </c>
      <c r="E720" t="s">
        <v>19</v>
      </c>
      <c r="F720" t="s">
        <v>20</v>
      </c>
      <c r="G720" s="7">
        <v>43195</v>
      </c>
      <c r="H720" t="s">
        <v>14</v>
      </c>
      <c r="I720" t="s">
        <v>69</v>
      </c>
      <c r="J720" t="s">
        <v>69</v>
      </c>
      <c r="K720" t="str">
        <f>IF(HR_Data5[[#This Row],[Age]]&lt;30,"Young",IF(HR_Data5[[#This Row],[Age]]&lt;=45,"Mid-Career","Senior"))</f>
        <v>Senior</v>
      </c>
      <c r="L720" s="10">
        <f ca="1">DATEDIF(HR_Data5[[#This Row],[Joining Date]],TODAY(),"Y")</f>
        <v>7</v>
      </c>
      <c r="M720" s="10" t="str">
        <f>IF(HR_Data5[[#This Row],[Salary]]&lt;55000,"Low",IF(HR_Data5[[#This Row],[Salary]]&lt;=65000,"Medium","High"))</f>
        <v>Medium</v>
      </c>
      <c r="N720" s="10">
        <f>YEAR(HR_Data5[[#This Row],[Joining Date]])</f>
        <v>2018</v>
      </c>
      <c r="O720" s="10" cm="1">
        <f t="array" ref="O720">_xlfn.SWITCH(HR_Data5[[#This Row],[Performance Score]],
"A",5,
"B",4,
"C",3,
"D",2,
"F",1)</f>
        <v>2</v>
      </c>
      <c r="P720" s="10"/>
    </row>
    <row r="721" spans="1:16" x14ac:dyDescent="0.3">
      <c r="A721" t="s">
        <v>52</v>
      </c>
      <c r="B721">
        <v>50</v>
      </c>
      <c r="C721" s="6">
        <v>70000</v>
      </c>
      <c r="D721" t="s">
        <v>18</v>
      </c>
      <c r="E721" t="s">
        <v>26</v>
      </c>
      <c r="F721" t="s">
        <v>43</v>
      </c>
      <c r="G721" s="7">
        <v>43195</v>
      </c>
      <c r="H721" t="s">
        <v>14</v>
      </c>
      <c r="I721" t="s">
        <v>15</v>
      </c>
      <c r="J721" t="s">
        <v>23</v>
      </c>
      <c r="K721" t="str">
        <f>IF(HR_Data5[[#This Row],[Age]]&lt;30,"Young",IF(HR_Data5[[#This Row],[Age]]&lt;=45,"Mid-Career","Senior"))</f>
        <v>Senior</v>
      </c>
      <c r="L721" s="10">
        <f ca="1">DATEDIF(HR_Data5[[#This Row],[Joining Date]],TODAY(),"Y")</f>
        <v>7</v>
      </c>
      <c r="M721" s="10" t="str">
        <f>IF(HR_Data5[[#This Row],[Salary]]&lt;55000,"Low",IF(HR_Data5[[#This Row],[Salary]]&lt;=65000,"Medium","High"))</f>
        <v>High</v>
      </c>
      <c r="N721" s="10">
        <f>YEAR(HR_Data5[[#This Row],[Joining Date]])</f>
        <v>2018</v>
      </c>
      <c r="O721" s="10" cm="1">
        <f t="array" ref="O721">_xlfn.SWITCH(HR_Data5[[#This Row],[Performance Score]],
"A",5,
"B",4,
"C",3,
"D",2,
"F",1)</f>
        <v>2</v>
      </c>
      <c r="P721" s="10"/>
    </row>
    <row r="722" spans="1:16" x14ac:dyDescent="0.3">
      <c r="A722" t="s">
        <v>55</v>
      </c>
      <c r="B722">
        <v>35</v>
      </c>
      <c r="C722" s="6" t="s">
        <v>68</v>
      </c>
      <c r="D722" t="s">
        <v>18</v>
      </c>
      <c r="E722" t="s">
        <v>30</v>
      </c>
      <c r="F722" t="s">
        <v>20</v>
      </c>
      <c r="G722" s="7">
        <v>43549</v>
      </c>
      <c r="H722" t="s">
        <v>41</v>
      </c>
      <c r="I722" t="s">
        <v>22</v>
      </c>
      <c r="J722" t="s">
        <v>69</v>
      </c>
      <c r="K722" t="str">
        <f>IF(HR_Data5[[#This Row],[Age]]&lt;30,"Young",IF(HR_Data5[[#This Row],[Age]]&lt;=45,"Mid-Career","Senior"))</f>
        <v>Mid-Career</v>
      </c>
      <c r="L722" s="10">
        <f ca="1">DATEDIF(HR_Data5[[#This Row],[Joining Date]],TODAY(),"Y")</f>
        <v>6</v>
      </c>
      <c r="M722" s="10" t="str">
        <f>IF(HR_Data5[[#This Row],[Salary]]&lt;55000,"Low",IF(HR_Data5[[#This Row],[Salary]]&lt;=65000,"Medium","High"))</f>
        <v>High</v>
      </c>
      <c r="N722" s="10">
        <f>YEAR(HR_Data5[[#This Row],[Joining Date]])</f>
        <v>2019</v>
      </c>
      <c r="O722" s="10" cm="1">
        <f t="array" ref="O722">_xlfn.SWITCH(HR_Data5[[#This Row],[Performance Score]],
"A",5,
"B",4,
"C",3,
"D",2,
"F",1)</f>
        <v>4</v>
      </c>
      <c r="P722" s="10"/>
    </row>
    <row r="723" spans="1:16" x14ac:dyDescent="0.3">
      <c r="A723" t="s">
        <v>53</v>
      </c>
      <c r="B723">
        <v>40</v>
      </c>
      <c r="C723" s="6">
        <v>60000</v>
      </c>
      <c r="D723" t="s">
        <v>36</v>
      </c>
      <c r="E723" t="s">
        <v>37</v>
      </c>
      <c r="F723" t="s">
        <v>39</v>
      </c>
      <c r="G723" s="7">
        <v>43549</v>
      </c>
      <c r="H723" t="s">
        <v>31</v>
      </c>
      <c r="I723" t="s">
        <v>69</v>
      </c>
      <c r="J723" t="s">
        <v>69</v>
      </c>
      <c r="K723" t="str">
        <f>IF(HR_Data5[[#This Row],[Age]]&lt;30,"Young",IF(HR_Data5[[#This Row],[Age]]&lt;=45,"Mid-Career","Senior"))</f>
        <v>Mid-Career</v>
      </c>
      <c r="L723" s="10">
        <f ca="1">DATEDIF(HR_Data5[[#This Row],[Joining Date]],TODAY(),"Y")</f>
        <v>6</v>
      </c>
      <c r="M723" s="10" t="str">
        <f>IF(HR_Data5[[#This Row],[Salary]]&lt;55000,"Low",IF(HR_Data5[[#This Row],[Salary]]&lt;=65000,"Medium","High"))</f>
        <v>Medium</v>
      </c>
      <c r="N723" s="10">
        <f>YEAR(HR_Data5[[#This Row],[Joining Date]])</f>
        <v>2019</v>
      </c>
      <c r="O723" s="10" cm="1">
        <f t="array" ref="O723">_xlfn.SWITCH(HR_Data5[[#This Row],[Performance Score]],
"A",5,
"B",4,
"C",3,
"D",2,
"F",1)</f>
        <v>5</v>
      </c>
      <c r="P723" s="10"/>
    </row>
    <row r="724" spans="1:16" x14ac:dyDescent="0.3">
      <c r="A724" t="s">
        <v>59</v>
      </c>
      <c r="B724">
        <v>25</v>
      </c>
      <c r="C724" s="6">
        <v>70000</v>
      </c>
      <c r="D724" t="s">
        <v>11</v>
      </c>
      <c r="E724" t="s">
        <v>30</v>
      </c>
      <c r="F724" t="s">
        <v>13</v>
      </c>
      <c r="G724" s="7">
        <v>43195</v>
      </c>
      <c r="H724" t="s">
        <v>31</v>
      </c>
      <c r="I724" t="s">
        <v>15</v>
      </c>
      <c r="J724" t="s">
        <v>45</v>
      </c>
      <c r="K724" t="str">
        <f>IF(HR_Data5[[#This Row],[Age]]&lt;30,"Young",IF(HR_Data5[[#This Row],[Age]]&lt;=45,"Mid-Career","Senior"))</f>
        <v>Young</v>
      </c>
      <c r="L724" s="10">
        <f ca="1">DATEDIF(HR_Data5[[#This Row],[Joining Date]],TODAY(),"Y")</f>
        <v>7</v>
      </c>
      <c r="M724" s="10" t="str">
        <f>IF(HR_Data5[[#This Row],[Salary]]&lt;55000,"Low",IF(HR_Data5[[#This Row],[Salary]]&lt;=65000,"Medium","High"))</f>
        <v>High</v>
      </c>
      <c r="N724" s="10">
        <f>YEAR(HR_Data5[[#This Row],[Joining Date]])</f>
        <v>2018</v>
      </c>
      <c r="O724" s="10" cm="1">
        <f t="array" ref="O724">_xlfn.SWITCH(HR_Data5[[#This Row],[Performance Score]],
"A",5,
"B",4,
"C",3,
"D",2,
"F",1)</f>
        <v>5</v>
      </c>
      <c r="P724" s="10"/>
    </row>
    <row r="725" spans="1:16" x14ac:dyDescent="0.3">
      <c r="A725" t="s">
        <v>55</v>
      </c>
      <c r="B725">
        <v>25</v>
      </c>
      <c r="C725" s="6">
        <v>55000</v>
      </c>
      <c r="D725" t="s">
        <v>36</v>
      </c>
      <c r="E725" t="s">
        <v>26</v>
      </c>
      <c r="F725" t="s">
        <v>39</v>
      </c>
      <c r="G725" s="7">
        <v>43881</v>
      </c>
      <c r="H725" t="s">
        <v>21</v>
      </c>
      <c r="I725" t="s">
        <v>69</v>
      </c>
      <c r="J725" t="s">
        <v>69</v>
      </c>
      <c r="K725" t="str">
        <f>IF(HR_Data5[[#This Row],[Age]]&lt;30,"Young",IF(HR_Data5[[#This Row],[Age]]&lt;=45,"Mid-Career","Senior"))</f>
        <v>Young</v>
      </c>
      <c r="L725" s="10">
        <f ca="1">DATEDIF(HR_Data5[[#This Row],[Joining Date]],TODAY(),"Y")</f>
        <v>6</v>
      </c>
      <c r="M725" s="10" t="str">
        <f>IF(HR_Data5[[#This Row],[Salary]]&lt;55000,"Low",IF(HR_Data5[[#This Row],[Salary]]&lt;=65000,"Medium","High"))</f>
        <v>Medium</v>
      </c>
      <c r="N725" s="10">
        <f>YEAR(HR_Data5[[#This Row],[Joining Date]])</f>
        <v>2020</v>
      </c>
      <c r="O725" s="10" cm="1">
        <f t="array" ref="O725">_xlfn.SWITCH(HR_Data5[[#This Row],[Performance Score]],
"A",5,
"B",4,
"C",3,
"D",2,
"F",1)</f>
        <v>1</v>
      </c>
      <c r="P725" s="10"/>
    </row>
    <row r="726" spans="1:16" x14ac:dyDescent="0.3">
      <c r="A726" t="s">
        <v>59</v>
      </c>
      <c r="B726">
        <v>36</v>
      </c>
      <c r="C726" s="6">
        <v>65000</v>
      </c>
      <c r="D726" t="s">
        <v>36</v>
      </c>
      <c r="E726" t="s">
        <v>26</v>
      </c>
      <c r="F726" t="s">
        <v>43</v>
      </c>
      <c r="G726" s="7">
        <v>43195</v>
      </c>
      <c r="H726" t="s">
        <v>21</v>
      </c>
      <c r="I726" t="s">
        <v>15</v>
      </c>
      <c r="J726" t="s">
        <v>28</v>
      </c>
      <c r="K726" t="str">
        <f>IF(HR_Data5[[#This Row],[Age]]&lt;30,"Young",IF(HR_Data5[[#This Row],[Age]]&lt;=45,"Mid-Career","Senior"))</f>
        <v>Mid-Career</v>
      </c>
      <c r="L726" s="10">
        <f ca="1">DATEDIF(HR_Data5[[#This Row],[Joining Date]],TODAY(),"Y")</f>
        <v>7</v>
      </c>
      <c r="M726" s="10" t="str">
        <f>IF(HR_Data5[[#This Row],[Salary]]&lt;55000,"Low",IF(HR_Data5[[#This Row],[Salary]]&lt;=65000,"Medium","High"))</f>
        <v>Medium</v>
      </c>
      <c r="N726" s="10">
        <f>YEAR(HR_Data5[[#This Row],[Joining Date]])</f>
        <v>2018</v>
      </c>
      <c r="O726" s="10" cm="1">
        <f t="array" ref="O726">_xlfn.SWITCH(HR_Data5[[#This Row],[Performance Score]],
"A",5,
"B",4,
"C",3,
"D",2,
"F",1)</f>
        <v>1</v>
      </c>
      <c r="P726" s="10"/>
    </row>
    <row r="727" spans="1:16" x14ac:dyDescent="0.3">
      <c r="A727" t="s">
        <v>52</v>
      </c>
      <c r="B727">
        <v>50</v>
      </c>
      <c r="C727" s="6">
        <v>65000</v>
      </c>
      <c r="D727" t="s">
        <v>18</v>
      </c>
      <c r="E727" t="s">
        <v>30</v>
      </c>
      <c r="F727" t="s">
        <v>39</v>
      </c>
      <c r="G727" s="7">
        <v>43549</v>
      </c>
      <c r="H727" t="s">
        <v>41</v>
      </c>
      <c r="I727" t="s">
        <v>69</v>
      </c>
      <c r="J727" t="s">
        <v>23</v>
      </c>
      <c r="K727" t="str">
        <f>IF(HR_Data5[[#This Row],[Age]]&lt;30,"Young",IF(HR_Data5[[#This Row],[Age]]&lt;=45,"Mid-Career","Senior"))</f>
        <v>Senior</v>
      </c>
      <c r="L727" s="10">
        <f ca="1">DATEDIF(HR_Data5[[#This Row],[Joining Date]],TODAY(),"Y")</f>
        <v>6</v>
      </c>
      <c r="M727" s="10" t="str">
        <f>IF(HR_Data5[[#This Row],[Salary]]&lt;55000,"Low",IF(HR_Data5[[#This Row],[Salary]]&lt;=65000,"Medium","High"))</f>
        <v>Medium</v>
      </c>
      <c r="N727" s="10">
        <f>YEAR(HR_Data5[[#This Row],[Joining Date]])</f>
        <v>2019</v>
      </c>
      <c r="O727" s="10" cm="1">
        <f t="array" ref="O727">_xlfn.SWITCH(HR_Data5[[#This Row],[Performance Score]],
"A",5,
"B",4,
"C",3,
"D",2,
"F",1)</f>
        <v>4</v>
      </c>
      <c r="P727" s="10"/>
    </row>
    <row r="728" spans="1:16" x14ac:dyDescent="0.3">
      <c r="A728" t="s">
        <v>53</v>
      </c>
      <c r="B728">
        <v>25</v>
      </c>
      <c r="C728" s="6" t="s">
        <v>68</v>
      </c>
      <c r="D728" t="s">
        <v>36</v>
      </c>
      <c r="E728" t="s">
        <v>37</v>
      </c>
      <c r="F728" t="s">
        <v>20</v>
      </c>
      <c r="G728" s="7">
        <v>43881</v>
      </c>
      <c r="H728" t="s">
        <v>31</v>
      </c>
      <c r="I728" t="s">
        <v>69</v>
      </c>
      <c r="J728" t="s">
        <v>69</v>
      </c>
      <c r="K728" t="str">
        <f>IF(HR_Data5[[#This Row],[Age]]&lt;30,"Young",IF(HR_Data5[[#This Row],[Age]]&lt;=45,"Mid-Career","Senior"))</f>
        <v>Young</v>
      </c>
      <c r="L728" s="10">
        <f ca="1">DATEDIF(HR_Data5[[#This Row],[Joining Date]],TODAY(),"Y")</f>
        <v>6</v>
      </c>
      <c r="M728" s="10" t="str">
        <f>IF(HR_Data5[[#This Row],[Salary]]&lt;55000,"Low",IF(HR_Data5[[#This Row],[Salary]]&lt;=65000,"Medium","High"))</f>
        <v>High</v>
      </c>
      <c r="N728" s="10">
        <f>YEAR(HR_Data5[[#This Row],[Joining Date]])</f>
        <v>2020</v>
      </c>
      <c r="O728" s="10" cm="1">
        <f t="array" ref="O728">_xlfn.SWITCH(HR_Data5[[#This Row],[Performance Score]],
"A",5,
"B",4,
"C",3,
"D",2,
"F",1)</f>
        <v>5</v>
      </c>
      <c r="P728" s="10"/>
    </row>
    <row r="729" spans="1:16" x14ac:dyDescent="0.3">
      <c r="A729" t="s">
        <v>54</v>
      </c>
      <c r="B729">
        <v>35</v>
      </c>
      <c r="C729" s="6">
        <v>55000</v>
      </c>
      <c r="D729" t="s">
        <v>36</v>
      </c>
      <c r="E729" t="s">
        <v>30</v>
      </c>
      <c r="F729" t="s">
        <v>39</v>
      </c>
      <c r="G729" s="7">
        <v>43195</v>
      </c>
      <c r="H729" t="s">
        <v>41</v>
      </c>
      <c r="I729" t="s">
        <v>69</v>
      </c>
      <c r="J729" t="s">
        <v>69</v>
      </c>
      <c r="K729" t="str">
        <f>IF(HR_Data5[[#This Row],[Age]]&lt;30,"Young",IF(HR_Data5[[#This Row],[Age]]&lt;=45,"Mid-Career","Senior"))</f>
        <v>Mid-Career</v>
      </c>
      <c r="L729" s="10">
        <f ca="1">DATEDIF(HR_Data5[[#This Row],[Joining Date]],TODAY(),"Y")</f>
        <v>7</v>
      </c>
      <c r="M729" s="10" t="str">
        <f>IF(HR_Data5[[#This Row],[Salary]]&lt;55000,"Low",IF(HR_Data5[[#This Row],[Salary]]&lt;=65000,"Medium","High"))</f>
        <v>Medium</v>
      </c>
      <c r="N729" s="10">
        <f>YEAR(HR_Data5[[#This Row],[Joining Date]])</f>
        <v>2018</v>
      </c>
      <c r="O729" s="10" cm="1">
        <f t="array" ref="O729">_xlfn.SWITCH(HR_Data5[[#This Row],[Performance Score]],
"A",5,
"B",4,
"C",3,
"D",2,
"F",1)</f>
        <v>4</v>
      </c>
      <c r="P729" s="10"/>
    </row>
    <row r="730" spans="1:16" x14ac:dyDescent="0.3">
      <c r="A730" t="s">
        <v>58</v>
      </c>
      <c r="B730">
        <v>50</v>
      </c>
      <c r="C730" s="6" t="s">
        <v>68</v>
      </c>
      <c r="D730" t="s">
        <v>18</v>
      </c>
      <c r="E730" t="s">
        <v>26</v>
      </c>
      <c r="F730" t="s">
        <v>43</v>
      </c>
      <c r="G730" s="7">
        <v>43800</v>
      </c>
      <c r="H730" t="s">
        <v>21</v>
      </c>
      <c r="I730" t="s">
        <v>69</v>
      </c>
      <c r="J730" t="s">
        <v>23</v>
      </c>
      <c r="K730" t="str">
        <f>IF(HR_Data5[[#This Row],[Age]]&lt;30,"Young",IF(HR_Data5[[#This Row],[Age]]&lt;=45,"Mid-Career","Senior"))</f>
        <v>Senior</v>
      </c>
      <c r="L730" s="10">
        <f ca="1">DATEDIF(HR_Data5[[#This Row],[Joining Date]],TODAY(),"Y")</f>
        <v>6</v>
      </c>
      <c r="M730" s="10" t="str">
        <f>IF(HR_Data5[[#This Row],[Salary]]&lt;55000,"Low",IF(HR_Data5[[#This Row],[Salary]]&lt;=65000,"Medium","High"))</f>
        <v>High</v>
      </c>
      <c r="N730" s="10">
        <f>YEAR(HR_Data5[[#This Row],[Joining Date]])</f>
        <v>2019</v>
      </c>
      <c r="O730" s="10" cm="1">
        <f t="array" ref="O730">_xlfn.SWITCH(HR_Data5[[#This Row],[Performance Score]],
"A",5,
"B",4,
"C",3,
"D",2,
"F",1)</f>
        <v>1</v>
      </c>
      <c r="P730" s="10"/>
    </row>
    <row r="731" spans="1:16" x14ac:dyDescent="0.3">
      <c r="A731" t="s">
        <v>57</v>
      </c>
      <c r="B731">
        <v>35</v>
      </c>
      <c r="C731" s="6">
        <v>55000</v>
      </c>
      <c r="D731" t="s">
        <v>18</v>
      </c>
      <c r="E731" t="s">
        <v>26</v>
      </c>
      <c r="F731" t="s">
        <v>43</v>
      </c>
      <c r="G731" s="7">
        <v>43800</v>
      </c>
      <c r="H731" t="s">
        <v>21</v>
      </c>
      <c r="I731" t="s">
        <v>32</v>
      </c>
      <c r="J731" t="s">
        <v>69</v>
      </c>
      <c r="K731" t="str">
        <f>IF(HR_Data5[[#This Row],[Age]]&lt;30,"Young",IF(HR_Data5[[#This Row],[Age]]&lt;=45,"Mid-Career","Senior"))</f>
        <v>Mid-Career</v>
      </c>
      <c r="L731" s="10">
        <f ca="1">DATEDIF(HR_Data5[[#This Row],[Joining Date]],TODAY(),"Y")</f>
        <v>6</v>
      </c>
      <c r="M731" s="10" t="str">
        <f>IF(HR_Data5[[#This Row],[Salary]]&lt;55000,"Low",IF(HR_Data5[[#This Row],[Salary]]&lt;=65000,"Medium","High"))</f>
        <v>Medium</v>
      </c>
      <c r="N731" s="10">
        <f>YEAR(HR_Data5[[#This Row],[Joining Date]])</f>
        <v>2019</v>
      </c>
      <c r="O731" s="10" cm="1">
        <f t="array" ref="O731">_xlfn.SWITCH(HR_Data5[[#This Row],[Performance Score]],
"A",5,
"B",4,
"C",3,
"D",2,
"F",1)</f>
        <v>1</v>
      </c>
      <c r="P731" s="10"/>
    </row>
    <row r="732" spans="1:16" x14ac:dyDescent="0.3">
      <c r="A732" t="s">
        <v>54</v>
      </c>
      <c r="B732">
        <v>25</v>
      </c>
      <c r="C732" s="6">
        <v>60000</v>
      </c>
      <c r="D732" t="s">
        <v>18</v>
      </c>
      <c r="E732" t="s">
        <v>19</v>
      </c>
      <c r="F732" t="s">
        <v>43</v>
      </c>
      <c r="G732" s="7">
        <v>43195</v>
      </c>
      <c r="H732" t="s">
        <v>14</v>
      </c>
      <c r="I732" t="s">
        <v>15</v>
      </c>
      <c r="J732" t="s">
        <v>45</v>
      </c>
      <c r="K732" t="str">
        <f>IF(HR_Data5[[#This Row],[Age]]&lt;30,"Young",IF(HR_Data5[[#This Row],[Age]]&lt;=45,"Mid-Career","Senior"))</f>
        <v>Young</v>
      </c>
      <c r="L732" s="10">
        <f ca="1">DATEDIF(HR_Data5[[#This Row],[Joining Date]],TODAY(),"Y")</f>
        <v>7</v>
      </c>
      <c r="M732" s="10" t="str">
        <f>IF(HR_Data5[[#This Row],[Salary]]&lt;55000,"Low",IF(HR_Data5[[#This Row],[Salary]]&lt;=65000,"Medium","High"))</f>
        <v>Medium</v>
      </c>
      <c r="N732" s="10">
        <f>YEAR(HR_Data5[[#This Row],[Joining Date]])</f>
        <v>2018</v>
      </c>
      <c r="O732" s="10" cm="1">
        <f t="array" ref="O732">_xlfn.SWITCH(HR_Data5[[#This Row],[Performance Score]],
"A",5,
"B",4,
"C",3,
"D",2,
"F",1)</f>
        <v>2</v>
      </c>
      <c r="P732" s="10"/>
    </row>
    <row r="733" spans="1:16" x14ac:dyDescent="0.3">
      <c r="A733" t="s">
        <v>58</v>
      </c>
      <c r="B733">
        <v>25</v>
      </c>
      <c r="C733" s="6">
        <v>65000</v>
      </c>
      <c r="D733" t="s">
        <v>18</v>
      </c>
      <c r="E733" t="s">
        <v>19</v>
      </c>
      <c r="F733" t="s">
        <v>20</v>
      </c>
      <c r="G733" s="7">
        <v>43881</v>
      </c>
      <c r="H733" t="s">
        <v>41</v>
      </c>
      <c r="I733" t="s">
        <v>32</v>
      </c>
      <c r="J733" t="s">
        <v>69</v>
      </c>
      <c r="K733" t="str">
        <f>IF(HR_Data5[[#This Row],[Age]]&lt;30,"Young",IF(HR_Data5[[#This Row],[Age]]&lt;=45,"Mid-Career","Senior"))</f>
        <v>Young</v>
      </c>
      <c r="L733" s="10">
        <f ca="1">DATEDIF(HR_Data5[[#This Row],[Joining Date]],TODAY(),"Y")</f>
        <v>6</v>
      </c>
      <c r="M733" s="10" t="str">
        <f>IF(HR_Data5[[#This Row],[Salary]]&lt;55000,"Low",IF(HR_Data5[[#This Row],[Salary]]&lt;=65000,"Medium","High"))</f>
        <v>Medium</v>
      </c>
      <c r="N733" s="10">
        <f>YEAR(HR_Data5[[#This Row],[Joining Date]])</f>
        <v>2020</v>
      </c>
      <c r="O733" s="10" cm="1">
        <f t="array" ref="O733">_xlfn.SWITCH(HR_Data5[[#This Row],[Performance Score]],
"A",5,
"B",4,
"C",3,
"D",2,
"F",1)</f>
        <v>4</v>
      </c>
      <c r="P733" s="10"/>
    </row>
    <row r="734" spans="1:16" x14ac:dyDescent="0.3">
      <c r="A734" t="s">
        <v>56</v>
      </c>
      <c r="B734">
        <v>36</v>
      </c>
      <c r="C734" s="6">
        <v>65000</v>
      </c>
      <c r="D734" t="s">
        <v>36</v>
      </c>
      <c r="E734" t="s">
        <v>12</v>
      </c>
      <c r="F734" t="s">
        <v>43</v>
      </c>
      <c r="G734" s="7">
        <v>43195</v>
      </c>
      <c r="H734" t="s">
        <v>41</v>
      </c>
      <c r="I734" t="s">
        <v>15</v>
      </c>
      <c r="J734" t="s">
        <v>45</v>
      </c>
      <c r="K734" t="str">
        <f>IF(HR_Data5[[#This Row],[Age]]&lt;30,"Young",IF(HR_Data5[[#This Row],[Age]]&lt;=45,"Mid-Career","Senior"))</f>
        <v>Mid-Career</v>
      </c>
      <c r="L734" s="10">
        <f ca="1">DATEDIF(HR_Data5[[#This Row],[Joining Date]],TODAY(),"Y")</f>
        <v>7</v>
      </c>
      <c r="M734" s="10" t="str">
        <f>IF(HR_Data5[[#This Row],[Salary]]&lt;55000,"Low",IF(HR_Data5[[#This Row],[Salary]]&lt;=65000,"Medium","High"))</f>
        <v>Medium</v>
      </c>
      <c r="N734" s="10">
        <f>YEAR(HR_Data5[[#This Row],[Joining Date]])</f>
        <v>2018</v>
      </c>
      <c r="O734" s="10" cm="1">
        <f t="array" ref="O734">_xlfn.SWITCH(HR_Data5[[#This Row],[Performance Score]],
"A",5,
"B",4,
"C",3,
"D",2,
"F",1)</f>
        <v>4</v>
      </c>
      <c r="P734" s="10"/>
    </row>
    <row r="735" spans="1:16" x14ac:dyDescent="0.3">
      <c r="A735" t="s">
        <v>60</v>
      </c>
      <c r="B735">
        <v>25</v>
      </c>
      <c r="C735" s="6">
        <v>60000</v>
      </c>
      <c r="D735" t="s">
        <v>36</v>
      </c>
      <c r="E735" t="s">
        <v>26</v>
      </c>
      <c r="F735" t="s">
        <v>13</v>
      </c>
      <c r="G735" s="7">
        <v>43195</v>
      </c>
      <c r="H735" t="s">
        <v>31</v>
      </c>
      <c r="I735" t="s">
        <v>22</v>
      </c>
      <c r="J735" t="s">
        <v>28</v>
      </c>
      <c r="K735" t="str">
        <f>IF(HR_Data5[[#This Row],[Age]]&lt;30,"Young",IF(HR_Data5[[#This Row],[Age]]&lt;=45,"Mid-Career","Senior"))</f>
        <v>Young</v>
      </c>
      <c r="L735" s="10">
        <f ca="1">DATEDIF(HR_Data5[[#This Row],[Joining Date]],TODAY(),"Y")</f>
        <v>7</v>
      </c>
      <c r="M735" s="10" t="str">
        <f>IF(HR_Data5[[#This Row],[Salary]]&lt;55000,"Low",IF(HR_Data5[[#This Row],[Salary]]&lt;=65000,"Medium","High"))</f>
        <v>Medium</v>
      </c>
      <c r="N735" s="10">
        <f>YEAR(HR_Data5[[#This Row],[Joining Date]])</f>
        <v>2018</v>
      </c>
      <c r="O735" s="10" cm="1">
        <f t="array" ref="O735">_xlfn.SWITCH(HR_Data5[[#This Row],[Performance Score]],
"A",5,
"B",4,
"C",3,
"D",2,
"F",1)</f>
        <v>5</v>
      </c>
      <c r="P735" s="10"/>
    </row>
    <row r="736" spans="1:16" x14ac:dyDescent="0.3">
      <c r="A736" t="s">
        <v>51</v>
      </c>
      <c r="B736">
        <v>50</v>
      </c>
      <c r="C736" s="6">
        <v>50000</v>
      </c>
      <c r="D736" t="s">
        <v>11</v>
      </c>
      <c r="E736" t="s">
        <v>19</v>
      </c>
      <c r="F736" t="s">
        <v>43</v>
      </c>
      <c r="G736" s="7">
        <v>43549</v>
      </c>
      <c r="H736" t="s">
        <v>31</v>
      </c>
      <c r="I736" t="s">
        <v>69</v>
      </c>
      <c r="J736" t="s">
        <v>28</v>
      </c>
      <c r="K736" t="str">
        <f>IF(HR_Data5[[#This Row],[Age]]&lt;30,"Young",IF(HR_Data5[[#This Row],[Age]]&lt;=45,"Mid-Career","Senior"))</f>
        <v>Senior</v>
      </c>
      <c r="L736" s="10">
        <f ca="1">DATEDIF(HR_Data5[[#This Row],[Joining Date]],TODAY(),"Y")</f>
        <v>6</v>
      </c>
      <c r="M736" s="10" t="str">
        <f>IF(HR_Data5[[#This Row],[Salary]]&lt;55000,"Low",IF(HR_Data5[[#This Row],[Salary]]&lt;=65000,"Medium","High"))</f>
        <v>Low</v>
      </c>
      <c r="N736" s="10">
        <f>YEAR(HR_Data5[[#This Row],[Joining Date]])</f>
        <v>2019</v>
      </c>
      <c r="O736" s="10" cm="1">
        <f t="array" ref="O736">_xlfn.SWITCH(HR_Data5[[#This Row],[Performance Score]],
"A",5,
"B",4,
"C",3,
"D",2,
"F",1)</f>
        <v>5</v>
      </c>
      <c r="P736" s="10"/>
    </row>
    <row r="737" spans="1:16" x14ac:dyDescent="0.3">
      <c r="A737" t="s">
        <v>51</v>
      </c>
      <c r="B737">
        <v>50</v>
      </c>
      <c r="C737" s="6" t="s">
        <v>68</v>
      </c>
      <c r="D737" t="s">
        <v>11</v>
      </c>
      <c r="E737" t="s">
        <v>30</v>
      </c>
      <c r="F737" t="s">
        <v>39</v>
      </c>
      <c r="G737" s="7">
        <v>43800</v>
      </c>
      <c r="H737" t="s">
        <v>14</v>
      </c>
      <c r="I737" t="s">
        <v>22</v>
      </c>
      <c r="J737" t="s">
        <v>69</v>
      </c>
      <c r="K737" t="str">
        <f>IF(HR_Data5[[#This Row],[Age]]&lt;30,"Young",IF(HR_Data5[[#This Row],[Age]]&lt;=45,"Mid-Career","Senior"))</f>
        <v>Senior</v>
      </c>
      <c r="L737" s="10">
        <f ca="1">DATEDIF(HR_Data5[[#This Row],[Joining Date]],TODAY(),"Y")</f>
        <v>6</v>
      </c>
      <c r="M737" s="10" t="str">
        <f>IF(HR_Data5[[#This Row],[Salary]]&lt;55000,"Low",IF(HR_Data5[[#This Row],[Salary]]&lt;=65000,"Medium","High"))</f>
        <v>High</v>
      </c>
      <c r="N737" s="10">
        <f>YEAR(HR_Data5[[#This Row],[Joining Date]])</f>
        <v>2019</v>
      </c>
      <c r="O737" s="10" cm="1">
        <f t="array" ref="O737">_xlfn.SWITCH(HR_Data5[[#This Row],[Performance Score]],
"A",5,
"B",4,
"C",3,
"D",2,
"F",1)</f>
        <v>2</v>
      </c>
      <c r="P737" s="10"/>
    </row>
    <row r="738" spans="1:16" x14ac:dyDescent="0.3">
      <c r="A738" t="s">
        <v>57</v>
      </c>
      <c r="B738">
        <v>50</v>
      </c>
      <c r="C738" s="6">
        <v>60000</v>
      </c>
      <c r="D738" t="s">
        <v>36</v>
      </c>
      <c r="E738" t="s">
        <v>37</v>
      </c>
      <c r="F738" t="s">
        <v>39</v>
      </c>
      <c r="G738" s="7">
        <v>43549</v>
      </c>
      <c r="H738" t="s">
        <v>27</v>
      </c>
      <c r="I738" t="s">
        <v>22</v>
      </c>
      <c r="J738" t="s">
        <v>45</v>
      </c>
      <c r="K738" t="str">
        <f>IF(HR_Data5[[#This Row],[Age]]&lt;30,"Young",IF(HR_Data5[[#This Row],[Age]]&lt;=45,"Mid-Career","Senior"))</f>
        <v>Senior</v>
      </c>
      <c r="L738" s="10">
        <f ca="1">DATEDIF(HR_Data5[[#This Row],[Joining Date]],TODAY(),"Y")</f>
        <v>6</v>
      </c>
      <c r="M738" s="10" t="str">
        <f>IF(HR_Data5[[#This Row],[Salary]]&lt;55000,"Low",IF(HR_Data5[[#This Row],[Salary]]&lt;=65000,"Medium","High"))</f>
        <v>Medium</v>
      </c>
      <c r="N738" s="10">
        <f>YEAR(HR_Data5[[#This Row],[Joining Date]])</f>
        <v>2019</v>
      </c>
      <c r="O738" s="10" cm="1">
        <f t="array" ref="O738">_xlfn.SWITCH(HR_Data5[[#This Row],[Performance Score]],
"A",5,
"B",4,
"C",3,
"D",2,
"F",1)</f>
        <v>3</v>
      </c>
      <c r="P738" s="10"/>
    </row>
    <row r="739" spans="1:16" x14ac:dyDescent="0.3">
      <c r="A739" t="s">
        <v>53</v>
      </c>
      <c r="B739">
        <v>36</v>
      </c>
      <c r="C739" s="6" t="s">
        <v>68</v>
      </c>
      <c r="D739" t="s">
        <v>11</v>
      </c>
      <c r="E739" t="s">
        <v>30</v>
      </c>
      <c r="F739" t="s">
        <v>39</v>
      </c>
      <c r="G739" s="7">
        <v>43549</v>
      </c>
      <c r="H739" t="s">
        <v>27</v>
      </c>
      <c r="I739" t="s">
        <v>15</v>
      </c>
      <c r="J739" t="s">
        <v>28</v>
      </c>
      <c r="K739" t="str">
        <f>IF(HR_Data5[[#This Row],[Age]]&lt;30,"Young",IF(HR_Data5[[#This Row],[Age]]&lt;=45,"Mid-Career","Senior"))</f>
        <v>Mid-Career</v>
      </c>
      <c r="L739" s="10">
        <f ca="1">DATEDIF(HR_Data5[[#This Row],[Joining Date]],TODAY(),"Y")</f>
        <v>6</v>
      </c>
      <c r="M739" s="10" t="str">
        <f>IF(HR_Data5[[#This Row],[Salary]]&lt;55000,"Low",IF(HR_Data5[[#This Row],[Salary]]&lt;=65000,"Medium","High"))</f>
        <v>High</v>
      </c>
      <c r="N739" s="10">
        <f>YEAR(HR_Data5[[#This Row],[Joining Date]])</f>
        <v>2019</v>
      </c>
      <c r="O739" s="10" cm="1">
        <f t="array" ref="O739">_xlfn.SWITCH(HR_Data5[[#This Row],[Performance Score]],
"A",5,
"B",4,
"C",3,
"D",2,
"F",1)</f>
        <v>3</v>
      </c>
      <c r="P739" s="10"/>
    </row>
    <row r="740" spans="1:16" x14ac:dyDescent="0.3">
      <c r="A740" t="s">
        <v>52</v>
      </c>
      <c r="B740">
        <v>36</v>
      </c>
      <c r="C740" s="6">
        <v>70000</v>
      </c>
      <c r="D740" t="s">
        <v>36</v>
      </c>
      <c r="E740" t="s">
        <v>37</v>
      </c>
      <c r="F740" t="s">
        <v>20</v>
      </c>
      <c r="G740" s="7">
        <v>43195</v>
      </c>
      <c r="H740" t="s">
        <v>27</v>
      </c>
      <c r="I740" t="s">
        <v>32</v>
      </c>
      <c r="J740" t="s">
        <v>69</v>
      </c>
      <c r="K740" t="str">
        <f>IF(HR_Data5[[#This Row],[Age]]&lt;30,"Young",IF(HR_Data5[[#This Row],[Age]]&lt;=45,"Mid-Career","Senior"))</f>
        <v>Mid-Career</v>
      </c>
      <c r="L740" s="10">
        <f ca="1">DATEDIF(HR_Data5[[#This Row],[Joining Date]],TODAY(),"Y")</f>
        <v>7</v>
      </c>
      <c r="M740" s="10" t="str">
        <f>IF(HR_Data5[[#This Row],[Salary]]&lt;55000,"Low",IF(HR_Data5[[#This Row],[Salary]]&lt;=65000,"Medium","High"))</f>
        <v>High</v>
      </c>
      <c r="N740" s="10">
        <f>YEAR(HR_Data5[[#This Row],[Joining Date]])</f>
        <v>2018</v>
      </c>
      <c r="O740" s="10" cm="1">
        <f t="array" ref="O740">_xlfn.SWITCH(HR_Data5[[#This Row],[Performance Score]],
"A",5,
"B",4,
"C",3,
"D",2,
"F",1)</f>
        <v>3</v>
      </c>
      <c r="P740" s="10"/>
    </row>
    <row r="741" spans="1:16" x14ac:dyDescent="0.3">
      <c r="A741" t="s">
        <v>53</v>
      </c>
      <c r="B741">
        <v>25</v>
      </c>
      <c r="C741" s="6">
        <v>65000</v>
      </c>
      <c r="D741" t="s">
        <v>11</v>
      </c>
      <c r="E741" t="s">
        <v>19</v>
      </c>
      <c r="F741" t="s">
        <v>39</v>
      </c>
      <c r="G741" s="7">
        <v>43549</v>
      </c>
      <c r="H741" t="s">
        <v>41</v>
      </c>
      <c r="I741" t="s">
        <v>69</v>
      </c>
      <c r="J741" t="s">
        <v>23</v>
      </c>
      <c r="K741" t="str">
        <f>IF(HR_Data5[[#This Row],[Age]]&lt;30,"Young",IF(HR_Data5[[#This Row],[Age]]&lt;=45,"Mid-Career","Senior"))</f>
        <v>Young</v>
      </c>
      <c r="L741" s="10">
        <f ca="1">DATEDIF(HR_Data5[[#This Row],[Joining Date]],TODAY(),"Y")</f>
        <v>6</v>
      </c>
      <c r="M741" s="10" t="str">
        <f>IF(HR_Data5[[#This Row],[Salary]]&lt;55000,"Low",IF(HR_Data5[[#This Row],[Salary]]&lt;=65000,"Medium","High"))</f>
        <v>Medium</v>
      </c>
      <c r="N741" s="10">
        <f>YEAR(HR_Data5[[#This Row],[Joining Date]])</f>
        <v>2019</v>
      </c>
      <c r="O741" s="10" cm="1">
        <f t="array" ref="O741">_xlfn.SWITCH(HR_Data5[[#This Row],[Performance Score]],
"A",5,
"B",4,
"C",3,
"D",2,
"F",1)</f>
        <v>4</v>
      </c>
      <c r="P741" s="10"/>
    </row>
    <row r="742" spans="1:16" x14ac:dyDescent="0.3">
      <c r="A742" t="s">
        <v>52</v>
      </c>
      <c r="B742">
        <v>30</v>
      </c>
      <c r="C742" s="6" t="s">
        <v>68</v>
      </c>
      <c r="D742" t="s">
        <v>18</v>
      </c>
      <c r="E742" t="s">
        <v>12</v>
      </c>
      <c r="F742" t="s">
        <v>20</v>
      </c>
      <c r="G742" s="7">
        <v>43800</v>
      </c>
      <c r="H742" t="s">
        <v>41</v>
      </c>
      <c r="I742" t="s">
        <v>15</v>
      </c>
      <c r="J742" t="s">
        <v>23</v>
      </c>
      <c r="K742" t="str">
        <f>IF(HR_Data5[[#This Row],[Age]]&lt;30,"Young",IF(HR_Data5[[#This Row],[Age]]&lt;=45,"Mid-Career","Senior"))</f>
        <v>Mid-Career</v>
      </c>
      <c r="L742" s="10">
        <f ca="1">DATEDIF(HR_Data5[[#This Row],[Joining Date]],TODAY(),"Y")</f>
        <v>6</v>
      </c>
      <c r="M742" s="10" t="str">
        <f>IF(HR_Data5[[#This Row],[Salary]]&lt;55000,"Low",IF(HR_Data5[[#This Row],[Salary]]&lt;=65000,"Medium","High"))</f>
        <v>High</v>
      </c>
      <c r="N742" s="10">
        <f>YEAR(HR_Data5[[#This Row],[Joining Date]])</f>
        <v>2019</v>
      </c>
      <c r="O742" s="10" cm="1">
        <f t="array" ref="O742">_xlfn.SWITCH(HR_Data5[[#This Row],[Performance Score]],
"A",5,
"B",4,
"C",3,
"D",2,
"F",1)</f>
        <v>4</v>
      </c>
      <c r="P742" s="10"/>
    </row>
    <row r="743" spans="1:16" x14ac:dyDescent="0.3">
      <c r="A743" t="s">
        <v>53</v>
      </c>
      <c r="B743">
        <v>30</v>
      </c>
      <c r="C743" s="6">
        <v>55000</v>
      </c>
      <c r="D743" t="s">
        <v>11</v>
      </c>
      <c r="E743" t="s">
        <v>30</v>
      </c>
      <c r="F743" t="s">
        <v>20</v>
      </c>
      <c r="G743" s="7">
        <v>43549</v>
      </c>
      <c r="H743" t="s">
        <v>21</v>
      </c>
      <c r="I743" t="s">
        <v>69</v>
      </c>
      <c r="J743" t="s">
        <v>45</v>
      </c>
      <c r="K743" t="str">
        <f>IF(HR_Data5[[#This Row],[Age]]&lt;30,"Young",IF(HR_Data5[[#This Row],[Age]]&lt;=45,"Mid-Career","Senior"))</f>
        <v>Mid-Career</v>
      </c>
      <c r="L743" s="10">
        <f ca="1">DATEDIF(HR_Data5[[#This Row],[Joining Date]],TODAY(),"Y")</f>
        <v>6</v>
      </c>
      <c r="M743" s="10" t="str">
        <f>IF(HR_Data5[[#This Row],[Salary]]&lt;55000,"Low",IF(HR_Data5[[#This Row],[Salary]]&lt;=65000,"Medium","High"))</f>
        <v>Medium</v>
      </c>
      <c r="N743" s="10">
        <f>YEAR(HR_Data5[[#This Row],[Joining Date]])</f>
        <v>2019</v>
      </c>
      <c r="O743" s="10" cm="1">
        <f t="array" ref="O743">_xlfn.SWITCH(HR_Data5[[#This Row],[Performance Score]],
"A",5,
"B",4,
"C",3,
"D",2,
"F",1)</f>
        <v>1</v>
      </c>
      <c r="P743" s="10"/>
    </row>
    <row r="744" spans="1:16" x14ac:dyDescent="0.3">
      <c r="A744" t="s">
        <v>60</v>
      </c>
      <c r="B744">
        <v>36</v>
      </c>
      <c r="C744" s="6" t="s">
        <v>68</v>
      </c>
      <c r="D744" t="s">
        <v>18</v>
      </c>
      <c r="E744" t="s">
        <v>30</v>
      </c>
      <c r="F744" t="s">
        <v>43</v>
      </c>
      <c r="G744" s="7">
        <v>43800</v>
      </c>
      <c r="H744" t="s">
        <v>41</v>
      </c>
      <c r="I744" t="s">
        <v>22</v>
      </c>
      <c r="J744" t="s">
        <v>69</v>
      </c>
      <c r="K744" t="str">
        <f>IF(HR_Data5[[#This Row],[Age]]&lt;30,"Young",IF(HR_Data5[[#This Row],[Age]]&lt;=45,"Mid-Career","Senior"))</f>
        <v>Mid-Career</v>
      </c>
      <c r="L744" s="10">
        <f ca="1">DATEDIF(HR_Data5[[#This Row],[Joining Date]],TODAY(),"Y")</f>
        <v>6</v>
      </c>
      <c r="M744" s="10" t="str">
        <f>IF(HR_Data5[[#This Row],[Salary]]&lt;55000,"Low",IF(HR_Data5[[#This Row],[Salary]]&lt;=65000,"Medium","High"))</f>
        <v>High</v>
      </c>
      <c r="N744" s="10">
        <f>YEAR(HR_Data5[[#This Row],[Joining Date]])</f>
        <v>2019</v>
      </c>
      <c r="O744" s="10" cm="1">
        <f t="array" ref="O744">_xlfn.SWITCH(HR_Data5[[#This Row],[Performance Score]],
"A",5,
"B",4,
"C",3,
"D",2,
"F",1)</f>
        <v>4</v>
      </c>
      <c r="P744" s="10"/>
    </row>
    <row r="745" spans="1:16" x14ac:dyDescent="0.3">
      <c r="A745" t="s">
        <v>56</v>
      </c>
      <c r="B745">
        <v>25</v>
      </c>
      <c r="C745" s="6">
        <v>70000</v>
      </c>
      <c r="D745" t="s">
        <v>18</v>
      </c>
      <c r="E745" t="s">
        <v>30</v>
      </c>
      <c r="F745" t="s">
        <v>13</v>
      </c>
      <c r="G745" s="7">
        <v>43549</v>
      </c>
      <c r="H745" t="s">
        <v>41</v>
      </c>
      <c r="I745" t="s">
        <v>69</v>
      </c>
      <c r="J745" t="s">
        <v>69</v>
      </c>
      <c r="K745" t="str">
        <f>IF(HR_Data5[[#This Row],[Age]]&lt;30,"Young",IF(HR_Data5[[#This Row],[Age]]&lt;=45,"Mid-Career","Senior"))</f>
        <v>Young</v>
      </c>
      <c r="L745" s="10">
        <f ca="1">DATEDIF(HR_Data5[[#This Row],[Joining Date]],TODAY(),"Y")</f>
        <v>6</v>
      </c>
      <c r="M745" s="10" t="str">
        <f>IF(HR_Data5[[#This Row],[Salary]]&lt;55000,"Low",IF(HR_Data5[[#This Row],[Salary]]&lt;=65000,"Medium","High"))</f>
        <v>High</v>
      </c>
      <c r="N745" s="10">
        <f>YEAR(HR_Data5[[#This Row],[Joining Date]])</f>
        <v>2019</v>
      </c>
      <c r="O745" s="10" cm="1">
        <f t="array" ref="O745">_xlfn.SWITCH(HR_Data5[[#This Row],[Performance Score]],
"A",5,
"B",4,
"C",3,
"D",2,
"F",1)</f>
        <v>4</v>
      </c>
      <c r="P745" s="10"/>
    </row>
    <row r="746" spans="1:16" x14ac:dyDescent="0.3">
      <c r="A746" t="s">
        <v>56</v>
      </c>
      <c r="B746">
        <v>30</v>
      </c>
      <c r="C746" s="6">
        <v>65000</v>
      </c>
      <c r="D746" t="s">
        <v>18</v>
      </c>
      <c r="E746" t="s">
        <v>37</v>
      </c>
      <c r="F746" t="s">
        <v>43</v>
      </c>
      <c r="G746" s="7">
        <v>43800</v>
      </c>
      <c r="H746" t="s">
        <v>41</v>
      </c>
      <c r="I746" t="s">
        <v>32</v>
      </c>
      <c r="J746" t="s">
        <v>45</v>
      </c>
      <c r="K746" t="str">
        <f>IF(HR_Data5[[#This Row],[Age]]&lt;30,"Young",IF(HR_Data5[[#This Row],[Age]]&lt;=45,"Mid-Career","Senior"))</f>
        <v>Mid-Career</v>
      </c>
      <c r="L746" s="10">
        <f ca="1">DATEDIF(HR_Data5[[#This Row],[Joining Date]],TODAY(),"Y")</f>
        <v>6</v>
      </c>
      <c r="M746" s="10" t="str">
        <f>IF(HR_Data5[[#This Row],[Salary]]&lt;55000,"Low",IF(HR_Data5[[#This Row],[Salary]]&lt;=65000,"Medium","High"))</f>
        <v>Medium</v>
      </c>
      <c r="N746" s="10">
        <f>YEAR(HR_Data5[[#This Row],[Joining Date]])</f>
        <v>2019</v>
      </c>
      <c r="O746" s="10" cm="1">
        <f t="array" ref="O746">_xlfn.SWITCH(HR_Data5[[#This Row],[Performance Score]],
"A",5,
"B",4,
"C",3,
"D",2,
"F",1)</f>
        <v>4</v>
      </c>
      <c r="P746" s="10"/>
    </row>
    <row r="747" spans="1:16" x14ac:dyDescent="0.3">
      <c r="A747" t="s">
        <v>58</v>
      </c>
      <c r="B747">
        <v>25</v>
      </c>
      <c r="C747" s="6">
        <v>60000</v>
      </c>
      <c r="D747" t="s">
        <v>18</v>
      </c>
      <c r="E747" t="s">
        <v>19</v>
      </c>
      <c r="F747" t="s">
        <v>43</v>
      </c>
      <c r="G747" s="7">
        <v>43549</v>
      </c>
      <c r="H747" t="s">
        <v>14</v>
      </c>
      <c r="I747" t="s">
        <v>15</v>
      </c>
      <c r="J747" t="s">
        <v>23</v>
      </c>
      <c r="K747" t="str">
        <f>IF(HR_Data5[[#This Row],[Age]]&lt;30,"Young",IF(HR_Data5[[#This Row],[Age]]&lt;=45,"Mid-Career","Senior"))</f>
        <v>Young</v>
      </c>
      <c r="L747" s="10">
        <f ca="1">DATEDIF(HR_Data5[[#This Row],[Joining Date]],TODAY(),"Y")</f>
        <v>6</v>
      </c>
      <c r="M747" s="10" t="str">
        <f>IF(HR_Data5[[#This Row],[Salary]]&lt;55000,"Low",IF(HR_Data5[[#This Row],[Salary]]&lt;=65000,"Medium","High"))</f>
        <v>Medium</v>
      </c>
      <c r="N747" s="10">
        <f>YEAR(HR_Data5[[#This Row],[Joining Date]])</f>
        <v>2019</v>
      </c>
      <c r="O747" s="10" cm="1">
        <f t="array" ref="O747">_xlfn.SWITCH(HR_Data5[[#This Row],[Performance Score]],
"A",5,
"B",4,
"C",3,
"D",2,
"F",1)</f>
        <v>2</v>
      </c>
      <c r="P747" s="10"/>
    </row>
    <row r="748" spans="1:16" x14ac:dyDescent="0.3">
      <c r="A748" t="s">
        <v>55</v>
      </c>
      <c r="B748">
        <v>25</v>
      </c>
      <c r="C748" s="6">
        <v>70000</v>
      </c>
      <c r="D748" t="s">
        <v>11</v>
      </c>
      <c r="E748" t="s">
        <v>30</v>
      </c>
      <c r="F748" t="s">
        <v>20</v>
      </c>
      <c r="G748" s="7">
        <v>43549</v>
      </c>
      <c r="H748" t="s">
        <v>41</v>
      </c>
      <c r="I748" t="s">
        <v>32</v>
      </c>
      <c r="J748" t="s">
        <v>45</v>
      </c>
      <c r="K748" t="str">
        <f>IF(HR_Data5[[#This Row],[Age]]&lt;30,"Young",IF(HR_Data5[[#This Row],[Age]]&lt;=45,"Mid-Career","Senior"))</f>
        <v>Young</v>
      </c>
      <c r="L748" s="10">
        <f ca="1">DATEDIF(HR_Data5[[#This Row],[Joining Date]],TODAY(),"Y")</f>
        <v>6</v>
      </c>
      <c r="M748" s="10" t="str">
        <f>IF(HR_Data5[[#This Row],[Salary]]&lt;55000,"Low",IF(HR_Data5[[#This Row],[Salary]]&lt;=65000,"Medium","High"))</f>
        <v>High</v>
      </c>
      <c r="N748" s="10">
        <f>YEAR(HR_Data5[[#This Row],[Joining Date]])</f>
        <v>2019</v>
      </c>
      <c r="O748" s="10" cm="1">
        <f t="array" ref="O748">_xlfn.SWITCH(HR_Data5[[#This Row],[Performance Score]],
"A",5,
"B",4,
"C",3,
"D",2,
"F",1)</f>
        <v>4</v>
      </c>
      <c r="P748" s="10"/>
    </row>
    <row r="749" spans="1:16" x14ac:dyDescent="0.3">
      <c r="A749" t="s">
        <v>56</v>
      </c>
      <c r="B749">
        <v>25</v>
      </c>
      <c r="C749" s="6">
        <v>65000</v>
      </c>
      <c r="D749" t="s">
        <v>36</v>
      </c>
      <c r="E749" t="s">
        <v>30</v>
      </c>
      <c r="F749" t="s">
        <v>20</v>
      </c>
      <c r="G749" s="7">
        <v>43881</v>
      </c>
      <c r="H749" t="s">
        <v>31</v>
      </c>
      <c r="I749" t="s">
        <v>32</v>
      </c>
      <c r="J749" t="s">
        <v>69</v>
      </c>
      <c r="K749" t="str">
        <f>IF(HR_Data5[[#This Row],[Age]]&lt;30,"Young",IF(HR_Data5[[#This Row],[Age]]&lt;=45,"Mid-Career","Senior"))</f>
        <v>Young</v>
      </c>
      <c r="L749" s="10">
        <f ca="1">DATEDIF(HR_Data5[[#This Row],[Joining Date]],TODAY(),"Y")</f>
        <v>6</v>
      </c>
      <c r="M749" s="10" t="str">
        <f>IF(HR_Data5[[#This Row],[Salary]]&lt;55000,"Low",IF(HR_Data5[[#This Row],[Salary]]&lt;=65000,"Medium","High"))</f>
        <v>Medium</v>
      </c>
      <c r="N749" s="10">
        <f>YEAR(HR_Data5[[#This Row],[Joining Date]])</f>
        <v>2020</v>
      </c>
      <c r="O749" s="10" cm="1">
        <f t="array" ref="O749">_xlfn.SWITCH(HR_Data5[[#This Row],[Performance Score]],
"A",5,
"B",4,
"C",3,
"D",2,
"F",1)</f>
        <v>5</v>
      </c>
      <c r="P749" s="10"/>
    </row>
    <row r="750" spans="1:16" x14ac:dyDescent="0.3">
      <c r="A750" t="s">
        <v>56</v>
      </c>
      <c r="B750">
        <v>40</v>
      </c>
      <c r="C750" s="6" t="s">
        <v>68</v>
      </c>
      <c r="D750" t="s">
        <v>18</v>
      </c>
      <c r="E750" t="s">
        <v>12</v>
      </c>
      <c r="F750" t="s">
        <v>39</v>
      </c>
      <c r="G750" s="7">
        <v>43800</v>
      </c>
      <c r="H750" t="s">
        <v>31</v>
      </c>
      <c r="I750" t="s">
        <v>15</v>
      </c>
      <c r="J750" t="s">
        <v>28</v>
      </c>
      <c r="K750" t="str">
        <f>IF(HR_Data5[[#This Row],[Age]]&lt;30,"Young",IF(HR_Data5[[#This Row],[Age]]&lt;=45,"Mid-Career","Senior"))</f>
        <v>Mid-Career</v>
      </c>
      <c r="L750" s="10">
        <f ca="1">DATEDIF(HR_Data5[[#This Row],[Joining Date]],TODAY(),"Y")</f>
        <v>6</v>
      </c>
      <c r="M750" s="10" t="str">
        <f>IF(HR_Data5[[#This Row],[Salary]]&lt;55000,"Low",IF(HR_Data5[[#This Row],[Salary]]&lt;=65000,"Medium","High"))</f>
        <v>High</v>
      </c>
      <c r="N750" s="10">
        <f>YEAR(HR_Data5[[#This Row],[Joining Date]])</f>
        <v>2019</v>
      </c>
      <c r="O750" s="10" cm="1">
        <f t="array" ref="O750">_xlfn.SWITCH(HR_Data5[[#This Row],[Performance Score]],
"A",5,
"B",4,
"C",3,
"D",2,
"F",1)</f>
        <v>5</v>
      </c>
      <c r="P750" s="10"/>
    </row>
    <row r="751" spans="1:16" x14ac:dyDescent="0.3">
      <c r="A751" t="s">
        <v>54</v>
      </c>
      <c r="B751">
        <v>50</v>
      </c>
      <c r="C751" s="6">
        <v>50000</v>
      </c>
      <c r="D751" t="s">
        <v>11</v>
      </c>
      <c r="E751" t="s">
        <v>12</v>
      </c>
      <c r="F751" t="s">
        <v>39</v>
      </c>
      <c r="G751" s="7">
        <v>43800</v>
      </c>
      <c r="H751" t="s">
        <v>21</v>
      </c>
      <c r="I751" t="s">
        <v>32</v>
      </c>
      <c r="J751" t="s">
        <v>69</v>
      </c>
      <c r="K751" t="str">
        <f>IF(HR_Data5[[#This Row],[Age]]&lt;30,"Young",IF(HR_Data5[[#This Row],[Age]]&lt;=45,"Mid-Career","Senior"))</f>
        <v>Senior</v>
      </c>
      <c r="L751" s="10">
        <f ca="1">DATEDIF(HR_Data5[[#This Row],[Joining Date]],TODAY(),"Y")</f>
        <v>6</v>
      </c>
      <c r="M751" s="10" t="str">
        <f>IF(HR_Data5[[#This Row],[Salary]]&lt;55000,"Low",IF(HR_Data5[[#This Row],[Salary]]&lt;=65000,"Medium","High"))</f>
        <v>Low</v>
      </c>
      <c r="N751" s="10">
        <f>YEAR(HR_Data5[[#This Row],[Joining Date]])</f>
        <v>2019</v>
      </c>
      <c r="O751" s="10" cm="1">
        <f t="array" ref="O751">_xlfn.SWITCH(HR_Data5[[#This Row],[Performance Score]],
"A",5,
"B",4,
"C",3,
"D",2,
"F",1)</f>
        <v>1</v>
      </c>
      <c r="P751" s="10"/>
    </row>
    <row r="752" spans="1:16" x14ac:dyDescent="0.3">
      <c r="A752" t="s">
        <v>54</v>
      </c>
      <c r="B752">
        <v>25</v>
      </c>
      <c r="C752" s="6">
        <v>50000</v>
      </c>
      <c r="D752" t="s">
        <v>18</v>
      </c>
      <c r="E752" t="s">
        <v>19</v>
      </c>
      <c r="F752" t="s">
        <v>43</v>
      </c>
      <c r="G752" s="7">
        <v>43800</v>
      </c>
      <c r="H752" t="s">
        <v>14</v>
      </c>
      <c r="I752" t="s">
        <v>69</v>
      </c>
      <c r="J752" t="s">
        <v>28</v>
      </c>
      <c r="K752" t="str">
        <f>IF(HR_Data5[[#This Row],[Age]]&lt;30,"Young",IF(HR_Data5[[#This Row],[Age]]&lt;=45,"Mid-Career","Senior"))</f>
        <v>Young</v>
      </c>
      <c r="L752" s="10">
        <f ca="1">DATEDIF(HR_Data5[[#This Row],[Joining Date]],TODAY(),"Y")</f>
        <v>6</v>
      </c>
      <c r="M752" s="10" t="str">
        <f>IF(HR_Data5[[#This Row],[Salary]]&lt;55000,"Low",IF(HR_Data5[[#This Row],[Salary]]&lt;=65000,"Medium","High"))</f>
        <v>Low</v>
      </c>
      <c r="N752" s="10">
        <f>YEAR(HR_Data5[[#This Row],[Joining Date]])</f>
        <v>2019</v>
      </c>
      <c r="O752" s="10" cm="1">
        <f t="array" ref="O752">_xlfn.SWITCH(HR_Data5[[#This Row],[Performance Score]],
"A",5,
"B",4,
"C",3,
"D",2,
"F",1)</f>
        <v>2</v>
      </c>
      <c r="P752" s="10"/>
    </row>
    <row r="753" spans="1:16" x14ac:dyDescent="0.3">
      <c r="A753" t="s">
        <v>58</v>
      </c>
      <c r="B753">
        <v>40</v>
      </c>
      <c r="C753" s="6">
        <v>55000</v>
      </c>
      <c r="D753" t="s">
        <v>11</v>
      </c>
      <c r="E753" t="s">
        <v>19</v>
      </c>
      <c r="F753" t="s">
        <v>44</v>
      </c>
      <c r="G753" s="7">
        <v>43845</v>
      </c>
      <c r="H753" t="s">
        <v>31</v>
      </c>
      <c r="I753" t="s">
        <v>69</v>
      </c>
      <c r="J753" t="s">
        <v>28</v>
      </c>
      <c r="K753" t="str">
        <f>IF(HR_Data5[[#This Row],[Age]]&lt;30,"Young",IF(HR_Data5[[#This Row],[Age]]&lt;=45,"Mid-Career","Senior"))</f>
        <v>Mid-Career</v>
      </c>
      <c r="L753" s="10">
        <f ca="1">DATEDIF(HR_Data5[[#This Row],[Joining Date]],TODAY(),"Y")</f>
        <v>6</v>
      </c>
      <c r="M753" s="10" t="str">
        <f>IF(HR_Data5[[#This Row],[Salary]]&lt;55000,"Low",IF(HR_Data5[[#This Row],[Salary]]&lt;=65000,"Medium","High"))</f>
        <v>Medium</v>
      </c>
      <c r="N753" s="10">
        <f>YEAR(HR_Data5[[#This Row],[Joining Date]])</f>
        <v>2020</v>
      </c>
      <c r="O753" s="10" cm="1">
        <f t="array" ref="O753">_xlfn.SWITCH(HR_Data5[[#This Row],[Performance Score]],
"A",5,
"B",4,
"C",3,
"D",2,
"F",1)</f>
        <v>5</v>
      </c>
      <c r="P753" s="10"/>
    </row>
    <row r="754" spans="1:16" x14ac:dyDescent="0.3">
      <c r="A754" t="s">
        <v>55</v>
      </c>
      <c r="B754">
        <v>36</v>
      </c>
      <c r="C754" s="6">
        <v>65000</v>
      </c>
      <c r="D754" t="s">
        <v>11</v>
      </c>
      <c r="E754" t="s">
        <v>26</v>
      </c>
      <c r="F754" t="s">
        <v>44</v>
      </c>
      <c r="G754" s="7">
        <v>43549</v>
      </c>
      <c r="H754" t="s">
        <v>14</v>
      </c>
      <c r="I754" t="s">
        <v>69</v>
      </c>
      <c r="J754" t="s">
        <v>28</v>
      </c>
      <c r="K754" t="str">
        <f>IF(HR_Data5[[#This Row],[Age]]&lt;30,"Young",IF(HR_Data5[[#This Row],[Age]]&lt;=45,"Mid-Career","Senior"))</f>
        <v>Mid-Career</v>
      </c>
      <c r="L754" s="10">
        <f ca="1">DATEDIF(HR_Data5[[#This Row],[Joining Date]],TODAY(),"Y")</f>
        <v>6</v>
      </c>
      <c r="M754" s="10" t="str">
        <f>IF(HR_Data5[[#This Row],[Salary]]&lt;55000,"Low",IF(HR_Data5[[#This Row],[Salary]]&lt;=65000,"Medium","High"))</f>
        <v>Medium</v>
      </c>
      <c r="N754" s="10">
        <f>YEAR(HR_Data5[[#This Row],[Joining Date]])</f>
        <v>2019</v>
      </c>
      <c r="O754" s="10" cm="1">
        <f t="array" ref="O754">_xlfn.SWITCH(HR_Data5[[#This Row],[Performance Score]],
"A",5,
"B",4,
"C",3,
"D",2,
"F",1)</f>
        <v>2</v>
      </c>
      <c r="P754" s="10"/>
    </row>
    <row r="755" spans="1:16" x14ac:dyDescent="0.3">
      <c r="A755" t="s">
        <v>57</v>
      </c>
      <c r="B755">
        <v>30</v>
      </c>
      <c r="C755" s="6">
        <v>50000</v>
      </c>
      <c r="D755" t="s">
        <v>11</v>
      </c>
      <c r="E755" t="s">
        <v>12</v>
      </c>
      <c r="F755" t="s">
        <v>39</v>
      </c>
      <c r="G755" s="7">
        <v>43800</v>
      </c>
      <c r="H755" t="s">
        <v>14</v>
      </c>
      <c r="I755" t="s">
        <v>69</v>
      </c>
      <c r="J755" t="s">
        <v>45</v>
      </c>
      <c r="K755" t="str">
        <f>IF(HR_Data5[[#This Row],[Age]]&lt;30,"Young",IF(HR_Data5[[#This Row],[Age]]&lt;=45,"Mid-Career","Senior"))</f>
        <v>Mid-Career</v>
      </c>
      <c r="L755" s="10">
        <f ca="1">DATEDIF(HR_Data5[[#This Row],[Joining Date]],TODAY(),"Y")</f>
        <v>6</v>
      </c>
      <c r="M755" s="10" t="str">
        <f>IF(HR_Data5[[#This Row],[Salary]]&lt;55000,"Low",IF(HR_Data5[[#This Row],[Salary]]&lt;=65000,"Medium","High"))</f>
        <v>Low</v>
      </c>
      <c r="N755" s="10">
        <f>YEAR(HR_Data5[[#This Row],[Joining Date]])</f>
        <v>2019</v>
      </c>
      <c r="O755" s="10" cm="1">
        <f t="array" ref="O755">_xlfn.SWITCH(HR_Data5[[#This Row],[Performance Score]],
"A",5,
"B",4,
"C",3,
"D",2,
"F",1)</f>
        <v>2</v>
      </c>
      <c r="P755" s="10"/>
    </row>
    <row r="756" spans="1:16" x14ac:dyDescent="0.3">
      <c r="A756" t="s">
        <v>54</v>
      </c>
      <c r="B756">
        <v>50</v>
      </c>
      <c r="C756" s="6">
        <v>60000</v>
      </c>
      <c r="D756" t="s">
        <v>36</v>
      </c>
      <c r="E756" t="s">
        <v>26</v>
      </c>
      <c r="F756" t="s">
        <v>44</v>
      </c>
      <c r="G756" s="7">
        <v>43845</v>
      </c>
      <c r="H756" t="s">
        <v>21</v>
      </c>
      <c r="I756" t="s">
        <v>32</v>
      </c>
      <c r="J756" t="s">
        <v>23</v>
      </c>
      <c r="K756" t="str">
        <f>IF(HR_Data5[[#This Row],[Age]]&lt;30,"Young",IF(HR_Data5[[#This Row],[Age]]&lt;=45,"Mid-Career","Senior"))</f>
        <v>Senior</v>
      </c>
      <c r="L756" s="10">
        <f ca="1">DATEDIF(HR_Data5[[#This Row],[Joining Date]],TODAY(),"Y")</f>
        <v>6</v>
      </c>
      <c r="M756" s="10" t="str">
        <f>IF(HR_Data5[[#This Row],[Salary]]&lt;55000,"Low",IF(HR_Data5[[#This Row],[Salary]]&lt;=65000,"Medium","High"))</f>
        <v>Medium</v>
      </c>
      <c r="N756" s="10">
        <f>YEAR(HR_Data5[[#This Row],[Joining Date]])</f>
        <v>2020</v>
      </c>
      <c r="O756" s="10" cm="1">
        <f t="array" ref="O756">_xlfn.SWITCH(HR_Data5[[#This Row],[Performance Score]],
"A",5,
"B",4,
"C",3,
"D",2,
"F",1)</f>
        <v>1</v>
      </c>
      <c r="P756" s="10"/>
    </row>
    <row r="757" spans="1:16" x14ac:dyDescent="0.3">
      <c r="A757" t="s">
        <v>57</v>
      </c>
      <c r="B757">
        <v>30</v>
      </c>
      <c r="C757" s="6">
        <v>65000</v>
      </c>
      <c r="D757" t="s">
        <v>11</v>
      </c>
      <c r="E757" t="s">
        <v>37</v>
      </c>
      <c r="F757" t="s">
        <v>39</v>
      </c>
      <c r="G757" s="7">
        <v>43881</v>
      </c>
      <c r="H757" t="s">
        <v>14</v>
      </c>
      <c r="I757" t="s">
        <v>15</v>
      </c>
      <c r="J757" t="s">
        <v>45</v>
      </c>
      <c r="K757" t="str">
        <f>IF(HR_Data5[[#This Row],[Age]]&lt;30,"Young",IF(HR_Data5[[#This Row],[Age]]&lt;=45,"Mid-Career","Senior"))</f>
        <v>Mid-Career</v>
      </c>
      <c r="L757" s="10">
        <f ca="1">DATEDIF(HR_Data5[[#This Row],[Joining Date]],TODAY(),"Y")</f>
        <v>6</v>
      </c>
      <c r="M757" s="10" t="str">
        <f>IF(HR_Data5[[#This Row],[Salary]]&lt;55000,"Low",IF(HR_Data5[[#This Row],[Salary]]&lt;=65000,"Medium","High"))</f>
        <v>Medium</v>
      </c>
      <c r="N757" s="10">
        <f>YEAR(HR_Data5[[#This Row],[Joining Date]])</f>
        <v>2020</v>
      </c>
      <c r="O757" s="10" cm="1">
        <f t="array" ref="O757">_xlfn.SWITCH(HR_Data5[[#This Row],[Performance Score]],
"A",5,
"B",4,
"C",3,
"D",2,
"F",1)</f>
        <v>2</v>
      </c>
      <c r="P757" s="10"/>
    </row>
    <row r="758" spans="1:16" x14ac:dyDescent="0.3">
      <c r="A758" t="s">
        <v>59</v>
      </c>
      <c r="B758">
        <v>50</v>
      </c>
      <c r="C758" s="6">
        <v>60000</v>
      </c>
      <c r="D758" t="s">
        <v>11</v>
      </c>
      <c r="E758" t="s">
        <v>26</v>
      </c>
      <c r="F758" t="s">
        <v>20</v>
      </c>
      <c r="G758" s="7">
        <v>43800</v>
      </c>
      <c r="H758" t="s">
        <v>41</v>
      </c>
      <c r="I758" t="s">
        <v>15</v>
      </c>
      <c r="J758" t="s">
        <v>23</v>
      </c>
      <c r="K758" t="str">
        <f>IF(HR_Data5[[#This Row],[Age]]&lt;30,"Young",IF(HR_Data5[[#This Row],[Age]]&lt;=45,"Mid-Career","Senior"))</f>
        <v>Senior</v>
      </c>
      <c r="L758" s="10">
        <f ca="1">DATEDIF(HR_Data5[[#This Row],[Joining Date]],TODAY(),"Y")</f>
        <v>6</v>
      </c>
      <c r="M758" s="10" t="str">
        <f>IF(HR_Data5[[#This Row],[Salary]]&lt;55000,"Low",IF(HR_Data5[[#This Row],[Salary]]&lt;=65000,"Medium","High"))</f>
        <v>Medium</v>
      </c>
      <c r="N758" s="10">
        <f>YEAR(HR_Data5[[#This Row],[Joining Date]])</f>
        <v>2019</v>
      </c>
      <c r="O758" s="10" cm="1">
        <f t="array" ref="O758">_xlfn.SWITCH(HR_Data5[[#This Row],[Performance Score]],
"A",5,
"B",4,
"C",3,
"D",2,
"F",1)</f>
        <v>4</v>
      </c>
      <c r="P758" s="10"/>
    </row>
    <row r="759" spans="1:16" x14ac:dyDescent="0.3">
      <c r="A759" t="s">
        <v>54</v>
      </c>
      <c r="B759">
        <v>30</v>
      </c>
      <c r="C759" s="6">
        <v>60000</v>
      </c>
      <c r="D759" t="s">
        <v>36</v>
      </c>
      <c r="E759" t="s">
        <v>30</v>
      </c>
      <c r="F759" t="s">
        <v>43</v>
      </c>
      <c r="G759" s="7">
        <v>43800</v>
      </c>
      <c r="H759" t="s">
        <v>14</v>
      </c>
      <c r="I759" t="s">
        <v>69</v>
      </c>
      <c r="J759" t="s">
        <v>69</v>
      </c>
      <c r="K759" t="str">
        <f>IF(HR_Data5[[#This Row],[Age]]&lt;30,"Young",IF(HR_Data5[[#This Row],[Age]]&lt;=45,"Mid-Career","Senior"))</f>
        <v>Mid-Career</v>
      </c>
      <c r="L759" s="10">
        <f ca="1">DATEDIF(HR_Data5[[#This Row],[Joining Date]],TODAY(),"Y")</f>
        <v>6</v>
      </c>
      <c r="M759" s="10" t="str">
        <f>IF(HR_Data5[[#This Row],[Salary]]&lt;55000,"Low",IF(HR_Data5[[#This Row],[Salary]]&lt;=65000,"Medium","High"))</f>
        <v>Medium</v>
      </c>
      <c r="N759" s="10">
        <f>YEAR(HR_Data5[[#This Row],[Joining Date]])</f>
        <v>2019</v>
      </c>
      <c r="O759" s="10" cm="1">
        <f t="array" ref="O759">_xlfn.SWITCH(HR_Data5[[#This Row],[Performance Score]],
"A",5,
"B",4,
"C",3,
"D",2,
"F",1)</f>
        <v>2</v>
      </c>
      <c r="P759" s="10"/>
    </row>
    <row r="760" spans="1:16" x14ac:dyDescent="0.3">
      <c r="A760" t="s">
        <v>60</v>
      </c>
      <c r="B760">
        <v>50</v>
      </c>
      <c r="C760" s="6">
        <v>50000</v>
      </c>
      <c r="D760" t="s">
        <v>36</v>
      </c>
      <c r="E760" t="s">
        <v>26</v>
      </c>
      <c r="F760" t="s">
        <v>13</v>
      </c>
      <c r="G760" s="7">
        <v>43845</v>
      </c>
      <c r="H760" t="s">
        <v>21</v>
      </c>
      <c r="I760" t="s">
        <v>15</v>
      </c>
      <c r="J760" t="s">
        <v>69</v>
      </c>
      <c r="K760" t="str">
        <f>IF(HR_Data5[[#This Row],[Age]]&lt;30,"Young",IF(HR_Data5[[#This Row],[Age]]&lt;=45,"Mid-Career","Senior"))</f>
        <v>Senior</v>
      </c>
      <c r="L760" s="10">
        <f ca="1">DATEDIF(HR_Data5[[#This Row],[Joining Date]],TODAY(),"Y")</f>
        <v>6</v>
      </c>
      <c r="M760" s="10" t="str">
        <f>IF(HR_Data5[[#This Row],[Salary]]&lt;55000,"Low",IF(HR_Data5[[#This Row],[Salary]]&lt;=65000,"Medium","High"))</f>
        <v>Low</v>
      </c>
      <c r="N760" s="10">
        <f>YEAR(HR_Data5[[#This Row],[Joining Date]])</f>
        <v>2020</v>
      </c>
      <c r="O760" s="10" cm="1">
        <f t="array" ref="O760">_xlfn.SWITCH(HR_Data5[[#This Row],[Performance Score]],
"A",5,
"B",4,
"C",3,
"D",2,
"F",1)</f>
        <v>1</v>
      </c>
      <c r="P760" s="10"/>
    </row>
    <row r="761" spans="1:16" x14ac:dyDescent="0.3">
      <c r="A761" t="s">
        <v>55</v>
      </c>
      <c r="B761">
        <v>30</v>
      </c>
      <c r="C761" s="6">
        <v>65000</v>
      </c>
      <c r="D761" t="s">
        <v>11</v>
      </c>
      <c r="E761" t="s">
        <v>19</v>
      </c>
      <c r="F761" t="s">
        <v>43</v>
      </c>
      <c r="G761" s="7">
        <v>43549</v>
      </c>
      <c r="H761" t="s">
        <v>21</v>
      </c>
      <c r="I761" t="s">
        <v>69</v>
      </c>
      <c r="J761" t="s">
        <v>69</v>
      </c>
      <c r="K761" t="str">
        <f>IF(HR_Data5[[#This Row],[Age]]&lt;30,"Young",IF(HR_Data5[[#This Row],[Age]]&lt;=45,"Mid-Career","Senior"))</f>
        <v>Mid-Career</v>
      </c>
      <c r="L761" s="10">
        <f ca="1">DATEDIF(HR_Data5[[#This Row],[Joining Date]],TODAY(),"Y")</f>
        <v>6</v>
      </c>
      <c r="M761" s="10" t="str">
        <f>IF(HR_Data5[[#This Row],[Salary]]&lt;55000,"Low",IF(HR_Data5[[#This Row],[Salary]]&lt;=65000,"Medium","High"))</f>
        <v>Medium</v>
      </c>
      <c r="N761" s="10">
        <f>YEAR(HR_Data5[[#This Row],[Joining Date]])</f>
        <v>2019</v>
      </c>
      <c r="O761" s="10" cm="1">
        <f t="array" ref="O761">_xlfn.SWITCH(HR_Data5[[#This Row],[Performance Score]],
"A",5,
"B",4,
"C",3,
"D",2,
"F",1)</f>
        <v>1</v>
      </c>
      <c r="P761" s="10"/>
    </row>
    <row r="762" spans="1:16" x14ac:dyDescent="0.3">
      <c r="A762" t="s">
        <v>58</v>
      </c>
      <c r="B762">
        <v>30</v>
      </c>
      <c r="C762" s="6" t="s">
        <v>68</v>
      </c>
      <c r="D762" t="s">
        <v>36</v>
      </c>
      <c r="E762" t="s">
        <v>37</v>
      </c>
      <c r="F762" t="s">
        <v>39</v>
      </c>
      <c r="G762" s="7">
        <v>43881</v>
      </c>
      <c r="H762" t="s">
        <v>21</v>
      </c>
      <c r="I762" t="s">
        <v>32</v>
      </c>
      <c r="J762" t="s">
        <v>45</v>
      </c>
      <c r="K762" t="str">
        <f>IF(HR_Data5[[#This Row],[Age]]&lt;30,"Young",IF(HR_Data5[[#This Row],[Age]]&lt;=45,"Mid-Career","Senior"))</f>
        <v>Mid-Career</v>
      </c>
      <c r="L762" s="10">
        <f ca="1">DATEDIF(HR_Data5[[#This Row],[Joining Date]],TODAY(),"Y")</f>
        <v>6</v>
      </c>
      <c r="M762" s="10" t="str">
        <f>IF(HR_Data5[[#This Row],[Salary]]&lt;55000,"Low",IF(HR_Data5[[#This Row],[Salary]]&lt;=65000,"Medium","High"))</f>
        <v>High</v>
      </c>
      <c r="N762" s="10">
        <f>YEAR(HR_Data5[[#This Row],[Joining Date]])</f>
        <v>2020</v>
      </c>
      <c r="O762" s="10" cm="1">
        <f t="array" ref="O762">_xlfn.SWITCH(HR_Data5[[#This Row],[Performance Score]],
"A",5,
"B",4,
"C",3,
"D",2,
"F",1)</f>
        <v>1</v>
      </c>
      <c r="P762" s="10"/>
    </row>
    <row r="763" spans="1:16" x14ac:dyDescent="0.3">
      <c r="A763" t="s">
        <v>59</v>
      </c>
      <c r="B763">
        <v>30</v>
      </c>
      <c r="C763" s="6">
        <v>70000</v>
      </c>
      <c r="D763" t="s">
        <v>18</v>
      </c>
      <c r="E763" t="s">
        <v>30</v>
      </c>
      <c r="F763" t="s">
        <v>39</v>
      </c>
      <c r="G763" s="7">
        <v>43800</v>
      </c>
      <c r="H763" t="s">
        <v>31</v>
      </c>
      <c r="I763" t="s">
        <v>15</v>
      </c>
      <c r="J763" t="s">
        <v>45</v>
      </c>
      <c r="K763" t="str">
        <f>IF(HR_Data5[[#This Row],[Age]]&lt;30,"Young",IF(HR_Data5[[#This Row],[Age]]&lt;=45,"Mid-Career","Senior"))</f>
        <v>Mid-Career</v>
      </c>
      <c r="L763" s="10">
        <f ca="1">DATEDIF(HR_Data5[[#This Row],[Joining Date]],TODAY(),"Y")</f>
        <v>6</v>
      </c>
      <c r="M763" s="10" t="str">
        <f>IF(HR_Data5[[#This Row],[Salary]]&lt;55000,"Low",IF(HR_Data5[[#This Row],[Salary]]&lt;=65000,"Medium","High"))</f>
        <v>High</v>
      </c>
      <c r="N763" s="10">
        <f>YEAR(HR_Data5[[#This Row],[Joining Date]])</f>
        <v>2019</v>
      </c>
      <c r="O763" s="10" cm="1">
        <f t="array" ref="O763">_xlfn.SWITCH(HR_Data5[[#This Row],[Performance Score]],
"A",5,
"B",4,
"C",3,
"D",2,
"F",1)</f>
        <v>5</v>
      </c>
      <c r="P763" s="10"/>
    </row>
    <row r="764" spans="1:16" x14ac:dyDescent="0.3">
      <c r="A764" t="s">
        <v>55</v>
      </c>
      <c r="B764">
        <v>30</v>
      </c>
      <c r="C764" s="6">
        <v>50000</v>
      </c>
      <c r="D764" t="s">
        <v>18</v>
      </c>
      <c r="E764" t="s">
        <v>26</v>
      </c>
      <c r="F764" t="s">
        <v>43</v>
      </c>
      <c r="G764" s="7">
        <v>43549</v>
      </c>
      <c r="H764" t="s">
        <v>41</v>
      </c>
      <c r="I764" t="s">
        <v>15</v>
      </c>
      <c r="J764" t="s">
        <v>23</v>
      </c>
      <c r="K764" t="str">
        <f>IF(HR_Data5[[#This Row],[Age]]&lt;30,"Young",IF(HR_Data5[[#This Row],[Age]]&lt;=45,"Mid-Career","Senior"))</f>
        <v>Mid-Career</v>
      </c>
      <c r="L764" s="10">
        <f ca="1">DATEDIF(HR_Data5[[#This Row],[Joining Date]],TODAY(),"Y")</f>
        <v>6</v>
      </c>
      <c r="M764" s="10" t="str">
        <f>IF(HR_Data5[[#This Row],[Salary]]&lt;55000,"Low",IF(HR_Data5[[#This Row],[Salary]]&lt;=65000,"Medium","High"))</f>
        <v>Low</v>
      </c>
      <c r="N764" s="10">
        <f>YEAR(HR_Data5[[#This Row],[Joining Date]])</f>
        <v>2019</v>
      </c>
      <c r="O764" s="10" cm="1">
        <f t="array" ref="O764">_xlfn.SWITCH(HR_Data5[[#This Row],[Performance Score]],
"A",5,
"B",4,
"C",3,
"D",2,
"F",1)</f>
        <v>4</v>
      </c>
      <c r="P764" s="10"/>
    </row>
    <row r="765" spans="1:16" x14ac:dyDescent="0.3">
      <c r="A765" t="s">
        <v>60</v>
      </c>
      <c r="B765">
        <v>36</v>
      </c>
      <c r="C765" s="6">
        <v>50000</v>
      </c>
      <c r="D765" t="s">
        <v>36</v>
      </c>
      <c r="E765" t="s">
        <v>37</v>
      </c>
      <c r="F765" t="s">
        <v>39</v>
      </c>
      <c r="G765" s="7">
        <v>43881</v>
      </c>
      <c r="H765" t="s">
        <v>31</v>
      </c>
      <c r="I765" t="s">
        <v>22</v>
      </c>
      <c r="J765" t="s">
        <v>45</v>
      </c>
      <c r="K765" t="str">
        <f>IF(HR_Data5[[#This Row],[Age]]&lt;30,"Young",IF(HR_Data5[[#This Row],[Age]]&lt;=45,"Mid-Career","Senior"))</f>
        <v>Mid-Career</v>
      </c>
      <c r="L765" s="10">
        <f ca="1">DATEDIF(HR_Data5[[#This Row],[Joining Date]],TODAY(),"Y")</f>
        <v>6</v>
      </c>
      <c r="M765" s="10" t="str">
        <f>IF(HR_Data5[[#This Row],[Salary]]&lt;55000,"Low",IF(HR_Data5[[#This Row],[Salary]]&lt;=65000,"Medium","High"))</f>
        <v>Low</v>
      </c>
      <c r="N765" s="10">
        <f>YEAR(HR_Data5[[#This Row],[Joining Date]])</f>
        <v>2020</v>
      </c>
      <c r="O765" s="10" cm="1">
        <f t="array" ref="O765">_xlfn.SWITCH(HR_Data5[[#This Row],[Performance Score]],
"A",5,
"B",4,
"C",3,
"D",2,
"F",1)</f>
        <v>5</v>
      </c>
      <c r="P765" s="10"/>
    </row>
    <row r="766" spans="1:16" x14ac:dyDescent="0.3">
      <c r="A766" t="s">
        <v>55</v>
      </c>
      <c r="B766">
        <v>25</v>
      </c>
      <c r="C766" s="6" t="s">
        <v>68</v>
      </c>
      <c r="D766" t="s">
        <v>36</v>
      </c>
      <c r="E766" t="s">
        <v>37</v>
      </c>
      <c r="F766" t="s">
        <v>44</v>
      </c>
      <c r="G766" s="7">
        <v>43195</v>
      </c>
      <c r="H766" t="s">
        <v>27</v>
      </c>
      <c r="I766" t="s">
        <v>22</v>
      </c>
      <c r="J766" t="s">
        <v>28</v>
      </c>
      <c r="K766" t="str">
        <f>IF(HR_Data5[[#This Row],[Age]]&lt;30,"Young",IF(HR_Data5[[#This Row],[Age]]&lt;=45,"Mid-Career","Senior"))</f>
        <v>Young</v>
      </c>
      <c r="L766" s="10">
        <f ca="1">DATEDIF(HR_Data5[[#This Row],[Joining Date]],TODAY(),"Y")</f>
        <v>7</v>
      </c>
      <c r="M766" s="10" t="str">
        <f>IF(HR_Data5[[#This Row],[Salary]]&lt;55000,"Low",IF(HR_Data5[[#This Row],[Salary]]&lt;=65000,"Medium","High"))</f>
        <v>High</v>
      </c>
      <c r="N766" s="10">
        <f>YEAR(HR_Data5[[#This Row],[Joining Date]])</f>
        <v>2018</v>
      </c>
      <c r="O766" s="10" cm="1">
        <f t="array" ref="O766">_xlfn.SWITCH(HR_Data5[[#This Row],[Performance Score]],
"A",5,
"B",4,
"C",3,
"D",2,
"F",1)</f>
        <v>3</v>
      </c>
      <c r="P766" s="10"/>
    </row>
    <row r="767" spans="1:16" x14ac:dyDescent="0.3">
      <c r="A767" t="s">
        <v>60</v>
      </c>
      <c r="B767">
        <v>35</v>
      </c>
      <c r="C767" s="6">
        <v>65000</v>
      </c>
      <c r="D767" t="s">
        <v>11</v>
      </c>
      <c r="E767" t="s">
        <v>30</v>
      </c>
      <c r="F767" t="s">
        <v>44</v>
      </c>
      <c r="G767" s="7">
        <v>43195</v>
      </c>
      <c r="H767" t="s">
        <v>41</v>
      </c>
      <c r="I767" t="s">
        <v>22</v>
      </c>
      <c r="J767" t="s">
        <v>45</v>
      </c>
      <c r="K767" t="str">
        <f>IF(HR_Data5[[#This Row],[Age]]&lt;30,"Young",IF(HR_Data5[[#This Row],[Age]]&lt;=45,"Mid-Career","Senior"))</f>
        <v>Mid-Career</v>
      </c>
      <c r="L767" s="10">
        <f ca="1">DATEDIF(HR_Data5[[#This Row],[Joining Date]],TODAY(),"Y")</f>
        <v>7</v>
      </c>
      <c r="M767" s="10" t="str">
        <f>IF(HR_Data5[[#This Row],[Salary]]&lt;55000,"Low",IF(HR_Data5[[#This Row],[Salary]]&lt;=65000,"Medium","High"))</f>
        <v>Medium</v>
      </c>
      <c r="N767" s="10">
        <f>YEAR(HR_Data5[[#This Row],[Joining Date]])</f>
        <v>2018</v>
      </c>
      <c r="O767" s="10" cm="1">
        <f t="array" ref="O767">_xlfn.SWITCH(HR_Data5[[#This Row],[Performance Score]],
"A",5,
"B",4,
"C",3,
"D",2,
"F",1)</f>
        <v>4</v>
      </c>
      <c r="P767" s="10"/>
    </row>
    <row r="768" spans="1:16" x14ac:dyDescent="0.3">
      <c r="A768" t="s">
        <v>60</v>
      </c>
      <c r="B768">
        <v>40</v>
      </c>
      <c r="C768" s="6">
        <v>65000</v>
      </c>
      <c r="D768" t="s">
        <v>36</v>
      </c>
      <c r="E768" t="s">
        <v>26</v>
      </c>
      <c r="F768" t="s">
        <v>39</v>
      </c>
      <c r="G768" s="7">
        <v>43881</v>
      </c>
      <c r="H768" t="s">
        <v>14</v>
      </c>
      <c r="I768" t="s">
        <v>32</v>
      </c>
      <c r="J768" t="s">
        <v>23</v>
      </c>
      <c r="K768" t="str">
        <f>IF(HR_Data5[[#This Row],[Age]]&lt;30,"Young",IF(HR_Data5[[#This Row],[Age]]&lt;=45,"Mid-Career","Senior"))</f>
        <v>Mid-Career</v>
      </c>
      <c r="L768" s="10">
        <f ca="1">DATEDIF(HR_Data5[[#This Row],[Joining Date]],TODAY(),"Y")</f>
        <v>6</v>
      </c>
      <c r="M768" s="10" t="str">
        <f>IF(HR_Data5[[#This Row],[Salary]]&lt;55000,"Low",IF(HR_Data5[[#This Row],[Salary]]&lt;=65000,"Medium","High"))</f>
        <v>Medium</v>
      </c>
      <c r="N768" s="10">
        <f>YEAR(HR_Data5[[#This Row],[Joining Date]])</f>
        <v>2020</v>
      </c>
      <c r="O768" s="10" cm="1">
        <f t="array" ref="O768">_xlfn.SWITCH(HR_Data5[[#This Row],[Performance Score]],
"A",5,
"B",4,
"C",3,
"D",2,
"F",1)</f>
        <v>2</v>
      </c>
      <c r="P768" s="10"/>
    </row>
    <row r="769" spans="1:16" x14ac:dyDescent="0.3">
      <c r="A769" t="s">
        <v>57</v>
      </c>
      <c r="B769">
        <v>35</v>
      </c>
      <c r="C769" s="6">
        <v>60000</v>
      </c>
      <c r="D769" t="s">
        <v>11</v>
      </c>
      <c r="E769" t="s">
        <v>37</v>
      </c>
      <c r="F769" t="s">
        <v>39</v>
      </c>
      <c r="G769" s="7">
        <v>43845</v>
      </c>
      <c r="H769" t="s">
        <v>21</v>
      </c>
      <c r="I769" t="s">
        <v>69</v>
      </c>
      <c r="J769" t="s">
        <v>23</v>
      </c>
      <c r="K769" t="str">
        <f>IF(HR_Data5[[#This Row],[Age]]&lt;30,"Young",IF(HR_Data5[[#This Row],[Age]]&lt;=45,"Mid-Career","Senior"))</f>
        <v>Mid-Career</v>
      </c>
      <c r="L769" s="10">
        <f ca="1">DATEDIF(HR_Data5[[#This Row],[Joining Date]],TODAY(),"Y")</f>
        <v>6</v>
      </c>
      <c r="M769" s="10" t="str">
        <f>IF(HR_Data5[[#This Row],[Salary]]&lt;55000,"Low",IF(HR_Data5[[#This Row],[Salary]]&lt;=65000,"Medium","High"))</f>
        <v>Medium</v>
      </c>
      <c r="N769" s="10">
        <f>YEAR(HR_Data5[[#This Row],[Joining Date]])</f>
        <v>2020</v>
      </c>
      <c r="O769" s="10" cm="1">
        <f t="array" ref="O769">_xlfn.SWITCH(HR_Data5[[#This Row],[Performance Score]],
"A",5,
"B",4,
"C",3,
"D",2,
"F",1)</f>
        <v>1</v>
      </c>
      <c r="P769" s="10"/>
    </row>
    <row r="770" spans="1:16" x14ac:dyDescent="0.3">
      <c r="A770" t="s">
        <v>53</v>
      </c>
      <c r="B770">
        <v>35</v>
      </c>
      <c r="C770" s="6" t="s">
        <v>68</v>
      </c>
      <c r="D770" t="s">
        <v>18</v>
      </c>
      <c r="E770" t="s">
        <v>37</v>
      </c>
      <c r="F770" t="s">
        <v>44</v>
      </c>
      <c r="G770" s="7">
        <v>43881</v>
      </c>
      <c r="H770" t="s">
        <v>27</v>
      </c>
      <c r="I770" t="s">
        <v>69</v>
      </c>
      <c r="J770" t="s">
        <v>28</v>
      </c>
      <c r="K770" t="str">
        <f>IF(HR_Data5[[#This Row],[Age]]&lt;30,"Young",IF(HR_Data5[[#This Row],[Age]]&lt;=45,"Mid-Career","Senior"))</f>
        <v>Mid-Career</v>
      </c>
      <c r="L770" s="10">
        <f ca="1">DATEDIF(HR_Data5[[#This Row],[Joining Date]],TODAY(),"Y")</f>
        <v>6</v>
      </c>
      <c r="M770" s="10" t="str">
        <f>IF(HR_Data5[[#This Row],[Salary]]&lt;55000,"Low",IF(HR_Data5[[#This Row],[Salary]]&lt;=65000,"Medium","High"))</f>
        <v>High</v>
      </c>
      <c r="N770" s="10">
        <f>YEAR(HR_Data5[[#This Row],[Joining Date]])</f>
        <v>2020</v>
      </c>
      <c r="O770" s="10" cm="1">
        <f t="array" ref="O770">_xlfn.SWITCH(HR_Data5[[#This Row],[Performance Score]],
"A",5,
"B",4,
"C",3,
"D",2,
"F",1)</f>
        <v>3</v>
      </c>
      <c r="P770" s="10"/>
    </row>
    <row r="771" spans="1:16" x14ac:dyDescent="0.3">
      <c r="A771" t="s">
        <v>59</v>
      </c>
      <c r="B771">
        <v>50</v>
      </c>
      <c r="C771" s="6" t="s">
        <v>68</v>
      </c>
      <c r="D771" t="s">
        <v>36</v>
      </c>
      <c r="E771" t="s">
        <v>12</v>
      </c>
      <c r="F771" t="s">
        <v>39</v>
      </c>
      <c r="G771" s="7">
        <v>43881</v>
      </c>
      <c r="H771" t="s">
        <v>41</v>
      </c>
      <c r="I771" t="s">
        <v>69</v>
      </c>
      <c r="J771" t="s">
        <v>23</v>
      </c>
      <c r="K771" t="str">
        <f>IF(HR_Data5[[#This Row],[Age]]&lt;30,"Young",IF(HR_Data5[[#This Row],[Age]]&lt;=45,"Mid-Career","Senior"))</f>
        <v>Senior</v>
      </c>
      <c r="L771" s="10">
        <f ca="1">DATEDIF(HR_Data5[[#This Row],[Joining Date]],TODAY(),"Y")</f>
        <v>6</v>
      </c>
      <c r="M771" s="10" t="str">
        <f>IF(HR_Data5[[#This Row],[Salary]]&lt;55000,"Low",IF(HR_Data5[[#This Row],[Salary]]&lt;=65000,"Medium","High"))</f>
        <v>High</v>
      </c>
      <c r="N771" s="10">
        <f>YEAR(HR_Data5[[#This Row],[Joining Date]])</f>
        <v>2020</v>
      </c>
      <c r="O771" s="10" cm="1">
        <f t="array" ref="O771">_xlfn.SWITCH(HR_Data5[[#This Row],[Performance Score]],
"A",5,
"B",4,
"C",3,
"D",2,
"F",1)</f>
        <v>4</v>
      </c>
      <c r="P771" s="10"/>
    </row>
    <row r="772" spans="1:16" x14ac:dyDescent="0.3">
      <c r="A772" t="s">
        <v>55</v>
      </c>
      <c r="B772">
        <v>25</v>
      </c>
      <c r="C772" s="6">
        <v>65000</v>
      </c>
      <c r="D772" t="s">
        <v>11</v>
      </c>
      <c r="E772" t="s">
        <v>37</v>
      </c>
      <c r="F772" t="s">
        <v>39</v>
      </c>
      <c r="G772" s="7">
        <v>43845</v>
      </c>
      <c r="H772" t="s">
        <v>31</v>
      </c>
      <c r="I772" t="s">
        <v>32</v>
      </c>
      <c r="J772" t="s">
        <v>69</v>
      </c>
      <c r="K772" t="str">
        <f>IF(HR_Data5[[#This Row],[Age]]&lt;30,"Young",IF(HR_Data5[[#This Row],[Age]]&lt;=45,"Mid-Career","Senior"))</f>
        <v>Young</v>
      </c>
      <c r="L772" s="10">
        <f ca="1">DATEDIF(HR_Data5[[#This Row],[Joining Date]],TODAY(),"Y")</f>
        <v>6</v>
      </c>
      <c r="M772" s="10" t="str">
        <f>IF(HR_Data5[[#This Row],[Salary]]&lt;55000,"Low",IF(HR_Data5[[#This Row],[Salary]]&lt;=65000,"Medium","High"))</f>
        <v>Medium</v>
      </c>
      <c r="N772" s="10">
        <f>YEAR(HR_Data5[[#This Row],[Joining Date]])</f>
        <v>2020</v>
      </c>
      <c r="O772" s="10" cm="1">
        <f t="array" ref="O772">_xlfn.SWITCH(HR_Data5[[#This Row],[Performance Score]],
"A",5,
"B",4,
"C",3,
"D",2,
"F",1)</f>
        <v>5</v>
      </c>
      <c r="P772" s="10"/>
    </row>
    <row r="773" spans="1:16" x14ac:dyDescent="0.3">
      <c r="A773" t="s">
        <v>52</v>
      </c>
      <c r="B773">
        <v>50</v>
      </c>
      <c r="C773" s="6">
        <v>60000</v>
      </c>
      <c r="D773" t="s">
        <v>11</v>
      </c>
      <c r="E773" t="s">
        <v>12</v>
      </c>
      <c r="F773" t="s">
        <v>43</v>
      </c>
      <c r="G773" s="7">
        <v>43845</v>
      </c>
      <c r="H773" t="s">
        <v>21</v>
      </c>
      <c r="I773" t="s">
        <v>32</v>
      </c>
      <c r="J773" t="s">
        <v>69</v>
      </c>
      <c r="K773" t="str">
        <f>IF(HR_Data5[[#This Row],[Age]]&lt;30,"Young",IF(HR_Data5[[#This Row],[Age]]&lt;=45,"Mid-Career","Senior"))</f>
        <v>Senior</v>
      </c>
      <c r="L773" s="10">
        <f ca="1">DATEDIF(HR_Data5[[#This Row],[Joining Date]],TODAY(),"Y")</f>
        <v>6</v>
      </c>
      <c r="M773" s="10" t="str">
        <f>IF(HR_Data5[[#This Row],[Salary]]&lt;55000,"Low",IF(HR_Data5[[#This Row],[Salary]]&lt;=65000,"Medium","High"))</f>
        <v>Medium</v>
      </c>
      <c r="N773" s="10">
        <f>YEAR(HR_Data5[[#This Row],[Joining Date]])</f>
        <v>2020</v>
      </c>
      <c r="O773" s="10" cm="1">
        <f t="array" ref="O773">_xlfn.SWITCH(HR_Data5[[#This Row],[Performance Score]],
"A",5,
"B",4,
"C",3,
"D",2,
"F",1)</f>
        <v>1</v>
      </c>
      <c r="P773" s="10"/>
    </row>
    <row r="774" spans="1:16" x14ac:dyDescent="0.3">
      <c r="A774" t="s">
        <v>59</v>
      </c>
      <c r="B774">
        <v>25</v>
      </c>
      <c r="C774" s="6">
        <v>50000</v>
      </c>
      <c r="D774" t="s">
        <v>18</v>
      </c>
      <c r="E774" t="s">
        <v>26</v>
      </c>
      <c r="F774" t="s">
        <v>13</v>
      </c>
      <c r="G774" s="7">
        <v>43549</v>
      </c>
      <c r="H774" t="s">
        <v>31</v>
      </c>
      <c r="I774" t="s">
        <v>22</v>
      </c>
      <c r="J774" t="s">
        <v>45</v>
      </c>
      <c r="K774" t="str">
        <f>IF(HR_Data5[[#This Row],[Age]]&lt;30,"Young",IF(HR_Data5[[#This Row],[Age]]&lt;=45,"Mid-Career","Senior"))</f>
        <v>Young</v>
      </c>
      <c r="L774" s="10">
        <f ca="1">DATEDIF(HR_Data5[[#This Row],[Joining Date]],TODAY(),"Y")</f>
        <v>6</v>
      </c>
      <c r="M774" s="10" t="str">
        <f>IF(HR_Data5[[#This Row],[Salary]]&lt;55000,"Low",IF(HR_Data5[[#This Row],[Salary]]&lt;=65000,"Medium","High"))</f>
        <v>Low</v>
      </c>
      <c r="N774" s="10">
        <f>YEAR(HR_Data5[[#This Row],[Joining Date]])</f>
        <v>2019</v>
      </c>
      <c r="O774" s="10" cm="1">
        <f t="array" ref="O774">_xlfn.SWITCH(HR_Data5[[#This Row],[Performance Score]],
"A",5,
"B",4,
"C",3,
"D",2,
"F",1)</f>
        <v>5</v>
      </c>
      <c r="P774" s="10"/>
    </row>
    <row r="775" spans="1:16" x14ac:dyDescent="0.3">
      <c r="A775" t="s">
        <v>53</v>
      </c>
      <c r="B775">
        <v>25</v>
      </c>
      <c r="C775" s="6">
        <v>55000</v>
      </c>
      <c r="D775" t="s">
        <v>36</v>
      </c>
      <c r="E775" t="s">
        <v>26</v>
      </c>
      <c r="F775" t="s">
        <v>44</v>
      </c>
      <c r="G775" s="7">
        <v>43549</v>
      </c>
      <c r="H775" t="s">
        <v>41</v>
      </c>
      <c r="I775" t="s">
        <v>15</v>
      </c>
      <c r="J775" t="s">
        <v>69</v>
      </c>
      <c r="K775" t="str">
        <f>IF(HR_Data5[[#This Row],[Age]]&lt;30,"Young",IF(HR_Data5[[#This Row],[Age]]&lt;=45,"Mid-Career","Senior"))</f>
        <v>Young</v>
      </c>
      <c r="L775" s="10">
        <f ca="1">DATEDIF(HR_Data5[[#This Row],[Joining Date]],TODAY(),"Y")</f>
        <v>6</v>
      </c>
      <c r="M775" s="10" t="str">
        <f>IF(HR_Data5[[#This Row],[Salary]]&lt;55000,"Low",IF(HR_Data5[[#This Row],[Salary]]&lt;=65000,"Medium","High"))</f>
        <v>Medium</v>
      </c>
      <c r="N775" s="10">
        <f>YEAR(HR_Data5[[#This Row],[Joining Date]])</f>
        <v>2019</v>
      </c>
      <c r="O775" s="10" cm="1">
        <f t="array" ref="O775">_xlfn.SWITCH(HR_Data5[[#This Row],[Performance Score]],
"A",5,
"B",4,
"C",3,
"D",2,
"F",1)</f>
        <v>4</v>
      </c>
      <c r="P775" s="10"/>
    </row>
    <row r="776" spans="1:16" x14ac:dyDescent="0.3">
      <c r="A776" t="s">
        <v>59</v>
      </c>
      <c r="B776">
        <v>30</v>
      </c>
      <c r="C776" s="6">
        <v>70000</v>
      </c>
      <c r="D776" t="s">
        <v>18</v>
      </c>
      <c r="E776" t="s">
        <v>26</v>
      </c>
      <c r="F776" t="s">
        <v>43</v>
      </c>
      <c r="G776" s="7">
        <v>43845</v>
      </c>
      <c r="H776" t="s">
        <v>41</v>
      </c>
      <c r="I776" t="s">
        <v>69</v>
      </c>
      <c r="J776" t="s">
        <v>45</v>
      </c>
      <c r="K776" t="str">
        <f>IF(HR_Data5[[#This Row],[Age]]&lt;30,"Young",IF(HR_Data5[[#This Row],[Age]]&lt;=45,"Mid-Career","Senior"))</f>
        <v>Mid-Career</v>
      </c>
      <c r="L776" s="10">
        <f ca="1">DATEDIF(HR_Data5[[#This Row],[Joining Date]],TODAY(),"Y")</f>
        <v>6</v>
      </c>
      <c r="M776" s="10" t="str">
        <f>IF(HR_Data5[[#This Row],[Salary]]&lt;55000,"Low",IF(HR_Data5[[#This Row],[Salary]]&lt;=65000,"Medium","High"))</f>
        <v>High</v>
      </c>
      <c r="N776" s="10">
        <f>YEAR(HR_Data5[[#This Row],[Joining Date]])</f>
        <v>2020</v>
      </c>
      <c r="O776" s="10" cm="1">
        <f t="array" ref="O776">_xlfn.SWITCH(HR_Data5[[#This Row],[Performance Score]],
"A",5,
"B",4,
"C",3,
"D",2,
"F",1)</f>
        <v>4</v>
      </c>
      <c r="P776" s="10"/>
    </row>
    <row r="777" spans="1:16" x14ac:dyDescent="0.3">
      <c r="A777" t="s">
        <v>56</v>
      </c>
      <c r="B777">
        <v>36</v>
      </c>
      <c r="C777" s="6">
        <v>50000</v>
      </c>
      <c r="D777" t="s">
        <v>11</v>
      </c>
      <c r="E777" t="s">
        <v>19</v>
      </c>
      <c r="F777" t="s">
        <v>13</v>
      </c>
      <c r="G777" s="7">
        <v>43195</v>
      </c>
      <c r="H777" t="s">
        <v>27</v>
      </c>
      <c r="I777" t="s">
        <v>69</v>
      </c>
      <c r="J777" t="s">
        <v>69</v>
      </c>
      <c r="K777" t="str">
        <f>IF(HR_Data5[[#This Row],[Age]]&lt;30,"Young",IF(HR_Data5[[#This Row],[Age]]&lt;=45,"Mid-Career","Senior"))</f>
        <v>Mid-Career</v>
      </c>
      <c r="L777" s="10">
        <f ca="1">DATEDIF(HR_Data5[[#This Row],[Joining Date]],TODAY(),"Y")</f>
        <v>7</v>
      </c>
      <c r="M777" s="10" t="str">
        <f>IF(HR_Data5[[#This Row],[Salary]]&lt;55000,"Low",IF(HR_Data5[[#This Row],[Salary]]&lt;=65000,"Medium","High"))</f>
        <v>Low</v>
      </c>
      <c r="N777" s="10">
        <f>YEAR(HR_Data5[[#This Row],[Joining Date]])</f>
        <v>2018</v>
      </c>
      <c r="O777" s="10" cm="1">
        <f t="array" ref="O777">_xlfn.SWITCH(HR_Data5[[#This Row],[Performance Score]],
"A",5,
"B",4,
"C",3,
"D",2,
"F",1)</f>
        <v>3</v>
      </c>
      <c r="P777" s="10"/>
    </row>
    <row r="778" spans="1:16" x14ac:dyDescent="0.3">
      <c r="A778" t="s">
        <v>52</v>
      </c>
      <c r="B778">
        <v>30</v>
      </c>
      <c r="C778" s="6">
        <v>65000</v>
      </c>
      <c r="D778" t="s">
        <v>11</v>
      </c>
      <c r="E778" t="s">
        <v>26</v>
      </c>
      <c r="F778" t="s">
        <v>39</v>
      </c>
      <c r="G778" s="7">
        <v>43195</v>
      </c>
      <c r="H778" t="s">
        <v>14</v>
      </c>
      <c r="I778" t="s">
        <v>15</v>
      </c>
      <c r="J778" t="s">
        <v>45</v>
      </c>
      <c r="K778" t="str">
        <f>IF(HR_Data5[[#This Row],[Age]]&lt;30,"Young",IF(HR_Data5[[#This Row],[Age]]&lt;=45,"Mid-Career","Senior"))</f>
        <v>Mid-Career</v>
      </c>
      <c r="L778" s="10">
        <f ca="1">DATEDIF(HR_Data5[[#This Row],[Joining Date]],TODAY(),"Y")</f>
        <v>7</v>
      </c>
      <c r="M778" s="10" t="str">
        <f>IF(HR_Data5[[#This Row],[Salary]]&lt;55000,"Low",IF(HR_Data5[[#This Row],[Salary]]&lt;=65000,"Medium","High"))</f>
        <v>Medium</v>
      </c>
      <c r="N778" s="10">
        <f>YEAR(HR_Data5[[#This Row],[Joining Date]])</f>
        <v>2018</v>
      </c>
      <c r="O778" s="10" cm="1">
        <f t="array" ref="O778">_xlfn.SWITCH(HR_Data5[[#This Row],[Performance Score]],
"A",5,
"B",4,
"C",3,
"D",2,
"F",1)</f>
        <v>2</v>
      </c>
      <c r="P778" s="10"/>
    </row>
    <row r="779" spans="1:16" x14ac:dyDescent="0.3">
      <c r="A779" t="s">
        <v>53</v>
      </c>
      <c r="B779">
        <v>36</v>
      </c>
      <c r="C779" s="6">
        <v>70000</v>
      </c>
      <c r="D779" t="s">
        <v>36</v>
      </c>
      <c r="E779" t="s">
        <v>37</v>
      </c>
      <c r="F779" t="s">
        <v>39</v>
      </c>
      <c r="G779" s="7">
        <v>43881</v>
      </c>
      <c r="H779" t="s">
        <v>31</v>
      </c>
      <c r="I779" t="s">
        <v>22</v>
      </c>
      <c r="J779" t="s">
        <v>28</v>
      </c>
      <c r="K779" t="str">
        <f>IF(HR_Data5[[#This Row],[Age]]&lt;30,"Young",IF(HR_Data5[[#This Row],[Age]]&lt;=45,"Mid-Career","Senior"))</f>
        <v>Mid-Career</v>
      </c>
      <c r="L779" s="10">
        <f ca="1">DATEDIF(HR_Data5[[#This Row],[Joining Date]],TODAY(),"Y")</f>
        <v>6</v>
      </c>
      <c r="M779" s="10" t="str">
        <f>IF(HR_Data5[[#This Row],[Salary]]&lt;55000,"Low",IF(HR_Data5[[#This Row],[Salary]]&lt;=65000,"Medium","High"))</f>
        <v>High</v>
      </c>
      <c r="N779" s="10">
        <f>YEAR(HR_Data5[[#This Row],[Joining Date]])</f>
        <v>2020</v>
      </c>
      <c r="O779" s="10" cm="1">
        <f t="array" ref="O779">_xlfn.SWITCH(HR_Data5[[#This Row],[Performance Score]],
"A",5,
"B",4,
"C",3,
"D",2,
"F",1)</f>
        <v>5</v>
      </c>
      <c r="P779" s="10"/>
    </row>
    <row r="780" spans="1:16" x14ac:dyDescent="0.3">
      <c r="A780" t="s">
        <v>57</v>
      </c>
      <c r="B780">
        <v>50</v>
      </c>
      <c r="C780" s="6">
        <v>55000</v>
      </c>
      <c r="D780" t="s">
        <v>11</v>
      </c>
      <c r="E780" t="s">
        <v>30</v>
      </c>
      <c r="F780" t="s">
        <v>43</v>
      </c>
      <c r="G780" s="7">
        <v>43800</v>
      </c>
      <c r="H780" t="s">
        <v>27</v>
      </c>
      <c r="I780" t="s">
        <v>15</v>
      </c>
      <c r="J780" t="s">
        <v>23</v>
      </c>
      <c r="K780" t="str">
        <f>IF(HR_Data5[[#This Row],[Age]]&lt;30,"Young",IF(HR_Data5[[#This Row],[Age]]&lt;=45,"Mid-Career","Senior"))</f>
        <v>Senior</v>
      </c>
      <c r="L780" s="10">
        <f ca="1">DATEDIF(HR_Data5[[#This Row],[Joining Date]],TODAY(),"Y")</f>
        <v>6</v>
      </c>
      <c r="M780" s="10" t="str">
        <f>IF(HR_Data5[[#This Row],[Salary]]&lt;55000,"Low",IF(HR_Data5[[#This Row],[Salary]]&lt;=65000,"Medium","High"))</f>
        <v>Medium</v>
      </c>
      <c r="N780" s="10">
        <f>YEAR(HR_Data5[[#This Row],[Joining Date]])</f>
        <v>2019</v>
      </c>
      <c r="O780" s="10" cm="1">
        <f t="array" ref="O780">_xlfn.SWITCH(HR_Data5[[#This Row],[Performance Score]],
"A",5,
"B",4,
"C",3,
"D",2,
"F",1)</f>
        <v>3</v>
      </c>
      <c r="P780" s="10"/>
    </row>
    <row r="781" spans="1:16" x14ac:dyDescent="0.3">
      <c r="A781" t="s">
        <v>55</v>
      </c>
      <c r="B781">
        <v>36</v>
      </c>
      <c r="C781" s="6">
        <v>55000</v>
      </c>
      <c r="D781" t="s">
        <v>36</v>
      </c>
      <c r="E781" t="s">
        <v>12</v>
      </c>
      <c r="F781" t="s">
        <v>39</v>
      </c>
      <c r="G781" s="7">
        <v>43881</v>
      </c>
      <c r="H781" t="s">
        <v>21</v>
      </c>
      <c r="I781" t="s">
        <v>15</v>
      </c>
      <c r="J781" t="s">
        <v>23</v>
      </c>
      <c r="K781" t="str">
        <f>IF(HR_Data5[[#This Row],[Age]]&lt;30,"Young",IF(HR_Data5[[#This Row],[Age]]&lt;=45,"Mid-Career","Senior"))</f>
        <v>Mid-Career</v>
      </c>
      <c r="L781" s="10">
        <f ca="1">DATEDIF(HR_Data5[[#This Row],[Joining Date]],TODAY(),"Y")</f>
        <v>6</v>
      </c>
      <c r="M781" s="10" t="str">
        <f>IF(HR_Data5[[#This Row],[Salary]]&lt;55000,"Low",IF(HR_Data5[[#This Row],[Salary]]&lt;=65000,"Medium","High"))</f>
        <v>Medium</v>
      </c>
      <c r="N781" s="10">
        <f>YEAR(HR_Data5[[#This Row],[Joining Date]])</f>
        <v>2020</v>
      </c>
      <c r="O781" s="10" cm="1">
        <f t="array" ref="O781">_xlfn.SWITCH(HR_Data5[[#This Row],[Performance Score]],
"A",5,
"B",4,
"C",3,
"D",2,
"F",1)</f>
        <v>1</v>
      </c>
      <c r="P781" s="10"/>
    </row>
    <row r="782" spans="1:16" x14ac:dyDescent="0.3">
      <c r="A782" t="s">
        <v>51</v>
      </c>
      <c r="B782">
        <v>50</v>
      </c>
      <c r="C782" s="6">
        <v>60000</v>
      </c>
      <c r="D782" t="s">
        <v>18</v>
      </c>
      <c r="E782" t="s">
        <v>19</v>
      </c>
      <c r="F782" t="s">
        <v>20</v>
      </c>
      <c r="G782" s="7">
        <v>43881</v>
      </c>
      <c r="H782" t="s">
        <v>14</v>
      </c>
      <c r="I782" t="s">
        <v>69</v>
      </c>
      <c r="J782" t="s">
        <v>28</v>
      </c>
      <c r="K782" t="str">
        <f>IF(HR_Data5[[#This Row],[Age]]&lt;30,"Young",IF(HR_Data5[[#This Row],[Age]]&lt;=45,"Mid-Career","Senior"))</f>
        <v>Senior</v>
      </c>
      <c r="L782" s="10">
        <f ca="1">DATEDIF(HR_Data5[[#This Row],[Joining Date]],TODAY(),"Y")</f>
        <v>6</v>
      </c>
      <c r="M782" s="10" t="str">
        <f>IF(HR_Data5[[#This Row],[Salary]]&lt;55000,"Low",IF(HR_Data5[[#This Row],[Salary]]&lt;=65000,"Medium","High"))</f>
        <v>Medium</v>
      </c>
      <c r="N782" s="10">
        <f>YEAR(HR_Data5[[#This Row],[Joining Date]])</f>
        <v>2020</v>
      </c>
      <c r="O782" s="10" cm="1">
        <f t="array" ref="O782">_xlfn.SWITCH(HR_Data5[[#This Row],[Performance Score]],
"A",5,
"B",4,
"C",3,
"D",2,
"F",1)</f>
        <v>2</v>
      </c>
      <c r="P782" s="10"/>
    </row>
    <row r="783" spans="1:16" x14ac:dyDescent="0.3">
      <c r="A783" t="s">
        <v>53</v>
      </c>
      <c r="B783">
        <v>35</v>
      </c>
      <c r="C783" s="6">
        <v>70000</v>
      </c>
      <c r="D783" t="s">
        <v>36</v>
      </c>
      <c r="E783" t="s">
        <v>26</v>
      </c>
      <c r="F783" t="s">
        <v>43</v>
      </c>
      <c r="G783" s="7">
        <v>43800</v>
      </c>
      <c r="H783" t="s">
        <v>27</v>
      </c>
      <c r="I783" t="s">
        <v>22</v>
      </c>
      <c r="J783" t="s">
        <v>69</v>
      </c>
      <c r="K783" t="str">
        <f>IF(HR_Data5[[#This Row],[Age]]&lt;30,"Young",IF(HR_Data5[[#This Row],[Age]]&lt;=45,"Mid-Career","Senior"))</f>
        <v>Mid-Career</v>
      </c>
      <c r="L783" s="10">
        <f ca="1">DATEDIF(HR_Data5[[#This Row],[Joining Date]],TODAY(),"Y")</f>
        <v>6</v>
      </c>
      <c r="M783" s="10" t="str">
        <f>IF(HR_Data5[[#This Row],[Salary]]&lt;55000,"Low",IF(HR_Data5[[#This Row],[Salary]]&lt;=65000,"Medium","High"))</f>
        <v>High</v>
      </c>
      <c r="N783" s="10">
        <f>YEAR(HR_Data5[[#This Row],[Joining Date]])</f>
        <v>2019</v>
      </c>
      <c r="O783" s="10" cm="1">
        <f t="array" ref="O783">_xlfn.SWITCH(HR_Data5[[#This Row],[Performance Score]],
"A",5,
"B",4,
"C",3,
"D",2,
"F",1)</f>
        <v>3</v>
      </c>
      <c r="P783" s="10"/>
    </row>
    <row r="784" spans="1:16" x14ac:dyDescent="0.3">
      <c r="A784" t="s">
        <v>58</v>
      </c>
      <c r="B784">
        <v>35</v>
      </c>
      <c r="C784" s="6">
        <v>60000</v>
      </c>
      <c r="D784" t="s">
        <v>36</v>
      </c>
      <c r="E784" t="s">
        <v>26</v>
      </c>
      <c r="F784" t="s">
        <v>13</v>
      </c>
      <c r="G784" s="7">
        <v>43845</v>
      </c>
      <c r="H784" t="s">
        <v>31</v>
      </c>
      <c r="I784" t="s">
        <v>32</v>
      </c>
      <c r="J784" t="s">
        <v>69</v>
      </c>
      <c r="K784" t="str">
        <f>IF(HR_Data5[[#This Row],[Age]]&lt;30,"Young",IF(HR_Data5[[#This Row],[Age]]&lt;=45,"Mid-Career","Senior"))</f>
        <v>Mid-Career</v>
      </c>
      <c r="L784" s="10">
        <f ca="1">DATEDIF(HR_Data5[[#This Row],[Joining Date]],TODAY(),"Y")</f>
        <v>6</v>
      </c>
      <c r="M784" s="10" t="str">
        <f>IF(HR_Data5[[#This Row],[Salary]]&lt;55000,"Low",IF(HR_Data5[[#This Row],[Salary]]&lt;=65000,"Medium","High"))</f>
        <v>Medium</v>
      </c>
      <c r="N784" s="10">
        <f>YEAR(HR_Data5[[#This Row],[Joining Date]])</f>
        <v>2020</v>
      </c>
      <c r="O784" s="10" cm="1">
        <f t="array" ref="O784">_xlfn.SWITCH(HR_Data5[[#This Row],[Performance Score]],
"A",5,
"B",4,
"C",3,
"D",2,
"F",1)</f>
        <v>5</v>
      </c>
      <c r="P784" s="10"/>
    </row>
    <row r="785" spans="1:16" x14ac:dyDescent="0.3">
      <c r="A785" t="s">
        <v>55</v>
      </c>
      <c r="B785">
        <v>36</v>
      </c>
      <c r="C785" s="6">
        <v>50000</v>
      </c>
      <c r="D785" t="s">
        <v>11</v>
      </c>
      <c r="E785" t="s">
        <v>30</v>
      </c>
      <c r="F785" t="s">
        <v>43</v>
      </c>
      <c r="G785" s="7">
        <v>43195</v>
      </c>
      <c r="H785" t="s">
        <v>41</v>
      </c>
      <c r="I785" t="s">
        <v>69</v>
      </c>
      <c r="J785" t="s">
        <v>69</v>
      </c>
      <c r="K785" t="str">
        <f>IF(HR_Data5[[#This Row],[Age]]&lt;30,"Young",IF(HR_Data5[[#This Row],[Age]]&lt;=45,"Mid-Career","Senior"))</f>
        <v>Mid-Career</v>
      </c>
      <c r="L785" s="10">
        <f ca="1">DATEDIF(HR_Data5[[#This Row],[Joining Date]],TODAY(),"Y")</f>
        <v>7</v>
      </c>
      <c r="M785" s="10" t="str">
        <f>IF(HR_Data5[[#This Row],[Salary]]&lt;55000,"Low",IF(HR_Data5[[#This Row],[Salary]]&lt;=65000,"Medium","High"))</f>
        <v>Low</v>
      </c>
      <c r="N785" s="10">
        <f>YEAR(HR_Data5[[#This Row],[Joining Date]])</f>
        <v>2018</v>
      </c>
      <c r="O785" s="10" cm="1">
        <f t="array" ref="O785">_xlfn.SWITCH(HR_Data5[[#This Row],[Performance Score]],
"A",5,
"B",4,
"C",3,
"D",2,
"F",1)</f>
        <v>4</v>
      </c>
      <c r="P785" s="10"/>
    </row>
    <row r="786" spans="1:16" x14ac:dyDescent="0.3">
      <c r="A786" t="s">
        <v>53</v>
      </c>
      <c r="B786">
        <v>36</v>
      </c>
      <c r="C786" s="6" t="s">
        <v>68</v>
      </c>
      <c r="D786" t="s">
        <v>11</v>
      </c>
      <c r="E786" t="s">
        <v>30</v>
      </c>
      <c r="F786" t="s">
        <v>44</v>
      </c>
      <c r="G786" s="7">
        <v>43881</v>
      </c>
      <c r="H786" t="s">
        <v>21</v>
      </c>
      <c r="I786" t="s">
        <v>32</v>
      </c>
      <c r="J786" t="s">
        <v>23</v>
      </c>
      <c r="K786" t="str">
        <f>IF(HR_Data5[[#This Row],[Age]]&lt;30,"Young",IF(HR_Data5[[#This Row],[Age]]&lt;=45,"Mid-Career","Senior"))</f>
        <v>Mid-Career</v>
      </c>
      <c r="L786" s="10">
        <f ca="1">DATEDIF(HR_Data5[[#This Row],[Joining Date]],TODAY(),"Y")</f>
        <v>6</v>
      </c>
      <c r="M786" s="10" t="str">
        <f>IF(HR_Data5[[#This Row],[Salary]]&lt;55000,"Low",IF(HR_Data5[[#This Row],[Salary]]&lt;=65000,"Medium","High"))</f>
        <v>High</v>
      </c>
      <c r="N786" s="10">
        <f>YEAR(HR_Data5[[#This Row],[Joining Date]])</f>
        <v>2020</v>
      </c>
      <c r="O786" s="10" cm="1">
        <f t="array" ref="O786">_xlfn.SWITCH(HR_Data5[[#This Row],[Performance Score]],
"A",5,
"B",4,
"C",3,
"D",2,
"F",1)</f>
        <v>1</v>
      </c>
      <c r="P786" s="10"/>
    </row>
    <row r="787" spans="1:16" x14ac:dyDescent="0.3">
      <c r="A787" t="s">
        <v>56</v>
      </c>
      <c r="B787">
        <v>50</v>
      </c>
      <c r="C787" s="6" t="s">
        <v>68</v>
      </c>
      <c r="D787" t="s">
        <v>36</v>
      </c>
      <c r="E787" t="s">
        <v>19</v>
      </c>
      <c r="F787" t="s">
        <v>43</v>
      </c>
      <c r="G787" s="7">
        <v>43800</v>
      </c>
      <c r="H787" t="s">
        <v>31</v>
      </c>
      <c r="I787" t="s">
        <v>22</v>
      </c>
      <c r="J787" t="s">
        <v>69</v>
      </c>
      <c r="K787" t="str">
        <f>IF(HR_Data5[[#This Row],[Age]]&lt;30,"Young",IF(HR_Data5[[#This Row],[Age]]&lt;=45,"Mid-Career","Senior"))</f>
        <v>Senior</v>
      </c>
      <c r="L787" s="10">
        <f ca="1">DATEDIF(HR_Data5[[#This Row],[Joining Date]],TODAY(),"Y")</f>
        <v>6</v>
      </c>
      <c r="M787" s="10" t="str">
        <f>IF(HR_Data5[[#This Row],[Salary]]&lt;55000,"Low",IF(HR_Data5[[#This Row],[Salary]]&lt;=65000,"Medium","High"))</f>
        <v>High</v>
      </c>
      <c r="N787" s="10">
        <f>YEAR(HR_Data5[[#This Row],[Joining Date]])</f>
        <v>2019</v>
      </c>
      <c r="O787" s="10" cm="1">
        <f t="array" ref="O787">_xlfn.SWITCH(HR_Data5[[#This Row],[Performance Score]],
"A",5,
"B",4,
"C",3,
"D",2,
"F",1)</f>
        <v>5</v>
      </c>
      <c r="P787" s="10"/>
    </row>
    <row r="788" spans="1:16" x14ac:dyDescent="0.3">
      <c r="A788" t="s">
        <v>51</v>
      </c>
      <c r="B788">
        <v>30</v>
      </c>
      <c r="C788" s="6" t="s">
        <v>68</v>
      </c>
      <c r="D788" t="s">
        <v>11</v>
      </c>
      <c r="E788" t="s">
        <v>12</v>
      </c>
      <c r="F788" t="s">
        <v>39</v>
      </c>
      <c r="G788" s="7">
        <v>43549</v>
      </c>
      <c r="H788" t="s">
        <v>14</v>
      </c>
      <c r="I788" t="s">
        <v>15</v>
      </c>
      <c r="J788" t="s">
        <v>45</v>
      </c>
      <c r="K788" t="str">
        <f>IF(HR_Data5[[#This Row],[Age]]&lt;30,"Young",IF(HR_Data5[[#This Row],[Age]]&lt;=45,"Mid-Career","Senior"))</f>
        <v>Mid-Career</v>
      </c>
      <c r="L788" s="10">
        <f ca="1">DATEDIF(HR_Data5[[#This Row],[Joining Date]],TODAY(),"Y")</f>
        <v>6</v>
      </c>
      <c r="M788" s="10" t="str">
        <f>IF(HR_Data5[[#This Row],[Salary]]&lt;55000,"Low",IF(HR_Data5[[#This Row],[Salary]]&lt;=65000,"Medium","High"))</f>
        <v>High</v>
      </c>
      <c r="N788" s="10">
        <f>YEAR(HR_Data5[[#This Row],[Joining Date]])</f>
        <v>2019</v>
      </c>
      <c r="O788" s="10" cm="1">
        <f t="array" ref="O788">_xlfn.SWITCH(HR_Data5[[#This Row],[Performance Score]],
"A",5,
"B",4,
"C",3,
"D",2,
"F",1)</f>
        <v>2</v>
      </c>
      <c r="P788" s="10"/>
    </row>
    <row r="789" spans="1:16" x14ac:dyDescent="0.3">
      <c r="A789" t="s">
        <v>56</v>
      </c>
      <c r="B789">
        <v>50</v>
      </c>
      <c r="C789" s="6">
        <v>70000</v>
      </c>
      <c r="D789" t="s">
        <v>11</v>
      </c>
      <c r="E789" t="s">
        <v>26</v>
      </c>
      <c r="F789" t="s">
        <v>39</v>
      </c>
      <c r="G789" s="7">
        <v>43881</v>
      </c>
      <c r="H789" t="s">
        <v>14</v>
      </c>
      <c r="I789" t="s">
        <v>69</v>
      </c>
      <c r="J789" t="s">
        <v>69</v>
      </c>
      <c r="K789" t="str">
        <f>IF(HR_Data5[[#This Row],[Age]]&lt;30,"Young",IF(HR_Data5[[#This Row],[Age]]&lt;=45,"Mid-Career","Senior"))</f>
        <v>Senior</v>
      </c>
      <c r="L789" s="10">
        <f ca="1">DATEDIF(HR_Data5[[#This Row],[Joining Date]],TODAY(),"Y")</f>
        <v>6</v>
      </c>
      <c r="M789" s="10" t="str">
        <f>IF(HR_Data5[[#This Row],[Salary]]&lt;55000,"Low",IF(HR_Data5[[#This Row],[Salary]]&lt;=65000,"Medium","High"))</f>
        <v>High</v>
      </c>
      <c r="N789" s="10">
        <f>YEAR(HR_Data5[[#This Row],[Joining Date]])</f>
        <v>2020</v>
      </c>
      <c r="O789" s="10" cm="1">
        <f t="array" ref="O789">_xlfn.SWITCH(HR_Data5[[#This Row],[Performance Score]],
"A",5,
"B",4,
"C",3,
"D",2,
"F",1)</f>
        <v>2</v>
      </c>
      <c r="P789" s="10"/>
    </row>
    <row r="790" spans="1:16" x14ac:dyDescent="0.3">
      <c r="A790" t="s">
        <v>51</v>
      </c>
      <c r="B790">
        <v>30</v>
      </c>
      <c r="C790" s="6" t="s">
        <v>68</v>
      </c>
      <c r="D790" t="s">
        <v>11</v>
      </c>
      <c r="E790" t="s">
        <v>19</v>
      </c>
      <c r="F790" t="s">
        <v>20</v>
      </c>
      <c r="G790" s="7">
        <v>43195</v>
      </c>
      <c r="H790" t="s">
        <v>41</v>
      </c>
      <c r="I790" t="s">
        <v>69</v>
      </c>
      <c r="J790" t="s">
        <v>69</v>
      </c>
      <c r="K790" t="str">
        <f>IF(HR_Data5[[#This Row],[Age]]&lt;30,"Young",IF(HR_Data5[[#This Row],[Age]]&lt;=45,"Mid-Career","Senior"))</f>
        <v>Mid-Career</v>
      </c>
      <c r="L790" s="10">
        <f ca="1">DATEDIF(HR_Data5[[#This Row],[Joining Date]],TODAY(),"Y")</f>
        <v>7</v>
      </c>
      <c r="M790" s="10" t="str">
        <f>IF(HR_Data5[[#This Row],[Salary]]&lt;55000,"Low",IF(HR_Data5[[#This Row],[Salary]]&lt;=65000,"Medium","High"))</f>
        <v>High</v>
      </c>
      <c r="N790" s="10">
        <f>YEAR(HR_Data5[[#This Row],[Joining Date]])</f>
        <v>2018</v>
      </c>
      <c r="O790" s="10" cm="1">
        <f t="array" ref="O790">_xlfn.SWITCH(HR_Data5[[#This Row],[Performance Score]],
"A",5,
"B",4,
"C",3,
"D",2,
"F",1)</f>
        <v>4</v>
      </c>
      <c r="P790" s="10"/>
    </row>
    <row r="791" spans="1:16" x14ac:dyDescent="0.3">
      <c r="A791" t="s">
        <v>58</v>
      </c>
      <c r="B791">
        <v>35</v>
      </c>
      <c r="C791" s="6">
        <v>50000</v>
      </c>
      <c r="D791" t="s">
        <v>36</v>
      </c>
      <c r="E791" t="s">
        <v>37</v>
      </c>
      <c r="F791" t="s">
        <v>20</v>
      </c>
      <c r="G791" s="7">
        <v>43845</v>
      </c>
      <c r="H791" t="s">
        <v>41</v>
      </c>
      <c r="I791" t="s">
        <v>22</v>
      </c>
      <c r="J791" t="s">
        <v>28</v>
      </c>
      <c r="K791" t="str">
        <f>IF(HR_Data5[[#This Row],[Age]]&lt;30,"Young",IF(HR_Data5[[#This Row],[Age]]&lt;=45,"Mid-Career","Senior"))</f>
        <v>Mid-Career</v>
      </c>
      <c r="L791" s="10">
        <f ca="1">DATEDIF(HR_Data5[[#This Row],[Joining Date]],TODAY(),"Y")</f>
        <v>6</v>
      </c>
      <c r="M791" s="10" t="str">
        <f>IF(HR_Data5[[#This Row],[Salary]]&lt;55000,"Low",IF(HR_Data5[[#This Row],[Salary]]&lt;=65000,"Medium","High"))</f>
        <v>Low</v>
      </c>
      <c r="N791" s="10">
        <f>YEAR(HR_Data5[[#This Row],[Joining Date]])</f>
        <v>2020</v>
      </c>
      <c r="O791" s="10" cm="1">
        <f t="array" ref="O791">_xlfn.SWITCH(HR_Data5[[#This Row],[Performance Score]],
"A",5,
"B",4,
"C",3,
"D",2,
"F",1)</f>
        <v>4</v>
      </c>
      <c r="P791" s="10"/>
    </row>
    <row r="792" spans="1:16" x14ac:dyDescent="0.3">
      <c r="A792" t="s">
        <v>55</v>
      </c>
      <c r="B792">
        <v>25</v>
      </c>
      <c r="C792" s="6">
        <v>60000</v>
      </c>
      <c r="D792" t="s">
        <v>11</v>
      </c>
      <c r="E792" t="s">
        <v>37</v>
      </c>
      <c r="F792" t="s">
        <v>20</v>
      </c>
      <c r="G792" s="7">
        <v>43881</v>
      </c>
      <c r="H792" t="s">
        <v>21</v>
      </c>
      <c r="I792" t="s">
        <v>69</v>
      </c>
      <c r="J792" t="s">
        <v>45</v>
      </c>
      <c r="K792" t="str">
        <f>IF(HR_Data5[[#This Row],[Age]]&lt;30,"Young",IF(HR_Data5[[#This Row],[Age]]&lt;=45,"Mid-Career","Senior"))</f>
        <v>Young</v>
      </c>
      <c r="L792" s="10">
        <f ca="1">DATEDIF(HR_Data5[[#This Row],[Joining Date]],TODAY(),"Y")</f>
        <v>6</v>
      </c>
      <c r="M792" s="10" t="str">
        <f>IF(HR_Data5[[#This Row],[Salary]]&lt;55000,"Low",IF(HR_Data5[[#This Row],[Salary]]&lt;=65000,"Medium","High"))</f>
        <v>Medium</v>
      </c>
      <c r="N792" s="10">
        <f>YEAR(HR_Data5[[#This Row],[Joining Date]])</f>
        <v>2020</v>
      </c>
      <c r="O792" s="10" cm="1">
        <f t="array" ref="O792">_xlfn.SWITCH(HR_Data5[[#This Row],[Performance Score]],
"A",5,
"B",4,
"C",3,
"D",2,
"F",1)</f>
        <v>1</v>
      </c>
      <c r="P792" s="10"/>
    </row>
    <row r="793" spans="1:16" x14ac:dyDescent="0.3">
      <c r="A793" t="s">
        <v>57</v>
      </c>
      <c r="B793">
        <v>36</v>
      </c>
      <c r="C793" s="6">
        <v>70000</v>
      </c>
      <c r="D793" t="s">
        <v>36</v>
      </c>
      <c r="E793" t="s">
        <v>19</v>
      </c>
      <c r="F793" t="s">
        <v>13</v>
      </c>
      <c r="G793" s="7">
        <v>43881</v>
      </c>
      <c r="H793" t="s">
        <v>21</v>
      </c>
      <c r="I793" t="s">
        <v>32</v>
      </c>
      <c r="J793" t="s">
        <v>69</v>
      </c>
      <c r="K793" t="str">
        <f>IF(HR_Data5[[#This Row],[Age]]&lt;30,"Young",IF(HR_Data5[[#This Row],[Age]]&lt;=45,"Mid-Career","Senior"))</f>
        <v>Mid-Career</v>
      </c>
      <c r="L793" s="10">
        <f ca="1">DATEDIF(HR_Data5[[#This Row],[Joining Date]],TODAY(),"Y")</f>
        <v>6</v>
      </c>
      <c r="M793" s="10" t="str">
        <f>IF(HR_Data5[[#This Row],[Salary]]&lt;55000,"Low",IF(HR_Data5[[#This Row],[Salary]]&lt;=65000,"Medium","High"))</f>
        <v>High</v>
      </c>
      <c r="N793" s="10">
        <f>YEAR(HR_Data5[[#This Row],[Joining Date]])</f>
        <v>2020</v>
      </c>
      <c r="O793" s="10" cm="1">
        <f t="array" ref="O793">_xlfn.SWITCH(HR_Data5[[#This Row],[Performance Score]],
"A",5,
"B",4,
"C",3,
"D",2,
"F",1)</f>
        <v>1</v>
      </c>
      <c r="P793" s="10"/>
    </row>
    <row r="794" spans="1:16" x14ac:dyDescent="0.3">
      <c r="A794" t="s">
        <v>56</v>
      </c>
      <c r="B794">
        <v>30</v>
      </c>
      <c r="C794" s="6">
        <v>60000</v>
      </c>
      <c r="D794" t="s">
        <v>11</v>
      </c>
      <c r="E794" t="s">
        <v>26</v>
      </c>
      <c r="F794" t="s">
        <v>20</v>
      </c>
      <c r="G794" s="7">
        <v>43800</v>
      </c>
      <c r="H794" t="s">
        <v>41</v>
      </c>
      <c r="I794" t="s">
        <v>69</v>
      </c>
      <c r="J794" t="s">
        <v>45</v>
      </c>
      <c r="K794" t="str">
        <f>IF(HR_Data5[[#This Row],[Age]]&lt;30,"Young",IF(HR_Data5[[#This Row],[Age]]&lt;=45,"Mid-Career","Senior"))</f>
        <v>Mid-Career</v>
      </c>
      <c r="L794" s="10">
        <f ca="1">DATEDIF(HR_Data5[[#This Row],[Joining Date]],TODAY(),"Y")</f>
        <v>6</v>
      </c>
      <c r="M794" s="10" t="str">
        <f>IF(HR_Data5[[#This Row],[Salary]]&lt;55000,"Low",IF(HR_Data5[[#This Row],[Salary]]&lt;=65000,"Medium","High"))</f>
        <v>Medium</v>
      </c>
      <c r="N794" s="10">
        <f>YEAR(HR_Data5[[#This Row],[Joining Date]])</f>
        <v>2019</v>
      </c>
      <c r="O794" s="10" cm="1">
        <f t="array" ref="O794">_xlfn.SWITCH(HR_Data5[[#This Row],[Performance Score]],
"A",5,
"B",4,
"C",3,
"D",2,
"F",1)</f>
        <v>4</v>
      </c>
      <c r="P794" s="10"/>
    </row>
    <row r="795" spans="1:16" x14ac:dyDescent="0.3">
      <c r="A795" t="s">
        <v>56</v>
      </c>
      <c r="B795">
        <v>50</v>
      </c>
      <c r="C795" s="6">
        <v>70000</v>
      </c>
      <c r="D795" t="s">
        <v>18</v>
      </c>
      <c r="E795" t="s">
        <v>19</v>
      </c>
      <c r="F795" t="s">
        <v>13</v>
      </c>
      <c r="G795" s="7">
        <v>43549</v>
      </c>
      <c r="H795" t="s">
        <v>41</v>
      </c>
      <c r="I795" t="s">
        <v>22</v>
      </c>
      <c r="J795" t="s">
        <v>69</v>
      </c>
      <c r="K795" t="str">
        <f>IF(HR_Data5[[#This Row],[Age]]&lt;30,"Young",IF(HR_Data5[[#This Row],[Age]]&lt;=45,"Mid-Career","Senior"))</f>
        <v>Senior</v>
      </c>
      <c r="L795" s="10">
        <f ca="1">DATEDIF(HR_Data5[[#This Row],[Joining Date]],TODAY(),"Y")</f>
        <v>6</v>
      </c>
      <c r="M795" s="10" t="str">
        <f>IF(HR_Data5[[#This Row],[Salary]]&lt;55000,"Low",IF(HR_Data5[[#This Row],[Salary]]&lt;=65000,"Medium","High"))</f>
        <v>High</v>
      </c>
      <c r="N795" s="10">
        <f>YEAR(HR_Data5[[#This Row],[Joining Date]])</f>
        <v>2019</v>
      </c>
      <c r="O795" s="10" cm="1">
        <f t="array" ref="O795">_xlfn.SWITCH(HR_Data5[[#This Row],[Performance Score]],
"A",5,
"B",4,
"C",3,
"D",2,
"F",1)</f>
        <v>4</v>
      </c>
      <c r="P795" s="10"/>
    </row>
    <row r="796" spans="1:16" x14ac:dyDescent="0.3">
      <c r="A796" t="s">
        <v>60</v>
      </c>
      <c r="B796">
        <v>35</v>
      </c>
      <c r="C796" s="6">
        <v>60000</v>
      </c>
      <c r="D796" t="s">
        <v>11</v>
      </c>
      <c r="E796" t="s">
        <v>26</v>
      </c>
      <c r="F796" t="s">
        <v>20</v>
      </c>
      <c r="G796" s="7">
        <v>43549</v>
      </c>
      <c r="H796" t="s">
        <v>14</v>
      </c>
      <c r="I796" t="s">
        <v>22</v>
      </c>
      <c r="J796" t="s">
        <v>23</v>
      </c>
      <c r="K796" t="str">
        <f>IF(HR_Data5[[#This Row],[Age]]&lt;30,"Young",IF(HR_Data5[[#This Row],[Age]]&lt;=45,"Mid-Career","Senior"))</f>
        <v>Mid-Career</v>
      </c>
      <c r="L796" s="10">
        <f ca="1">DATEDIF(HR_Data5[[#This Row],[Joining Date]],TODAY(),"Y")</f>
        <v>6</v>
      </c>
      <c r="M796" s="10" t="str">
        <f>IF(HR_Data5[[#This Row],[Salary]]&lt;55000,"Low",IF(HR_Data5[[#This Row],[Salary]]&lt;=65000,"Medium","High"))</f>
        <v>Medium</v>
      </c>
      <c r="N796" s="10">
        <f>YEAR(HR_Data5[[#This Row],[Joining Date]])</f>
        <v>2019</v>
      </c>
      <c r="O796" s="10" cm="1">
        <f t="array" ref="O796">_xlfn.SWITCH(HR_Data5[[#This Row],[Performance Score]],
"A",5,
"B",4,
"C",3,
"D",2,
"F",1)</f>
        <v>2</v>
      </c>
      <c r="P796" s="10"/>
    </row>
    <row r="797" spans="1:16" x14ac:dyDescent="0.3">
      <c r="A797" t="s">
        <v>51</v>
      </c>
      <c r="B797">
        <v>30</v>
      </c>
      <c r="C797" s="6">
        <v>55000</v>
      </c>
      <c r="D797" t="s">
        <v>11</v>
      </c>
      <c r="E797" t="s">
        <v>30</v>
      </c>
      <c r="F797" t="s">
        <v>13</v>
      </c>
      <c r="G797" s="7">
        <v>43845</v>
      </c>
      <c r="H797" t="s">
        <v>41</v>
      </c>
      <c r="I797" t="s">
        <v>32</v>
      </c>
      <c r="J797" t="s">
        <v>69</v>
      </c>
      <c r="K797" t="str">
        <f>IF(HR_Data5[[#This Row],[Age]]&lt;30,"Young",IF(HR_Data5[[#This Row],[Age]]&lt;=45,"Mid-Career","Senior"))</f>
        <v>Mid-Career</v>
      </c>
      <c r="L797" s="10">
        <f ca="1">DATEDIF(HR_Data5[[#This Row],[Joining Date]],TODAY(),"Y")</f>
        <v>6</v>
      </c>
      <c r="M797" s="10" t="str">
        <f>IF(HR_Data5[[#This Row],[Salary]]&lt;55000,"Low",IF(HR_Data5[[#This Row],[Salary]]&lt;=65000,"Medium","High"))</f>
        <v>Medium</v>
      </c>
      <c r="N797" s="10">
        <f>YEAR(HR_Data5[[#This Row],[Joining Date]])</f>
        <v>2020</v>
      </c>
      <c r="O797" s="10" cm="1">
        <f t="array" ref="O797">_xlfn.SWITCH(HR_Data5[[#This Row],[Performance Score]],
"A",5,
"B",4,
"C",3,
"D",2,
"F",1)</f>
        <v>4</v>
      </c>
      <c r="P797" s="10"/>
    </row>
    <row r="798" spans="1:16" x14ac:dyDescent="0.3">
      <c r="A798" t="s">
        <v>54</v>
      </c>
      <c r="B798">
        <v>50</v>
      </c>
      <c r="C798" s="6">
        <v>60000</v>
      </c>
      <c r="D798" t="s">
        <v>36</v>
      </c>
      <c r="E798" t="s">
        <v>19</v>
      </c>
      <c r="F798" t="s">
        <v>43</v>
      </c>
      <c r="G798" s="7">
        <v>43195</v>
      </c>
      <c r="H798" t="s">
        <v>27</v>
      </c>
      <c r="I798" t="s">
        <v>69</v>
      </c>
      <c r="J798" t="s">
        <v>28</v>
      </c>
      <c r="K798" t="str">
        <f>IF(HR_Data5[[#This Row],[Age]]&lt;30,"Young",IF(HR_Data5[[#This Row],[Age]]&lt;=45,"Mid-Career","Senior"))</f>
        <v>Senior</v>
      </c>
      <c r="L798" s="10">
        <f ca="1">DATEDIF(HR_Data5[[#This Row],[Joining Date]],TODAY(),"Y")</f>
        <v>7</v>
      </c>
      <c r="M798" s="10" t="str">
        <f>IF(HR_Data5[[#This Row],[Salary]]&lt;55000,"Low",IF(HR_Data5[[#This Row],[Salary]]&lt;=65000,"Medium","High"))</f>
        <v>Medium</v>
      </c>
      <c r="N798" s="10">
        <f>YEAR(HR_Data5[[#This Row],[Joining Date]])</f>
        <v>2018</v>
      </c>
      <c r="O798" s="10" cm="1">
        <f t="array" ref="O798">_xlfn.SWITCH(HR_Data5[[#This Row],[Performance Score]],
"A",5,
"B",4,
"C",3,
"D",2,
"F",1)</f>
        <v>3</v>
      </c>
      <c r="P798" s="10"/>
    </row>
    <row r="799" spans="1:16" x14ac:dyDescent="0.3">
      <c r="A799" t="s">
        <v>55</v>
      </c>
      <c r="B799">
        <v>36</v>
      </c>
      <c r="C799" s="6" t="s">
        <v>68</v>
      </c>
      <c r="D799" t="s">
        <v>36</v>
      </c>
      <c r="E799" t="s">
        <v>26</v>
      </c>
      <c r="F799" t="s">
        <v>43</v>
      </c>
      <c r="G799" s="7">
        <v>43845</v>
      </c>
      <c r="H799" t="s">
        <v>31</v>
      </c>
      <c r="I799" t="s">
        <v>69</v>
      </c>
      <c r="J799" t="s">
        <v>69</v>
      </c>
      <c r="K799" t="str">
        <f>IF(HR_Data5[[#This Row],[Age]]&lt;30,"Young",IF(HR_Data5[[#This Row],[Age]]&lt;=45,"Mid-Career","Senior"))</f>
        <v>Mid-Career</v>
      </c>
      <c r="L799" s="10">
        <f ca="1">DATEDIF(HR_Data5[[#This Row],[Joining Date]],TODAY(),"Y")</f>
        <v>6</v>
      </c>
      <c r="M799" s="10" t="str">
        <f>IF(HR_Data5[[#This Row],[Salary]]&lt;55000,"Low",IF(HR_Data5[[#This Row],[Salary]]&lt;=65000,"Medium","High"))</f>
        <v>High</v>
      </c>
      <c r="N799" s="10">
        <f>YEAR(HR_Data5[[#This Row],[Joining Date]])</f>
        <v>2020</v>
      </c>
      <c r="O799" s="10" cm="1">
        <f t="array" ref="O799">_xlfn.SWITCH(HR_Data5[[#This Row],[Performance Score]],
"A",5,
"B",4,
"C",3,
"D",2,
"F",1)</f>
        <v>5</v>
      </c>
      <c r="P799" s="10"/>
    </row>
    <row r="800" spans="1:16" x14ac:dyDescent="0.3">
      <c r="A800" t="s">
        <v>51</v>
      </c>
      <c r="B800">
        <v>36</v>
      </c>
      <c r="C800" s="6">
        <v>55000</v>
      </c>
      <c r="D800" t="s">
        <v>11</v>
      </c>
      <c r="E800" t="s">
        <v>19</v>
      </c>
      <c r="F800" t="s">
        <v>39</v>
      </c>
      <c r="G800" s="7">
        <v>43881</v>
      </c>
      <c r="H800" t="s">
        <v>41</v>
      </c>
      <c r="I800" t="s">
        <v>15</v>
      </c>
      <c r="J800" t="s">
        <v>69</v>
      </c>
      <c r="K800" t="str">
        <f>IF(HR_Data5[[#This Row],[Age]]&lt;30,"Young",IF(HR_Data5[[#This Row],[Age]]&lt;=45,"Mid-Career","Senior"))</f>
        <v>Mid-Career</v>
      </c>
      <c r="L800" s="10">
        <f ca="1">DATEDIF(HR_Data5[[#This Row],[Joining Date]],TODAY(),"Y")</f>
        <v>6</v>
      </c>
      <c r="M800" s="10" t="str">
        <f>IF(HR_Data5[[#This Row],[Salary]]&lt;55000,"Low",IF(HR_Data5[[#This Row],[Salary]]&lt;=65000,"Medium","High"))</f>
        <v>Medium</v>
      </c>
      <c r="N800" s="10">
        <f>YEAR(HR_Data5[[#This Row],[Joining Date]])</f>
        <v>2020</v>
      </c>
      <c r="O800" s="10" cm="1">
        <f t="array" ref="O800">_xlfn.SWITCH(HR_Data5[[#This Row],[Performance Score]],
"A",5,
"B",4,
"C",3,
"D",2,
"F",1)</f>
        <v>4</v>
      </c>
      <c r="P800" s="10"/>
    </row>
    <row r="801" spans="1:16" x14ac:dyDescent="0.3">
      <c r="A801" t="s">
        <v>60</v>
      </c>
      <c r="B801">
        <v>40</v>
      </c>
      <c r="C801" s="6">
        <v>60000</v>
      </c>
      <c r="D801" t="s">
        <v>18</v>
      </c>
      <c r="E801" t="s">
        <v>19</v>
      </c>
      <c r="F801" t="s">
        <v>13</v>
      </c>
      <c r="G801" s="7">
        <v>43881</v>
      </c>
      <c r="H801" t="s">
        <v>21</v>
      </c>
      <c r="I801" t="s">
        <v>69</v>
      </c>
      <c r="J801" t="s">
        <v>28</v>
      </c>
      <c r="K801" t="str">
        <f>IF(HR_Data5[[#This Row],[Age]]&lt;30,"Young",IF(HR_Data5[[#This Row],[Age]]&lt;=45,"Mid-Career","Senior"))</f>
        <v>Mid-Career</v>
      </c>
      <c r="L801" s="10">
        <f ca="1">DATEDIF(HR_Data5[[#This Row],[Joining Date]],TODAY(),"Y")</f>
        <v>6</v>
      </c>
      <c r="M801" s="10" t="str">
        <f>IF(HR_Data5[[#This Row],[Salary]]&lt;55000,"Low",IF(HR_Data5[[#This Row],[Salary]]&lt;=65000,"Medium","High"))</f>
        <v>Medium</v>
      </c>
      <c r="N801" s="10">
        <f>YEAR(HR_Data5[[#This Row],[Joining Date]])</f>
        <v>2020</v>
      </c>
      <c r="O801" s="10" cm="1">
        <f t="array" ref="O801">_xlfn.SWITCH(HR_Data5[[#This Row],[Performance Score]],
"A",5,
"B",4,
"C",3,
"D",2,
"F",1)</f>
        <v>1</v>
      </c>
      <c r="P801" s="10"/>
    </row>
    <row r="802" spans="1:16" x14ac:dyDescent="0.3">
      <c r="A802" t="s">
        <v>59</v>
      </c>
      <c r="B802">
        <v>25</v>
      </c>
      <c r="C802" s="6">
        <v>70000</v>
      </c>
      <c r="D802" t="s">
        <v>11</v>
      </c>
      <c r="E802" t="s">
        <v>26</v>
      </c>
      <c r="F802" t="s">
        <v>44</v>
      </c>
      <c r="G802" s="7">
        <v>43549</v>
      </c>
      <c r="H802" t="s">
        <v>27</v>
      </c>
      <c r="I802" t="s">
        <v>22</v>
      </c>
      <c r="J802" t="s">
        <v>69</v>
      </c>
      <c r="K802" t="str">
        <f>IF(HR_Data5[[#This Row],[Age]]&lt;30,"Young",IF(HR_Data5[[#This Row],[Age]]&lt;=45,"Mid-Career","Senior"))</f>
        <v>Young</v>
      </c>
      <c r="L802" s="10">
        <f ca="1">DATEDIF(HR_Data5[[#This Row],[Joining Date]],TODAY(),"Y")</f>
        <v>6</v>
      </c>
      <c r="M802" s="10" t="str">
        <f>IF(HR_Data5[[#This Row],[Salary]]&lt;55000,"Low",IF(HR_Data5[[#This Row],[Salary]]&lt;=65000,"Medium","High"))</f>
        <v>High</v>
      </c>
      <c r="N802" s="10">
        <f>YEAR(HR_Data5[[#This Row],[Joining Date]])</f>
        <v>2019</v>
      </c>
      <c r="O802" s="10" cm="1">
        <f t="array" ref="O802">_xlfn.SWITCH(HR_Data5[[#This Row],[Performance Score]],
"A",5,
"B",4,
"C",3,
"D",2,
"F",1)</f>
        <v>3</v>
      </c>
      <c r="P802" s="10"/>
    </row>
    <row r="803" spans="1:16" x14ac:dyDescent="0.3">
      <c r="A803" t="s">
        <v>51</v>
      </c>
      <c r="B803">
        <v>40</v>
      </c>
      <c r="C803" s="6">
        <v>70000</v>
      </c>
      <c r="D803" t="s">
        <v>11</v>
      </c>
      <c r="E803" t="s">
        <v>26</v>
      </c>
      <c r="F803" t="s">
        <v>39</v>
      </c>
      <c r="G803" s="7">
        <v>43195</v>
      </c>
      <c r="H803" t="s">
        <v>21</v>
      </c>
      <c r="I803" t="s">
        <v>15</v>
      </c>
      <c r="J803" t="s">
        <v>69</v>
      </c>
      <c r="K803" t="str">
        <f>IF(HR_Data5[[#This Row],[Age]]&lt;30,"Young",IF(HR_Data5[[#This Row],[Age]]&lt;=45,"Mid-Career","Senior"))</f>
        <v>Mid-Career</v>
      </c>
      <c r="L803" s="10">
        <f ca="1">DATEDIF(HR_Data5[[#This Row],[Joining Date]],TODAY(),"Y")</f>
        <v>7</v>
      </c>
      <c r="M803" s="10" t="str">
        <f>IF(HR_Data5[[#This Row],[Salary]]&lt;55000,"Low",IF(HR_Data5[[#This Row],[Salary]]&lt;=65000,"Medium","High"))</f>
        <v>High</v>
      </c>
      <c r="N803" s="10">
        <f>YEAR(HR_Data5[[#This Row],[Joining Date]])</f>
        <v>2018</v>
      </c>
      <c r="O803" s="10" cm="1">
        <f t="array" ref="O803">_xlfn.SWITCH(HR_Data5[[#This Row],[Performance Score]],
"A",5,
"B",4,
"C",3,
"D",2,
"F",1)</f>
        <v>1</v>
      </c>
      <c r="P803" s="10"/>
    </row>
    <row r="804" spans="1:16" x14ac:dyDescent="0.3">
      <c r="A804" t="s">
        <v>57</v>
      </c>
      <c r="B804">
        <v>35</v>
      </c>
      <c r="C804" s="6">
        <v>70000</v>
      </c>
      <c r="D804" t="s">
        <v>18</v>
      </c>
      <c r="E804" t="s">
        <v>12</v>
      </c>
      <c r="F804" t="s">
        <v>43</v>
      </c>
      <c r="G804" s="7">
        <v>43800</v>
      </c>
      <c r="H804" t="s">
        <v>27</v>
      </c>
      <c r="I804" t="s">
        <v>22</v>
      </c>
      <c r="J804" t="s">
        <v>69</v>
      </c>
      <c r="K804" t="str">
        <f>IF(HR_Data5[[#This Row],[Age]]&lt;30,"Young",IF(HR_Data5[[#This Row],[Age]]&lt;=45,"Mid-Career","Senior"))</f>
        <v>Mid-Career</v>
      </c>
      <c r="L804" s="10">
        <f ca="1">DATEDIF(HR_Data5[[#This Row],[Joining Date]],TODAY(),"Y")</f>
        <v>6</v>
      </c>
      <c r="M804" s="10" t="str">
        <f>IF(HR_Data5[[#This Row],[Salary]]&lt;55000,"Low",IF(HR_Data5[[#This Row],[Salary]]&lt;=65000,"Medium","High"))</f>
        <v>High</v>
      </c>
      <c r="N804" s="10">
        <f>YEAR(HR_Data5[[#This Row],[Joining Date]])</f>
        <v>2019</v>
      </c>
      <c r="O804" s="10" cm="1">
        <f t="array" ref="O804">_xlfn.SWITCH(HR_Data5[[#This Row],[Performance Score]],
"A",5,
"B",4,
"C",3,
"D",2,
"F",1)</f>
        <v>3</v>
      </c>
      <c r="P804" s="10"/>
    </row>
    <row r="805" spans="1:16" x14ac:dyDescent="0.3">
      <c r="A805" t="s">
        <v>55</v>
      </c>
      <c r="B805">
        <v>30</v>
      </c>
      <c r="C805" s="6">
        <v>65000</v>
      </c>
      <c r="D805" t="s">
        <v>36</v>
      </c>
      <c r="E805" t="s">
        <v>19</v>
      </c>
      <c r="F805" t="s">
        <v>13</v>
      </c>
      <c r="G805" s="7">
        <v>43195</v>
      </c>
      <c r="H805" t="s">
        <v>41</v>
      </c>
      <c r="I805" t="s">
        <v>15</v>
      </c>
      <c r="J805" t="s">
        <v>45</v>
      </c>
      <c r="K805" t="str">
        <f>IF(HR_Data5[[#This Row],[Age]]&lt;30,"Young",IF(HR_Data5[[#This Row],[Age]]&lt;=45,"Mid-Career","Senior"))</f>
        <v>Mid-Career</v>
      </c>
      <c r="L805" s="10">
        <f ca="1">DATEDIF(HR_Data5[[#This Row],[Joining Date]],TODAY(),"Y")</f>
        <v>7</v>
      </c>
      <c r="M805" s="10" t="str">
        <f>IF(HR_Data5[[#This Row],[Salary]]&lt;55000,"Low",IF(HR_Data5[[#This Row],[Salary]]&lt;=65000,"Medium","High"))</f>
        <v>Medium</v>
      </c>
      <c r="N805" s="10">
        <f>YEAR(HR_Data5[[#This Row],[Joining Date]])</f>
        <v>2018</v>
      </c>
      <c r="O805" s="10" cm="1">
        <f t="array" ref="O805">_xlfn.SWITCH(HR_Data5[[#This Row],[Performance Score]],
"A",5,
"B",4,
"C",3,
"D",2,
"F",1)</f>
        <v>4</v>
      </c>
      <c r="P805" s="10"/>
    </row>
    <row r="806" spans="1:16" x14ac:dyDescent="0.3">
      <c r="A806" t="s">
        <v>60</v>
      </c>
      <c r="B806">
        <v>35</v>
      </c>
      <c r="C806" s="6">
        <v>50000</v>
      </c>
      <c r="D806" t="s">
        <v>11</v>
      </c>
      <c r="E806" t="s">
        <v>37</v>
      </c>
      <c r="F806" t="s">
        <v>20</v>
      </c>
      <c r="G806" s="7">
        <v>43881</v>
      </c>
      <c r="H806" t="s">
        <v>31</v>
      </c>
      <c r="I806" t="s">
        <v>69</v>
      </c>
      <c r="J806" t="s">
        <v>69</v>
      </c>
      <c r="K806" t="str">
        <f>IF(HR_Data5[[#This Row],[Age]]&lt;30,"Young",IF(HR_Data5[[#This Row],[Age]]&lt;=45,"Mid-Career","Senior"))</f>
        <v>Mid-Career</v>
      </c>
      <c r="L806" s="10">
        <f ca="1">DATEDIF(HR_Data5[[#This Row],[Joining Date]],TODAY(),"Y")</f>
        <v>6</v>
      </c>
      <c r="M806" s="10" t="str">
        <f>IF(HR_Data5[[#This Row],[Salary]]&lt;55000,"Low",IF(HR_Data5[[#This Row],[Salary]]&lt;=65000,"Medium","High"))</f>
        <v>Low</v>
      </c>
      <c r="N806" s="10">
        <f>YEAR(HR_Data5[[#This Row],[Joining Date]])</f>
        <v>2020</v>
      </c>
      <c r="O806" s="10" cm="1">
        <f t="array" ref="O806">_xlfn.SWITCH(HR_Data5[[#This Row],[Performance Score]],
"A",5,
"B",4,
"C",3,
"D",2,
"F",1)</f>
        <v>5</v>
      </c>
      <c r="P806" s="10"/>
    </row>
    <row r="807" spans="1:16" x14ac:dyDescent="0.3">
      <c r="A807" t="s">
        <v>59</v>
      </c>
      <c r="B807">
        <v>50</v>
      </c>
      <c r="C807" s="6">
        <v>70000</v>
      </c>
      <c r="D807" t="s">
        <v>36</v>
      </c>
      <c r="E807" t="s">
        <v>19</v>
      </c>
      <c r="F807" t="s">
        <v>44</v>
      </c>
      <c r="G807" s="7">
        <v>43800</v>
      </c>
      <c r="H807" t="s">
        <v>21</v>
      </c>
      <c r="I807" t="s">
        <v>15</v>
      </c>
      <c r="J807" t="s">
        <v>69</v>
      </c>
      <c r="K807" t="str">
        <f>IF(HR_Data5[[#This Row],[Age]]&lt;30,"Young",IF(HR_Data5[[#This Row],[Age]]&lt;=45,"Mid-Career","Senior"))</f>
        <v>Senior</v>
      </c>
      <c r="L807" s="10">
        <f ca="1">DATEDIF(HR_Data5[[#This Row],[Joining Date]],TODAY(),"Y")</f>
        <v>6</v>
      </c>
      <c r="M807" s="10" t="str">
        <f>IF(HR_Data5[[#This Row],[Salary]]&lt;55000,"Low",IF(HR_Data5[[#This Row],[Salary]]&lt;=65000,"Medium","High"))</f>
        <v>High</v>
      </c>
      <c r="N807" s="10">
        <f>YEAR(HR_Data5[[#This Row],[Joining Date]])</f>
        <v>2019</v>
      </c>
      <c r="O807" s="10" cm="1">
        <f t="array" ref="O807">_xlfn.SWITCH(HR_Data5[[#This Row],[Performance Score]],
"A",5,
"B",4,
"C",3,
"D",2,
"F",1)</f>
        <v>1</v>
      </c>
      <c r="P807" s="10"/>
    </row>
    <row r="808" spans="1:16" x14ac:dyDescent="0.3">
      <c r="A808" t="s">
        <v>52</v>
      </c>
      <c r="B808">
        <v>36</v>
      </c>
      <c r="C808" s="6">
        <v>55000</v>
      </c>
      <c r="D808" t="s">
        <v>36</v>
      </c>
      <c r="E808" t="s">
        <v>19</v>
      </c>
      <c r="F808" t="s">
        <v>43</v>
      </c>
      <c r="G808" s="7">
        <v>43195</v>
      </c>
      <c r="H808" t="s">
        <v>27</v>
      </c>
      <c r="I808" t="s">
        <v>22</v>
      </c>
      <c r="J808" t="s">
        <v>23</v>
      </c>
      <c r="K808" t="str">
        <f>IF(HR_Data5[[#This Row],[Age]]&lt;30,"Young",IF(HR_Data5[[#This Row],[Age]]&lt;=45,"Mid-Career","Senior"))</f>
        <v>Mid-Career</v>
      </c>
      <c r="L808" s="10">
        <f ca="1">DATEDIF(HR_Data5[[#This Row],[Joining Date]],TODAY(),"Y")</f>
        <v>7</v>
      </c>
      <c r="M808" s="10" t="str">
        <f>IF(HR_Data5[[#This Row],[Salary]]&lt;55000,"Low",IF(HR_Data5[[#This Row],[Salary]]&lt;=65000,"Medium","High"))</f>
        <v>Medium</v>
      </c>
      <c r="N808" s="10">
        <f>YEAR(HR_Data5[[#This Row],[Joining Date]])</f>
        <v>2018</v>
      </c>
      <c r="O808" s="10" cm="1">
        <f t="array" ref="O808">_xlfn.SWITCH(HR_Data5[[#This Row],[Performance Score]],
"A",5,
"B",4,
"C",3,
"D",2,
"F",1)</f>
        <v>3</v>
      </c>
      <c r="P808" s="10"/>
    </row>
    <row r="809" spans="1:16" x14ac:dyDescent="0.3">
      <c r="A809" t="s">
        <v>60</v>
      </c>
      <c r="B809">
        <v>40</v>
      </c>
      <c r="C809" s="6">
        <v>70000</v>
      </c>
      <c r="D809" t="s">
        <v>18</v>
      </c>
      <c r="E809" t="s">
        <v>26</v>
      </c>
      <c r="F809" t="s">
        <v>39</v>
      </c>
      <c r="G809" s="7">
        <v>43195</v>
      </c>
      <c r="H809" t="s">
        <v>14</v>
      </c>
      <c r="I809" t="s">
        <v>69</v>
      </c>
      <c r="J809" t="s">
        <v>69</v>
      </c>
      <c r="K809" t="str">
        <f>IF(HR_Data5[[#This Row],[Age]]&lt;30,"Young",IF(HR_Data5[[#This Row],[Age]]&lt;=45,"Mid-Career","Senior"))</f>
        <v>Mid-Career</v>
      </c>
      <c r="L809" s="10">
        <f ca="1">DATEDIF(HR_Data5[[#This Row],[Joining Date]],TODAY(),"Y")</f>
        <v>7</v>
      </c>
      <c r="M809" s="10" t="str">
        <f>IF(HR_Data5[[#This Row],[Salary]]&lt;55000,"Low",IF(HR_Data5[[#This Row],[Salary]]&lt;=65000,"Medium","High"))</f>
        <v>High</v>
      </c>
      <c r="N809" s="10">
        <f>YEAR(HR_Data5[[#This Row],[Joining Date]])</f>
        <v>2018</v>
      </c>
      <c r="O809" s="10" cm="1">
        <f t="array" ref="O809">_xlfn.SWITCH(HR_Data5[[#This Row],[Performance Score]],
"A",5,
"B",4,
"C",3,
"D",2,
"F",1)</f>
        <v>2</v>
      </c>
      <c r="P809" s="10"/>
    </row>
    <row r="810" spans="1:16" x14ac:dyDescent="0.3">
      <c r="A810" t="s">
        <v>52</v>
      </c>
      <c r="B810">
        <v>40</v>
      </c>
      <c r="C810" s="6">
        <v>65000</v>
      </c>
      <c r="D810" t="s">
        <v>18</v>
      </c>
      <c r="E810" t="s">
        <v>19</v>
      </c>
      <c r="F810" t="s">
        <v>13</v>
      </c>
      <c r="G810" s="7">
        <v>43800</v>
      </c>
      <c r="H810" t="s">
        <v>41</v>
      </c>
      <c r="I810" t="s">
        <v>22</v>
      </c>
      <c r="J810" t="s">
        <v>45</v>
      </c>
      <c r="K810" t="str">
        <f>IF(HR_Data5[[#This Row],[Age]]&lt;30,"Young",IF(HR_Data5[[#This Row],[Age]]&lt;=45,"Mid-Career","Senior"))</f>
        <v>Mid-Career</v>
      </c>
      <c r="L810" s="10">
        <f ca="1">DATEDIF(HR_Data5[[#This Row],[Joining Date]],TODAY(),"Y")</f>
        <v>6</v>
      </c>
      <c r="M810" s="10" t="str">
        <f>IF(HR_Data5[[#This Row],[Salary]]&lt;55000,"Low",IF(HR_Data5[[#This Row],[Salary]]&lt;=65000,"Medium","High"))</f>
        <v>Medium</v>
      </c>
      <c r="N810" s="10">
        <f>YEAR(HR_Data5[[#This Row],[Joining Date]])</f>
        <v>2019</v>
      </c>
      <c r="O810" s="10" cm="1">
        <f t="array" ref="O810">_xlfn.SWITCH(HR_Data5[[#This Row],[Performance Score]],
"A",5,
"B",4,
"C",3,
"D",2,
"F",1)</f>
        <v>4</v>
      </c>
      <c r="P810" s="10"/>
    </row>
    <row r="811" spans="1:16" x14ac:dyDescent="0.3">
      <c r="A811" t="s">
        <v>55</v>
      </c>
      <c r="B811">
        <v>40</v>
      </c>
      <c r="C811" s="6" t="s">
        <v>68</v>
      </c>
      <c r="D811" t="s">
        <v>36</v>
      </c>
      <c r="E811" t="s">
        <v>19</v>
      </c>
      <c r="F811" t="s">
        <v>44</v>
      </c>
      <c r="G811" s="7">
        <v>43881</v>
      </c>
      <c r="H811" t="s">
        <v>31</v>
      </c>
      <c r="I811" t="s">
        <v>32</v>
      </c>
      <c r="J811" t="s">
        <v>28</v>
      </c>
      <c r="K811" t="str">
        <f>IF(HR_Data5[[#This Row],[Age]]&lt;30,"Young",IF(HR_Data5[[#This Row],[Age]]&lt;=45,"Mid-Career","Senior"))</f>
        <v>Mid-Career</v>
      </c>
      <c r="L811" s="10">
        <f ca="1">DATEDIF(HR_Data5[[#This Row],[Joining Date]],TODAY(),"Y")</f>
        <v>6</v>
      </c>
      <c r="M811" s="10" t="str">
        <f>IF(HR_Data5[[#This Row],[Salary]]&lt;55000,"Low",IF(HR_Data5[[#This Row],[Salary]]&lt;=65000,"Medium","High"))</f>
        <v>High</v>
      </c>
      <c r="N811" s="10">
        <f>YEAR(HR_Data5[[#This Row],[Joining Date]])</f>
        <v>2020</v>
      </c>
      <c r="O811" s="10" cm="1">
        <f t="array" ref="O811">_xlfn.SWITCH(HR_Data5[[#This Row],[Performance Score]],
"A",5,
"B",4,
"C",3,
"D",2,
"F",1)</f>
        <v>5</v>
      </c>
      <c r="P811" s="10"/>
    </row>
    <row r="812" spans="1:16" x14ac:dyDescent="0.3">
      <c r="A812" t="s">
        <v>56</v>
      </c>
      <c r="B812">
        <v>35</v>
      </c>
      <c r="C812" s="6">
        <v>55000</v>
      </c>
      <c r="D812" t="s">
        <v>11</v>
      </c>
      <c r="E812" t="s">
        <v>37</v>
      </c>
      <c r="F812" t="s">
        <v>13</v>
      </c>
      <c r="G812" s="7">
        <v>43195</v>
      </c>
      <c r="H812" t="s">
        <v>41</v>
      </c>
      <c r="I812" t="s">
        <v>32</v>
      </c>
      <c r="J812" t="s">
        <v>28</v>
      </c>
      <c r="K812" t="str">
        <f>IF(HR_Data5[[#This Row],[Age]]&lt;30,"Young",IF(HR_Data5[[#This Row],[Age]]&lt;=45,"Mid-Career","Senior"))</f>
        <v>Mid-Career</v>
      </c>
      <c r="L812" s="10">
        <f ca="1">DATEDIF(HR_Data5[[#This Row],[Joining Date]],TODAY(),"Y")</f>
        <v>7</v>
      </c>
      <c r="M812" s="10" t="str">
        <f>IF(HR_Data5[[#This Row],[Salary]]&lt;55000,"Low",IF(HR_Data5[[#This Row],[Salary]]&lt;=65000,"Medium","High"))</f>
        <v>Medium</v>
      </c>
      <c r="N812" s="10">
        <f>YEAR(HR_Data5[[#This Row],[Joining Date]])</f>
        <v>2018</v>
      </c>
      <c r="O812" s="10" cm="1">
        <f t="array" ref="O812">_xlfn.SWITCH(HR_Data5[[#This Row],[Performance Score]],
"A",5,
"B",4,
"C",3,
"D",2,
"F",1)</f>
        <v>4</v>
      </c>
      <c r="P812" s="10"/>
    </row>
    <row r="813" spans="1:16" x14ac:dyDescent="0.3">
      <c r="A813" t="s">
        <v>60</v>
      </c>
      <c r="B813">
        <v>36</v>
      </c>
      <c r="C813" s="6">
        <v>65000</v>
      </c>
      <c r="D813" t="s">
        <v>36</v>
      </c>
      <c r="E813" t="s">
        <v>26</v>
      </c>
      <c r="F813" t="s">
        <v>20</v>
      </c>
      <c r="G813" s="7">
        <v>43800</v>
      </c>
      <c r="H813" t="s">
        <v>14</v>
      </c>
      <c r="I813" t="s">
        <v>32</v>
      </c>
      <c r="J813" t="s">
        <v>28</v>
      </c>
      <c r="K813" t="str">
        <f>IF(HR_Data5[[#This Row],[Age]]&lt;30,"Young",IF(HR_Data5[[#This Row],[Age]]&lt;=45,"Mid-Career","Senior"))</f>
        <v>Mid-Career</v>
      </c>
      <c r="L813" s="10">
        <f ca="1">DATEDIF(HR_Data5[[#This Row],[Joining Date]],TODAY(),"Y")</f>
        <v>6</v>
      </c>
      <c r="M813" s="10" t="str">
        <f>IF(HR_Data5[[#This Row],[Salary]]&lt;55000,"Low",IF(HR_Data5[[#This Row],[Salary]]&lt;=65000,"Medium","High"))</f>
        <v>Medium</v>
      </c>
      <c r="N813" s="10">
        <f>YEAR(HR_Data5[[#This Row],[Joining Date]])</f>
        <v>2019</v>
      </c>
      <c r="O813" s="10" cm="1">
        <f t="array" ref="O813">_xlfn.SWITCH(HR_Data5[[#This Row],[Performance Score]],
"A",5,
"B",4,
"C",3,
"D",2,
"F",1)</f>
        <v>2</v>
      </c>
      <c r="P813" s="10"/>
    </row>
    <row r="814" spans="1:16" x14ac:dyDescent="0.3">
      <c r="A814" t="s">
        <v>58</v>
      </c>
      <c r="B814">
        <v>30</v>
      </c>
      <c r="C814" s="6" t="s">
        <v>68</v>
      </c>
      <c r="D814" t="s">
        <v>11</v>
      </c>
      <c r="E814" t="s">
        <v>19</v>
      </c>
      <c r="F814" t="s">
        <v>39</v>
      </c>
      <c r="G814" s="7">
        <v>43881</v>
      </c>
      <c r="H814" t="s">
        <v>31</v>
      </c>
      <c r="I814" t="s">
        <v>32</v>
      </c>
      <c r="J814" t="s">
        <v>23</v>
      </c>
      <c r="K814" t="str">
        <f>IF(HR_Data5[[#This Row],[Age]]&lt;30,"Young",IF(HR_Data5[[#This Row],[Age]]&lt;=45,"Mid-Career","Senior"))</f>
        <v>Mid-Career</v>
      </c>
      <c r="L814" s="10">
        <f ca="1">DATEDIF(HR_Data5[[#This Row],[Joining Date]],TODAY(),"Y")</f>
        <v>6</v>
      </c>
      <c r="M814" s="10" t="str">
        <f>IF(HR_Data5[[#This Row],[Salary]]&lt;55000,"Low",IF(HR_Data5[[#This Row],[Salary]]&lt;=65000,"Medium","High"))</f>
        <v>High</v>
      </c>
      <c r="N814" s="10">
        <f>YEAR(HR_Data5[[#This Row],[Joining Date]])</f>
        <v>2020</v>
      </c>
      <c r="O814" s="10" cm="1">
        <f t="array" ref="O814">_xlfn.SWITCH(HR_Data5[[#This Row],[Performance Score]],
"A",5,
"B",4,
"C",3,
"D",2,
"F",1)</f>
        <v>5</v>
      </c>
      <c r="P814" s="10"/>
    </row>
    <row r="815" spans="1:16" x14ac:dyDescent="0.3">
      <c r="A815" t="s">
        <v>52</v>
      </c>
      <c r="B815">
        <v>50</v>
      </c>
      <c r="C815" s="6">
        <v>55000</v>
      </c>
      <c r="D815" t="s">
        <v>11</v>
      </c>
      <c r="E815" t="s">
        <v>30</v>
      </c>
      <c r="F815" t="s">
        <v>13</v>
      </c>
      <c r="G815" s="7">
        <v>43800</v>
      </c>
      <c r="H815" t="s">
        <v>14</v>
      </c>
      <c r="I815" t="s">
        <v>69</v>
      </c>
      <c r="J815" t="s">
        <v>45</v>
      </c>
      <c r="K815" t="str">
        <f>IF(HR_Data5[[#This Row],[Age]]&lt;30,"Young",IF(HR_Data5[[#This Row],[Age]]&lt;=45,"Mid-Career","Senior"))</f>
        <v>Senior</v>
      </c>
      <c r="L815" s="10">
        <f ca="1">DATEDIF(HR_Data5[[#This Row],[Joining Date]],TODAY(),"Y")</f>
        <v>6</v>
      </c>
      <c r="M815" s="10" t="str">
        <f>IF(HR_Data5[[#This Row],[Salary]]&lt;55000,"Low",IF(HR_Data5[[#This Row],[Salary]]&lt;=65000,"Medium","High"))</f>
        <v>Medium</v>
      </c>
      <c r="N815" s="10">
        <f>YEAR(HR_Data5[[#This Row],[Joining Date]])</f>
        <v>2019</v>
      </c>
      <c r="O815" s="10" cm="1">
        <f t="array" ref="O815">_xlfn.SWITCH(HR_Data5[[#This Row],[Performance Score]],
"A",5,
"B",4,
"C",3,
"D",2,
"F",1)</f>
        <v>2</v>
      </c>
      <c r="P815" s="10"/>
    </row>
    <row r="816" spans="1:16" x14ac:dyDescent="0.3">
      <c r="A816" t="s">
        <v>57</v>
      </c>
      <c r="B816">
        <v>30</v>
      </c>
      <c r="C816" s="6">
        <v>60000</v>
      </c>
      <c r="D816" t="s">
        <v>18</v>
      </c>
      <c r="E816" t="s">
        <v>12</v>
      </c>
      <c r="F816" t="s">
        <v>43</v>
      </c>
      <c r="G816" s="7">
        <v>43800</v>
      </c>
      <c r="H816" t="s">
        <v>41</v>
      </c>
      <c r="I816" t="s">
        <v>69</v>
      </c>
      <c r="J816" t="s">
        <v>69</v>
      </c>
      <c r="K816" t="str">
        <f>IF(HR_Data5[[#This Row],[Age]]&lt;30,"Young",IF(HR_Data5[[#This Row],[Age]]&lt;=45,"Mid-Career","Senior"))</f>
        <v>Mid-Career</v>
      </c>
      <c r="L816" s="10">
        <f ca="1">DATEDIF(HR_Data5[[#This Row],[Joining Date]],TODAY(),"Y")</f>
        <v>6</v>
      </c>
      <c r="M816" s="10" t="str">
        <f>IF(HR_Data5[[#This Row],[Salary]]&lt;55000,"Low",IF(HR_Data5[[#This Row],[Salary]]&lt;=65000,"Medium","High"))</f>
        <v>Medium</v>
      </c>
      <c r="N816" s="10">
        <f>YEAR(HR_Data5[[#This Row],[Joining Date]])</f>
        <v>2019</v>
      </c>
      <c r="O816" s="10" cm="1">
        <f t="array" ref="O816">_xlfn.SWITCH(HR_Data5[[#This Row],[Performance Score]],
"A",5,
"B",4,
"C",3,
"D",2,
"F",1)</f>
        <v>4</v>
      </c>
      <c r="P816" s="10"/>
    </row>
    <row r="817" spans="1:16" x14ac:dyDescent="0.3">
      <c r="A817" t="s">
        <v>58</v>
      </c>
      <c r="B817">
        <v>35</v>
      </c>
      <c r="C817" s="6">
        <v>50000</v>
      </c>
      <c r="D817" t="s">
        <v>11</v>
      </c>
      <c r="E817" t="s">
        <v>37</v>
      </c>
      <c r="F817" t="s">
        <v>39</v>
      </c>
      <c r="G817" s="7">
        <v>43195</v>
      </c>
      <c r="H817" t="s">
        <v>27</v>
      </c>
      <c r="I817" t="s">
        <v>69</v>
      </c>
      <c r="J817" t="s">
        <v>28</v>
      </c>
      <c r="K817" t="str">
        <f>IF(HR_Data5[[#This Row],[Age]]&lt;30,"Young",IF(HR_Data5[[#This Row],[Age]]&lt;=45,"Mid-Career","Senior"))</f>
        <v>Mid-Career</v>
      </c>
      <c r="L817" s="10">
        <f ca="1">DATEDIF(HR_Data5[[#This Row],[Joining Date]],TODAY(),"Y")</f>
        <v>7</v>
      </c>
      <c r="M817" s="10" t="str">
        <f>IF(HR_Data5[[#This Row],[Salary]]&lt;55000,"Low",IF(HR_Data5[[#This Row],[Salary]]&lt;=65000,"Medium","High"))</f>
        <v>Low</v>
      </c>
      <c r="N817" s="10">
        <f>YEAR(HR_Data5[[#This Row],[Joining Date]])</f>
        <v>2018</v>
      </c>
      <c r="O817" s="10" cm="1">
        <f t="array" ref="O817">_xlfn.SWITCH(HR_Data5[[#This Row],[Performance Score]],
"A",5,
"B",4,
"C",3,
"D",2,
"F",1)</f>
        <v>3</v>
      </c>
      <c r="P817" s="10"/>
    </row>
    <row r="818" spans="1:16" x14ac:dyDescent="0.3">
      <c r="A818" t="s">
        <v>53</v>
      </c>
      <c r="B818">
        <v>50</v>
      </c>
      <c r="C818" s="6">
        <v>50000</v>
      </c>
      <c r="D818" t="s">
        <v>11</v>
      </c>
      <c r="E818" t="s">
        <v>19</v>
      </c>
      <c r="F818" t="s">
        <v>43</v>
      </c>
      <c r="G818" s="7">
        <v>43881</v>
      </c>
      <c r="H818" t="s">
        <v>41</v>
      </c>
      <c r="I818" t="s">
        <v>22</v>
      </c>
      <c r="J818" t="s">
        <v>45</v>
      </c>
      <c r="K818" t="str">
        <f>IF(HR_Data5[[#This Row],[Age]]&lt;30,"Young",IF(HR_Data5[[#This Row],[Age]]&lt;=45,"Mid-Career","Senior"))</f>
        <v>Senior</v>
      </c>
      <c r="L818" s="10">
        <f ca="1">DATEDIF(HR_Data5[[#This Row],[Joining Date]],TODAY(),"Y")</f>
        <v>6</v>
      </c>
      <c r="M818" s="10" t="str">
        <f>IF(HR_Data5[[#This Row],[Salary]]&lt;55000,"Low",IF(HR_Data5[[#This Row],[Salary]]&lt;=65000,"Medium","High"))</f>
        <v>Low</v>
      </c>
      <c r="N818" s="10">
        <f>YEAR(HR_Data5[[#This Row],[Joining Date]])</f>
        <v>2020</v>
      </c>
      <c r="O818" s="10" cm="1">
        <f t="array" ref="O818">_xlfn.SWITCH(HR_Data5[[#This Row],[Performance Score]],
"A",5,
"B",4,
"C",3,
"D",2,
"F",1)</f>
        <v>4</v>
      </c>
      <c r="P818" s="10"/>
    </row>
    <row r="819" spans="1:16" x14ac:dyDescent="0.3">
      <c r="A819" t="s">
        <v>53</v>
      </c>
      <c r="B819">
        <v>40</v>
      </c>
      <c r="C819" s="6">
        <v>65000</v>
      </c>
      <c r="D819" t="s">
        <v>36</v>
      </c>
      <c r="E819" t="s">
        <v>30</v>
      </c>
      <c r="F819" t="s">
        <v>13</v>
      </c>
      <c r="G819" s="7">
        <v>43195</v>
      </c>
      <c r="H819" t="s">
        <v>41</v>
      </c>
      <c r="I819" t="s">
        <v>15</v>
      </c>
      <c r="J819" t="s">
        <v>69</v>
      </c>
      <c r="K819" t="str">
        <f>IF(HR_Data5[[#This Row],[Age]]&lt;30,"Young",IF(HR_Data5[[#This Row],[Age]]&lt;=45,"Mid-Career","Senior"))</f>
        <v>Mid-Career</v>
      </c>
      <c r="L819" s="10">
        <f ca="1">DATEDIF(HR_Data5[[#This Row],[Joining Date]],TODAY(),"Y")</f>
        <v>7</v>
      </c>
      <c r="M819" s="10" t="str">
        <f>IF(HR_Data5[[#This Row],[Salary]]&lt;55000,"Low",IF(HR_Data5[[#This Row],[Salary]]&lt;=65000,"Medium","High"))</f>
        <v>Medium</v>
      </c>
      <c r="N819" s="10">
        <f>YEAR(HR_Data5[[#This Row],[Joining Date]])</f>
        <v>2018</v>
      </c>
      <c r="O819" s="10" cm="1">
        <f t="array" ref="O819">_xlfn.SWITCH(HR_Data5[[#This Row],[Performance Score]],
"A",5,
"B",4,
"C",3,
"D",2,
"F",1)</f>
        <v>4</v>
      </c>
      <c r="P819" s="10"/>
    </row>
    <row r="820" spans="1:16" x14ac:dyDescent="0.3">
      <c r="A820" t="s">
        <v>59</v>
      </c>
      <c r="B820">
        <v>25</v>
      </c>
      <c r="C820" s="6" t="s">
        <v>68</v>
      </c>
      <c r="D820" t="s">
        <v>18</v>
      </c>
      <c r="E820" t="s">
        <v>19</v>
      </c>
      <c r="F820" t="s">
        <v>39</v>
      </c>
      <c r="G820" s="7">
        <v>43845</v>
      </c>
      <c r="H820" t="s">
        <v>41</v>
      </c>
      <c r="I820" t="s">
        <v>22</v>
      </c>
      <c r="J820" t="s">
        <v>23</v>
      </c>
      <c r="K820" t="str">
        <f>IF(HR_Data5[[#This Row],[Age]]&lt;30,"Young",IF(HR_Data5[[#This Row],[Age]]&lt;=45,"Mid-Career","Senior"))</f>
        <v>Young</v>
      </c>
      <c r="L820" s="10">
        <f ca="1">DATEDIF(HR_Data5[[#This Row],[Joining Date]],TODAY(),"Y")</f>
        <v>6</v>
      </c>
      <c r="M820" s="10" t="str">
        <f>IF(HR_Data5[[#This Row],[Salary]]&lt;55000,"Low",IF(HR_Data5[[#This Row],[Salary]]&lt;=65000,"Medium","High"))</f>
        <v>High</v>
      </c>
      <c r="N820" s="10">
        <f>YEAR(HR_Data5[[#This Row],[Joining Date]])</f>
        <v>2020</v>
      </c>
      <c r="O820" s="10" cm="1">
        <f t="array" ref="O820">_xlfn.SWITCH(HR_Data5[[#This Row],[Performance Score]],
"A",5,
"B",4,
"C",3,
"D",2,
"F",1)</f>
        <v>4</v>
      </c>
      <c r="P820" s="10"/>
    </row>
    <row r="821" spans="1:16" x14ac:dyDescent="0.3">
      <c r="A821" t="s">
        <v>56</v>
      </c>
      <c r="B821">
        <v>35</v>
      </c>
      <c r="C821" s="6">
        <v>50000</v>
      </c>
      <c r="D821" t="s">
        <v>11</v>
      </c>
      <c r="E821" t="s">
        <v>19</v>
      </c>
      <c r="F821" t="s">
        <v>43</v>
      </c>
      <c r="G821" s="7">
        <v>43845</v>
      </c>
      <c r="H821" t="s">
        <v>21</v>
      </c>
      <c r="I821" t="s">
        <v>22</v>
      </c>
      <c r="J821" t="s">
        <v>45</v>
      </c>
      <c r="K821" t="str">
        <f>IF(HR_Data5[[#This Row],[Age]]&lt;30,"Young",IF(HR_Data5[[#This Row],[Age]]&lt;=45,"Mid-Career","Senior"))</f>
        <v>Mid-Career</v>
      </c>
      <c r="L821" s="10">
        <f ca="1">DATEDIF(HR_Data5[[#This Row],[Joining Date]],TODAY(),"Y")</f>
        <v>6</v>
      </c>
      <c r="M821" s="10" t="str">
        <f>IF(HR_Data5[[#This Row],[Salary]]&lt;55000,"Low",IF(HR_Data5[[#This Row],[Salary]]&lt;=65000,"Medium","High"))</f>
        <v>Low</v>
      </c>
      <c r="N821" s="10">
        <f>YEAR(HR_Data5[[#This Row],[Joining Date]])</f>
        <v>2020</v>
      </c>
      <c r="O821" s="10" cm="1">
        <f t="array" ref="O821">_xlfn.SWITCH(HR_Data5[[#This Row],[Performance Score]],
"A",5,
"B",4,
"C",3,
"D",2,
"F",1)</f>
        <v>1</v>
      </c>
      <c r="P821" s="10"/>
    </row>
    <row r="822" spans="1:16" x14ac:dyDescent="0.3">
      <c r="A822" t="s">
        <v>55</v>
      </c>
      <c r="B822">
        <v>35</v>
      </c>
      <c r="C822" s="6" t="s">
        <v>68</v>
      </c>
      <c r="D822" t="s">
        <v>11</v>
      </c>
      <c r="E822" t="s">
        <v>26</v>
      </c>
      <c r="F822" t="s">
        <v>20</v>
      </c>
      <c r="G822" s="7">
        <v>43881</v>
      </c>
      <c r="H822" t="s">
        <v>14</v>
      </c>
      <c r="I822" t="s">
        <v>22</v>
      </c>
      <c r="J822" t="s">
        <v>45</v>
      </c>
      <c r="K822" t="str">
        <f>IF(HR_Data5[[#This Row],[Age]]&lt;30,"Young",IF(HR_Data5[[#This Row],[Age]]&lt;=45,"Mid-Career","Senior"))</f>
        <v>Mid-Career</v>
      </c>
      <c r="L822" s="10">
        <f ca="1">DATEDIF(HR_Data5[[#This Row],[Joining Date]],TODAY(),"Y")</f>
        <v>6</v>
      </c>
      <c r="M822" s="10" t="str">
        <f>IF(HR_Data5[[#This Row],[Salary]]&lt;55000,"Low",IF(HR_Data5[[#This Row],[Salary]]&lt;=65000,"Medium","High"))</f>
        <v>High</v>
      </c>
      <c r="N822" s="10">
        <f>YEAR(HR_Data5[[#This Row],[Joining Date]])</f>
        <v>2020</v>
      </c>
      <c r="O822" s="10" cm="1">
        <f t="array" ref="O822">_xlfn.SWITCH(HR_Data5[[#This Row],[Performance Score]],
"A",5,
"B",4,
"C",3,
"D",2,
"F",1)</f>
        <v>2</v>
      </c>
      <c r="P822" s="10"/>
    </row>
    <row r="823" spans="1:16" x14ac:dyDescent="0.3">
      <c r="A823" t="s">
        <v>60</v>
      </c>
      <c r="B823">
        <v>36</v>
      </c>
      <c r="C823" s="6" t="s">
        <v>68</v>
      </c>
      <c r="D823" t="s">
        <v>18</v>
      </c>
      <c r="E823" t="s">
        <v>26</v>
      </c>
      <c r="F823" t="s">
        <v>20</v>
      </c>
      <c r="G823" s="7">
        <v>43800</v>
      </c>
      <c r="H823" t="s">
        <v>14</v>
      </c>
      <c r="I823" t="s">
        <v>22</v>
      </c>
      <c r="J823" t="s">
        <v>69</v>
      </c>
      <c r="K823" t="str">
        <f>IF(HR_Data5[[#This Row],[Age]]&lt;30,"Young",IF(HR_Data5[[#This Row],[Age]]&lt;=45,"Mid-Career","Senior"))</f>
        <v>Mid-Career</v>
      </c>
      <c r="L823" s="10">
        <f ca="1">DATEDIF(HR_Data5[[#This Row],[Joining Date]],TODAY(),"Y")</f>
        <v>6</v>
      </c>
      <c r="M823" s="10" t="str">
        <f>IF(HR_Data5[[#This Row],[Salary]]&lt;55000,"Low",IF(HR_Data5[[#This Row],[Salary]]&lt;=65000,"Medium","High"))</f>
        <v>High</v>
      </c>
      <c r="N823" s="10">
        <f>YEAR(HR_Data5[[#This Row],[Joining Date]])</f>
        <v>2019</v>
      </c>
      <c r="O823" s="10" cm="1">
        <f t="array" ref="O823">_xlfn.SWITCH(HR_Data5[[#This Row],[Performance Score]],
"A",5,
"B",4,
"C",3,
"D",2,
"F",1)</f>
        <v>2</v>
      </c>
      <c r="P823" s="10"/>
    </row>
    <row r="824" spans="1:16" x14ac:dyDescent="0.3">
      <c r="A824" t="s">
        <v>54</v>
      </c>
      <c r="B824">
        <v>30</v>
      </c>
      <c r="C824" s="6">
        <v>65000</v>
      </c>
      <c r="D824" t="s">
        <v>36</v>
      </c>
      <c r="E824" t="s">
        <v>26</v>
      </c>
      <c r="F824" t="s">
        <v>13</v>
      </c>
      <c r="G824" s="7">
        <v>43195</v>
      </c>
      <c r="H824" t="s">
        <v>14</v>
      </c>
      <c r="I824" t="s">
        <v>69</v>
      </c>
      <c r="J824" t="s">
        <v>45</v>
      </c>
      <c r="K824" t="str">
        <f>IF(HR_Data5[[#This Row],[Age]]&lt;30,"Young",IF(HR_Data5[[#This Row],[Age]]&lt;=45,"Mid-Career","Senior"))</f>
        <v>Mid-Career</v>
      </c>
      <c r="L824" s="10">
        <f ca="1">DATEDIF(HR_Data5[[#This Row],[Joining Date]],TODAY(),"Y")</f>
        <v>7</v>
      </c>
      <c r="M824" s="10" t="str">
        <f>IF(HR_Data5[[#This Row],[Salary]]&lt;55000,"Low",IF(HR_Data5[[#This Row],[Salary]]&lt;=65000,"Medium","High"))</f>
        <v>Medium</v>
      </c>
      <c r="N824" s="10">
        <f>YEAR(HR_Data5[[#This Row],[Joining Date]])</f>
        <v>2018</v>
      </c>
      <c r="O824" s="10" cm="1">
        <f t="array" ref="O824">_xlfn.SWITCH(HR_Data5[[#This Row],[Performance Score]],
"A",5,
"B",4,
"C",3,
"D",2,
"F",1)</f>
        <v>2</v>
      </c>
      <c r="P824" s="10"/>
    </row>
    <row r="825" spans="1:16" x14ac:dyDescent="0.3">
      <c r="A825" t="s">
        <v>57</v>
      </c>
      <c r="B825">
        <v>35</v>
      </c>
      <c r="C825" s="6">
        <v>65000</v>
      </c>
      <c r="D825" t="s">
        <v>18</v>
      </c>
      <c r="E825" t="s">
        <v>30</v>
      </c>
      <c r="F825" t="s">
        <v>39</v>
      </c>
      <c r="G825" s="7">
        <v>43195</v>
      </c>
      <c r="H825" t="s">
        <v>21</v>
      </c>
      <c r="I825" t="s">
        <v>15</v>
      </c>
      <c r="J825" t="s">
        <v>69</v>
      </c>
      <c r="K825" t="str">
        <f>IF(HR_Data5[[#This Row],[Age]]&lt;30,"Young",IF(HR_Data5[[#This Row],[Age]]&lt;=45,"Mid-Career","Senior"))</f>
        <v>Mid-Career</v>
      </c>
      <c r="L825" s="10">
        <f ca="1">DATEDIF(HR_Data5[[#This Row],[Joining Date]],TODAY(),"Y")</f>
        <v>7</v>
      </c>
      <c r="M825" s="10" t="str">
        <f>IF(HR_Data5[[#This Row],[Salary]]&lt;55000,"Low",IF(HR_Data5[[#This Row],[Salary]]&lt;=65000,"Medium","High"))</f>
        <v>Medium</v>
      </c>
      <c r="N825" s="10">
        <f>YEAR(HR_Data5[[#This Row],[Joining Date]])</f>
        <v>2018</v>
      </c>
      <c r="O825" s="10" cm="1">
        <f t="array" ref="O825">_xlfn.SWITCH(HR_Data5[[#This Row],[Performance Score]],
"A",5,
"B",4,
"C",3,
"D",2,
"F",1)</f>
        <v>1</v>
      </c>
      <c r="P825" s="10"/>
    </row>
    <row r="826" spans="1:16" x14ac:dyDescent="0.3">
      <c r="A826" t="s">
        <v>52</v>
      </c>
      <c r="B826">
        <v>35</v>
      </c>
      <c r="C826" s="6">
        <v>65000</v>
      </c>
      <c r="D826" t="s">
        <v>18</v>
      </c>
      <c r="E826" t="s">
        <v>19</v>
      </c>
      <c r="F826" t="s">
        <v>44</v>
      </c>
      <c r="G826" s="7">
        <v>43881</v>
      </c>
      <c r="H826" t="s">
        <v>27</v>
      </c>
      <c r="I826" t="s">
        <v>22</v>
      </c>
      <c r="J826" t="s">
        <v>23</v>
      </c>
      <c r="K826" t="str">
        <f>IF(HR_Data5[[#This Row],[Age]]&lt;30,"Young",IF(HR_Data5[[#This Row],[Age]]&lt;=45,"Mid-Career","Senior"))</f>
        <v>Mid-Career</v>
      </c>
      <c r="L826" s="10">
        <f ca="1">DATEDIF(HR_Data5[[#This Row],[Joining Date]],TODAY(),"Y")</f>
        <v>6</v>
      </c>
      <c r="M826" s="10" t="str">
        <f>IF(HR_Data5[[#This Row],[Salary]]&lt;55000,"Low",IF(HR_Data5[[#This Row],[Salary]]&lt;=65000,"Medium","High"))</f>
        <v>Medium</v>
      </c>
      <c r="N826" s="10">
        <f>YEAR(HR_Data5[[#This Row],[Joining Date]])</f>
        <v>2020</v>
      </c>
      <c r="O826" s="10" cm="1">
        <f t="array" ref="O826">_xlfn.SWITCH(HR_Data5[[#This Row],[Performance Score]],
"A",5,
"B",4,
"C",3,
"D",2,
"F",1)</f>
        <v>3</v>
      </c>
      <c r="P826" s="10"/>
    </row>
    <row r="827" spans="1:16" x14ac:dyDescent="0.3">
      <c r="A827" t="s">
        <v>55</v>
      </c>
      <c r="B827">
        <v>40</v>
      </c>
      <c r="C827" s="6">
        <v>50000</v>
      </c>
      <c r="D827" t="s">
        <v>11</v>
      </c>
      <c r="E827" t="s">
        <v>12</v>
      </c>
      <c r="F827" t="s">
        <v>39</v>
      </c>
      <c r="G827" s="7">
        <v>43881</v>
      </c>
      <c r="H827" t="s">
        <v>41</v>
      </c>
      <c r="I827" t="s">
        <v>69</v>
      </c>
      <c r="J827" t="s">
        <v>23</v>
      </c>
      <c r="K827" t="str">
        <f>IF(HR_Data5[[#This Row],[Age]]&lt;30,"Young",IF(HR_Data5[[#This Row],[Age]]&lt;=45,"Mid-Career","Senior"))</f>
        <v>Mid-Career</v>
      </c>
      <c r="L827" s="10">
        <f ca="1">DATEDIF(HR_Data5[[#This Row],[Joining Date]],TODAY(),"Y")</f>
        <v>6</v>
      </c>
      <c r="M827" s="10" t="str">
        <f>IF(HR_Data5[[#This Row],[Salary]]&lt;55000,"Low",IF(HR_Data5[[#This Row],[Salary]]&lt;=65000,"Medium","High"))</f>
        <v>Low</v>
      </c>
      <c r="N827" s="10">
        <f>YEAR(HR_Data5[[#This Row],[Joining Date]])</f>
        <v>2020</v>
      </c>
      <c r="O827" s="10" cm="1">
        <f t="array" ref="O827">_xlfn.SWITCH(HR_Data5[[#This Row],[Performance Score]],
"A",5,
"B",4,
"C",3,
"D",2,
"F",1)</f>
        <v>4</v>
      </c>
      <c r="P827" s="10"/>
    </row>
    <row r="828" spans="1:16" x14ac:dyDescent="0.3">
      <c r="A828" t="s">
        <v>58</v>
      </c>
      <c r="B828">
        <v>40</v>
      </c>
      <c r="C828" s="6">
        <v>65000</v>
      </c>
      <c r="D828" t="s">
        <v>11</v>
      </c>
      <c r="E828" t="s">
        <v>37</v>
      </c>
      <c r="F828" t="s">
        <v>20</v>
      </c>
      <c r="G828" s="7">
        <v>43845</v>
      </c>
      <c r="H828" t="s">
        <v>27</v>
      </c>
      <c r="I828" t="s">
        <v>22</v>
      </c>
      <c r="J828" t="s">
        <v>69</v>
      </c>
      <c r="K828" t="str">
        <f>IF(HR_Data5[[#This Row],[Age]]&lt;30,"Young",IF(HR_Data5[[#This Row],[Age]]&lt;=45,"Mid-Career","Senior"))</f>
        <v>Mid-Career</v>
      </c>
      <c r="L828" s="10">
        <f ca="1">DATEDIF(HR_Data5[[#This Row],[Joining Date]],TODAY(),"Y")</f>
        <v>6</v>
      </c>
      <c r="M828" s="10" t="str">
        <f>IF(HR_Data5[[#This Row],[Salary]]&lt;55000,"Low",IF(HR_Data5[[#This Row],[Salary]]&lt;=65000,"Medium","High"))</f>
        <v>Medium</v>
      </c>
      <c r="N828" s="10">
        <f>YEAR(HR_Data5[[#This Row],[Joining Date]])</f>
        <v>2020</v>
      </c>
      <c r="O828" s="10" cm="1">
        <f t="array" ref="O828">_xlfn.SWITCH(HR_Data5[[#This Row],[Performance Score]],
"A",5,
"B",4,
"C",3,
"D",2,
"F",1)</f>
        <v>3</v>
      </c>
      <c r="P828" s="10"/>
    </row>
    <row r="829" spans="1:16" x14ac:dyDescent="0.3">
      <c r="A829" t="s">
        <v>53</v>
      </c>
      <c r="B829">
        <v>50</v>
      </c>
      <c r="C829" s="6">
        <v>50000</v>
      </c>
      <c r="D829" t="s">
        <v>36</v>
      </c>
      <c r="E829" t="s">
        <v>26</v>
      </c>
      <c r="F829" t="s">
        <v>43</v>
      </c>
      <c r="G829" s="7">
        <v>43549</v>
      </c>
      <c r="H829" t="s">
        <v>21</v>
      </c>
      <c r="I829" t="s">
        <v>32</v>
      </c>
      <c r="J829" t="s">
        <v>69</v>
      </c>
      <c r="K829" t="str">
        <f>IF(HR_Data5[[#This Row],[Age]]&lt;30,"Young",IF(HR_Data5[[#This Row],[Age]]&lt;=45,"Mid-Career","Senior"))</f>
        <v>Senior</v>
      </c>
      <c r="L829" s="10">
        <f ca="1">DATEDIF(HR_Data5[[#This Row],[Joining Date]],TODAY(),"Y")</f>
        <v>6</v>
      </c>
      <c r="M829" s="10" t="str">
        <f>IF(HR_Data5[[#This Row],[Salary]]&lt;55000,"Low",IF(HR_Data5[[#This Row],[Salary]]&lt;=65000,"Medium","High"))</f>
        <v>Low</v>
      </c>
      <c r="N829" s="10">
        <f>YEAR(HR_Data5[[#This Row],[Joining Date]])</f>
        <v>2019</v>
      </c>
      <c r="O829" s="10" cm="1">
        <f t="array" ref="O829">_xlfn.SWITCH(HR_Data5[[#This Row],[Performance Score]],
"A",5,
"B",4,
"C",3,
"D",2,
"F",1)</f>
        <v>1</v>
      </c>
      <c r="P829" s="10"/>
    </row>
    <row r="830" spans="1:16" x14ac:dyDescent="0.3">
      <c r="A830" t="s">
        <v>57</v>
      </c>
      <c r="B830">
        <v>25</v>
      </c>
      <c r="C830" s="6">
        <v>65000</v>
      </c>
      <c r="D830" t="s">
        <v>11</v>
      </c>
      <c r="E830" t="s">
        <v>26</v>
      </c>
      <c r="F830" t="s">
        <v>44</v>
      </c>
      <c r="G830" s="7">
        <v>43881</v>
      </c>
      <c r="H830" t="s">
        <v>14</v>
      </c>
      <c r="I830" t="s">
        <v>22</v>
      </c>
      <c r="J830" t="s">
        <v>69</v>
      </c>
      <c r="K830" t="str">
        <f>IF(HR_Data5[[#This Row],[Age]]&lt;30,"Young",IF(HR_Data5[[#This Row],[Age]]&lt;=45,"Mid-Career","Senior"))</f>
        <v>Young</v>
      </c>
      <c r="L830" s="10">
        <f ca="1">DATEDIF(HR_Data5[[#This Row],[Joining Date]],TODAY(),"Y")</f>
        <v>6</v>
      </c>
      <c r="M830" s="10" t="str">
        <f>IF(HR_Data5[[#This Row],[Salary]]&lt;55000,"Low",IF(HR_Data5[[#This Row],[Salary]]&lt;=65000,"Medium","High"))</f>
        <v>Medium</v>
      </c>
      <c r="N830" s="10">
        <f>YEAR(HR_Data5[[#This Row],[Joining Date]])</f>
        <v>2020</v>
      </c>
      <c r="O830" s="10" cm="1">
        <f t="array" ref="O830">_xlfn.SWITCH(HR_Data5[[#This Row],[Performance Score]],
"A",5,
"B",4,
"C",3,
"D",2,
"F",1)</f>
        <v>2</v>
      </c>
      <c r="P830" s="10"/>
    </row>
    <row r="831" spans="1:16" x14ac:dyDescent="0.3">
      <c r="A831" t="s">
        <v>54</v>
      </c>
      <c r="B831">
        <v>36</v>
      </c>
      <c r="C831" s="6">
        <v>70000</v>
      </c>
      <c r="D831" t="s">
        <v>11</v>
      </c>
      <c r="E831" t="s">
        <v>19</v>
      </c>
      <c r="F831" t="s">
        <v>13</v>
      </c>
      <c r="G831" s="7">
        <v>43549</v>
      </c>
      <c r="H831" t="s">
        <v>41</v>
      </c>
      <c r="I831" t="s">
        <v>22</v>
      </c>
      <c r="J831" t="s">
        <v>28</v>
      </c>
      <c r="K831" t="str">
        <f>IF(HR_Data5[[#This Row],[Age]]&lt;30,"Young",IF(HR_Data5[[#This Row],[Age]]&lt;=45,"Mid-Career","Senior"))</f>
        <v>Mid-Career</v>
      </c>
      <c r="L831" s="10">
        <f ca="1">DATEDIF(HR_Data5[[#This Row],[Joining Date]],TODAY(),"Y")</f>
        <v>6</v>
      </c>
      <c r="M831" s="10" t="str">
        <f>IF(HR_Data5[[#This Row],[Salary]]&lt;55000,"Low",IF(HR_Data5[[#This Row],[Salary]]&lt;=65000,"Medium","High"))</f>
        <v>High</v>
      </c>
      <c r="N831" s="10">
        <f>YEAR(HR_Data5[[#This Row],[Joining Date]])</f>
        <v>2019</v>
      </c>
      <c r="O831" s="10" cm="1">
        <f t="array" ref="O831">_xlfn.SWITCH(HR_Data5[[#This Row],[Performance Score]],
"A",5,
"B",4,
"C",3,
"D",2,
"F",1)</f>
        <v>4</v>
      </c>
      <c r="P831" s="10"/>
    </row>
    <row r="832" spans="1:16" x14ac:dyDescent="0.3">
      <c r="A832" t="s">
        <v>60</v>
      </c>
      <c r="B832">
        <v>25</v>
      </c>
      <c r="C832" s="6" t="s">
        <v>68</v>
      </c>
      <c r="D832" t="s">
        <v>18</v>
      </c>
      <c r="E832" t="s">
        <v>19</v>
      </c>
      <c r="F832" t="s">
        <v>44</v>
      </c>
      <c r="G832" s="7">
        <v>43881</v>
      </c>
      <c r="H832" t="s">
        <v>31</v>
      </c>
      <c r="I832" t="s">
        <v>69</v>
      </c>
      <c r="J832" t="s">
        <v>28</v>
      </c>
      <c r="K832" t="str">
        <f>IF(HR_Data5[[#This Row],[Age]]&lt;30,"Young",IF(HR_Data5[[#This Row],[Age]]&lt;=45,"Mid-Career","Senior"))</f>
        <v>Young</v>
      </c>
      <c r="L832" s="10">
        <f ca="1">DATEDIF(HR_Data5[[#This Row],[Joining Date]],TODAY(),"Y")</f>
        <v>6</v>
      </c>
      <c r="M832" s="10" t="str">
        <f>IF(HR_Data5[[#This Row],[Salary]]&lt;55000,"Low",IF(HR_Data5[[#This Row],[Salary]]&lt;=65000,"Medium","High"))</f>
        <v>High</v>
      </c>
      <c r="N832" s="10">
        <f>YEAR(HR_Data5[[#This Row],[Joining Date]])</f>
        <v>2020</v>
      </c>
      <c r="O832" s="10" cm="1">
        <f t="array" ref="O832">_xlfn.SWITCH(HR_Data5[[#This Row],[Performance Score]],
"A",5,
"B",4,
"C",3,
"D",2,
"F",1)</f>
        <v>5</v>
      </c>
      <c r="P832" s="10"/>
    </row>
    <row r="833" spans="1:16" x14ac:dyDescent="0.3">
      <c r="A833" t="s">
        <v>59</v>
      </c>
      <c r="B833">
        <v>50</v>
      </c>
      <c r="C833" s="6">
        <v>65000</v>
      </c>
      <c r="D833" t="s">
        <v>11</v>
      </c>
      <c r="E833" t="s">
        <v>30</v>
      </c>
      <c r="F833" t="s">
        <v>13</v>
      </c>
      <c r="G833" s="7">
        <v>43800</v>
      </c>
      <c r="H833" t="s">
        <v>31</v>
      </c>
      <c r="I833" t="s">
        <v>32</v>
      </c>
      <c r="J833" t="s">
        <v>69</v>
      </c>
      <c r="K833" t="str">
        <f>IF(HR_Data5[[#This Row],[Age]]&lt;30,"Young",IF(HR_Data5[[#This Row],[Age]]&lt;=45,"Mid-Career","Senior"))</f>
        <v>Senior</v>
      </c>
      <c r="L833" s="10">
        <f ca="1">DATEDIF(HR_Data5[[#This Row],[Joining Date]],TODAY(),"Y")</f>
        <v>6</v>
      </c>
      <c r="M833" s="10" t="str">
        <f>IF(HR_Data5[[#This Row],[Salary]]&lt;55000,"Low",IF(HR_Data5[[#This Row],[Salary]]&lt;=65000,"Medium","High"))</f>
        <v>Medium</v>
      </c>
      <c r="N833" s="10">
        <f>YEAR(HR_Data5[[#This Row],[Joining Date]])</f>
        <v>2019</v>
      </c>
      <c r="O833" s="10" cm="1">
        <f t="array" ref="O833">_xlfn.SWITCH(HR_Data5[[#This Row],[Performance Score]],
"A",5,
"B",4,
"C",3,
"D",2,
"F",1)</f>
        <v>5</v>
      </c>
      <c r="P833" s="10"/>
    </row>
    <row r="834" spans="1:16" x14ac:dyDescent="0.3">
      <c r="A834" t="s">
        <v>54</v>
      </c>
      <c r="B834">
        <v>40</v>
      </c>
      <c r="C834" s="6">
        <v>55000</v>
      </c>
      <c r="D834" t="s">
        <v>36</v>
      </c>
      <c r="E834" t="s">
        <v>30</v>
      </c>
      <c r="F834" t="s">
        <v>44</v>
      </c>
      <c r="G834" s="7">
        <v>43800</v>
      </c>
      <c r="H834" t="s">
        <v>27</v>
      </c>
      <c r="I834" t="s">
        <v>15</v>
      </c>
      <c r="J834" t="s">
        <v>23</v>
      </c>
      <c r="K834" t="str">
        <f>IF(HR_Data5[[#This Row],[Age]]&lt;30,"Young",IF(HR_Data5[[#This Row],[Age]]&lt;=45,"Mid-Career","Senior"))</f>
        <v>Mid-Career</v>
      </c>
      <c r="L834" s="10">
        <f ca="1">DATEDIF(HR_Data5[[#This Row],[Joining Date]],TODAY(),"Y")</f>
        <v>6</v>
      </c>
      <c r="M834" s="10" t="str">
        <f>IF(HR_Data5[[#This Row],[Salary]]&lt;55000,"Low",IF(HR_Data5[[#This Row],[Salary]]&lt;=65000,"Medium","High"))</f>
        <v>Medium</v>
      </c>
      <c r="N834" s="10">
        <f>YEAR(HR_Data5[[#This Row],[Joining Date]])</f>
        <v>2019</v>
      </c>
      <c r="O834" s="10" cm="1">
        <f t="array" ref="O834">_xlfn.SWITCH(HR_Data5[[#This Row],[Performance Score]],
"A",5,
"B",4,
"C",3,
"D",2,
"F",1)</f>
        <v>3</v>
      </c>
      <c r="P834" s="10"/>
    </row>
    <row r="835" spans="1:16" x14ac:dyDescent="0.3">
      <c r="A835" t="s">
        <v>57</v>
      </c>
      <c r="B835">
        <v>30</v>
      </c>
      <c r="C835" s="6" t="s">
        <v>68</v>
      </c>
      <c r="D835" t="s">
        <v>18</v>
      </c>
      <c r="E835" t="s">
        <v>26</v>
      </c>
      <c r="F835" t="s">
        <v>13</v>
      </c>
      <c r="G835" s="7">
        <v>43845</v>
      </c>
      <c r="H835" t="s">
        <v>14</v>
      </c>
      <c r="I835" t="s">
        <v>22</v>
      </c>
      <c r="J835" t="s">
        <v>28</v>
      </c>
      <c r="K835" t="str">
        <f>IF(HR_Data5[[#This Row],[Age]]&lt;30,"Young",IF(HR_Data5[[#This Row],[Age]]&lt;=45,"Mid-Career","Senior"))</f>
        <v>Mid-Career</v>
      </c>
      <c r="L835" s="10">
        <f ca="1">DATEDIF(HR_Data5[[#This Row],[Joining Date]],TODAY(),"Y")</f>
        <v>6</v>
      </c>
      <c r="M835" s="10" t="str">
        <f>IF(HR_Data5[[#This Row],[Salary]]&lt;55000,"Low",IF(HR_Data5[[#This Row],[Salary]]&lt;=65000,"Medium","High"))</f>
        <v>High</v>
      </c>
      <c r="N835" s="10">
        <f>YEAR(HR_Data5[[#This Row],[Joining Date]])</f>
        <v>2020</v>
      </c>
      <c r="O835" s="10" cm="1">
        <f t="array" ref="O835">_xlfn.SWITCH(HR_Data5[[#This Row],[Performance Score]],
"A",5,
"B",4,
"C",3,
"D",2,
"F",1)</f>
        <v>2</v>
      </c>
      <c r="P835" s="10"/>
    </row>
    <row r="836" spans="1:16" x14ac:dyDescent="0.3">
      <c r="A836" t="s">
        <v>54</v>
      </c>
      <c r="B836">
        <v>40</v>
      </c>
      <c r="C836" s="6" t="s">
        <v>68</v>
      </c>
      <c r="D836" t="s">
        <v>36</v>
      </c>
      <c r="E836" t="s">
        <v>19</v>
      </c>
      <c r="F836" t="s">
        <v>13</v>
      </c>
      <c r="G836" s="7">
        <v>43845</v>
      </c>
      <c r="H836" t="s">
        <v>31</v>
      </c>
      <c r="I836" t="s">
        <v>15</v>
      </c>
      <c r="J836" t="s">
        <v>45</v>
      </c>
      <c r="K836" t="str">
        <f>IF(HR_Data5[[#This Row],[Age]]&lt;30,"Young",IF(HR_Data5[[#This Row],[Age]]&lt;=45,"Mid-Career","Senior"))</f>
        <v>Mid-Career</v>
      </c>
      <c r="L836" s="10">
        <f ca="1">DATEDIF(HR_Data5[[#This Row],[Joining Date]],TODAY(),"Y")</f>
        <v>6</v>
      </c>
      <c r="M836" s="10" t="str">
        <f>IF(HR_Data5[[#This Row],[Salary]]&lt;55000,"Low",IF(HR_Data5[[#This Row],[Salary]]&lt;=65000,"Medium","High"))</f>
        <v>High</v>
      </c>
      <c r="N836" s="10">
        <f>YEAR(HR_Data5[[#This Row],[Joining Date]])</f>
        <v>2020</v>
      </c>
      <c r="O836" s="10" cm="1">
        <f t="array" ref="O836">_xlfn.SWITCH(HR_Data5[[#This Row],[Performance Score]],
"A",5,
"B",4,
"C",3,
"D",2,
"F",1)</f>
        <v>5</v>
      </c>
      <c r="P836" s="10"/>
    </row>
    <row r="837" spans="1:16" x14ac:dyDescent="0.3">
      <c r="A837" t="s">
        <v>57</v>
      </c>
      <c r="B837">
        <v>36</v>
      </c>
      <c r="C837" s="6">
        <v>65000</v>
      </c>
      <c r="D837" t="s">
        <v>18</v>
      </c>
      <c r="E837" t="s">
        <v>12</v>
      </c>
      <c r="F837" t="s">
        <v>44</v>
      </c>
      <c r="G837" s="7">
        <v>43549</v>
      </c>
      <c r="H837" t="s">
        <v>27</v>
      </c>
      <c r="I837" t="s">
        <v>32</v>
      </c>
      <c r="J837" t="s">
        <v>23</v>
      </c>
      <c r="K837" t="str">
        <f>IF(HR_Data5[[#This Row],[Age]]&lt;30,"Young",IF(HR_Data5[[#This Row],[Age]]&lt;=45,"Mid-Career","Senior"))</f>
        <v>Mid-Career</v>
      </c>
      <c r="L837" s="10">
        <f ca="1">DATEDIF(HR_Data5[[#This Row],[Joining Date]],TODAY(),"Y")</f>
        <v>6</v>
      </c>
      <c r="M837" s="10" t="str">
        <f>IF(HR_Data5[[#This Row],[Salary]]&lt;55000,"Low",IF(HR_Data5[[#This Row],[Salary]]&lt;=65000,"Medium","High"))</f>
        <v>Medium</v>
      </c>
      <c r="N837" s="10">
        <f>YEAR(HR_Data5[[#This Row],[Joining Date]])</f>
        <v>2019</v>
      </c>
      <c r="O837" s="10" cm="1">
        <f t="array" ref="O837">_xlfn.SWITCH(HR_Data5[[#This Row],[Performance Score]],
"A",5,
"B",4,
"C",3,
"D",2,
"F",1)</f>
        <v>3</v>
      </c>
      <c r="P837" s="10"/>
    </row>
    <row r="838" spans="1:16" x14ac:dyDescent="0.3">
      <c r="A838" t="s">
        <v>57</v>
      </c>
      <c r="B838">
        <v>40</v>
      </c>
      <c r="C838" s="6">
        <v>60000</v>
      </c>
      <c r="D838" t="s">
        <v>11</v>
      </c>
      <c r="E838" t="s">
        <v>37</v>
      </c>
      <c r="F838" t="s">
        <v>44</v>
      </c>
      <c r="G838" s="7">
        <v>43881</v>
      </c>
      <c r="H838" t="s">
        <v>21</v>
      </c>
      <c r="I838" t="s">
        <v>22</v>
      </c>
      <c r="J838" t="s">
        <v>45</v>
      </c>
      <c r="K838" t="str">
        <f>IF(HR_Data5[[#This Row],[Age]]&lt;30,"Young",IF(HR_Data5[[#This Row],[Age]]&lt;=45,"Mid-Career","Senior"))</f>
        <v>Mid-Career</v>
      </c>
      <c r="L838" s="10">
        <f ca="1">DATEDIF(HR_Data5[[#This Row],[Joining Date]],TODAY(),"Y")</f>
        <v>6</v>
      </c>
      <c r="M838" s="10" t="str">
        <f>IF(HR_Data5[[#This Row],[Salary]]&lt;55000,"Low",IF(HR_Data5[[#This Row],[Salary]]&lt;=65000,"Medium","High"))</f>
        <v>Medium</v>
      </c>
      <c r="N838" s="10">
        <f>YEAR(HR_Data5[[#This Row],[Joining Date]])</f>
        <v>2020</v>
      </c>
      <c r="O838" s="10" cm="1">
        <f t="array" ref="O838">_xlfn.SWITCH(HR_Data5[[#This Row],[Performance Score]],
"A",5,
"B",4,
"C",3,
"D",2,
"F",1)</f>
        <v>1</v>
      </c>
      <c r="P838" s="10"/>
    </row>
    <row r="839" spans="1:16" x14ac:dyDescent="0.3">
      <c r="A839" t="s">
        <v>51</v>
      </c>
      <c r="B839">
        <v>36</v>
      </c>
      <c r="C839" s="6">
        <v>65000</v>
      </c>
      <c r="D839" t="s">
        <v>18</v>
      </c>
      <c r="E839" t="s">
        <v>19</v>
      </c>
      <c r="F839" t="s">
        <v>13</v>
      </c>
      <c r="G839" s="7">
        <v>43195</v>
      </c>
      <c r="H839" t="s">
        <v>27</v>
      </c>
      <c r="I839" t="s">
        <v>69</v>
      </c>
      <c r="J839" t="s">
        <v>69</v>
      </c>
      <c r="K839" t="str">
        <f>IF(HR_Data5[[#This Row],[Age]]&lt;30,"Young",IF(HR_Data5[[#This Row],[Age]]&lt;=45,"Mid-Career","Senior"))</f>
        <v>Mid-Career</v>
      </c>
      <c r="L839" s="10">
        <f ca="1">DATEDIF(HR_Data5[[#This Row],[Joining Date]],TODAY(),"Y")</f>
        <v>7</v>
      </c>
      <c r="M839" s="10" t="str">
        <f>IF(HR_Data5[[#This Row],[Salary]]&lt;55000,"Low",IF(HR_Data5[[#This Row],[Salary]]&lt;=65000,"Medium","High"))</f>
        <v>Medium</v>
      </c>
      <c r="N839" s="10">
        <f>YEAR(HR_Data5[[#This Row],[Joining Date]])</f>
        <v>2018</v>
      </c>
      <c r="O839" s="10" cm="1">
        <f t="array" ref="O839">_xlfn.SWITCH(HR_Data5[[#This Row],[Performance Score]],
"A",5,
"B",4,
"C",3,
"D",2,
"F",1)</f>
        <v>3</v>
      </c>
      <c r="P839" s="10"/>
    </row>
    <row r="840" spans="1:16" x14ac:dyDescent="0.3">
      <c r="A840" t="s">
        <v>52</v>
      </c>
      <c r="B840">
        <v>36</v>
      </c>
      <c r="C840" s="6" t="s">
        <v>68</v>
      </c>
      <c r="D840" t="s">
        <v>18</v>
      </c>
      <c r="E840" t="s">
        <v>19</v>
      </c>
      <c r="F840" t="s">
        <v>20</v>
      </c>
      <c r="G840" s="7">
        <v>43845</v>
      </c>
      <c r="H840" t="s">
        <v>27</v>
      </c>
      <c r="I840" t="s">
        <v>69</v>
      </c>
      <c r="J840" t="s">
        <v>23</v>
      </c>
      <c r="K840" t="str">
        <f>IF(HR_Data5[[#This Row],[Age]]&lt;30,"Young",IF(HR_Data5[[#This Row],[Age]]&lt;=45,"Mid-Career","Senior"))</f>
        <v>Mid-Career</v>
      </c>
      <c r="L840" s="10">
        <f ca="1">DATEDIF(HR_Data5[[#This Row],[Joining Date]],TODAY(),"Y")</f>
        <v>6</v>
      </c>
      <c r="M840" s="10" t="str">
        <f>IF(HR_Data5[[#This Row],[Salary]]&lt;55000,"Low",IF(HR_Data5[[#This Row],[Salary]]&lt;=65000,"Medium","High"))</f>
        <v>High</v>
      </c>
      <c r="N840" s="10">
        <f>YEAR(HR_Data5[[#This Row],[Joining Date]])</f>
        <v>2020</v>
      </c>
      <c r="O840" s="10" cm="1">
        <f t="array" ref="O840">_xlfn.SWITCH(HR_Data5[[#This Row],[Performance Score]],
"A",5,
"B",4,
"C",3,
"D",2,
"F",1)</f>
        <v>3</v>
      </c>
      <c r="P840" s="10"/>
    </row>
    <row r="841" spans="1:16" x14ac:dyDescent="0.3">
      <c r="A841" t="s">
        <v>53</v>
      </c>
      <c r="B841">
        <v>36</v>
      </c>
      <c r="C841" s="6">
        <v>55000</v>
      </c>
      <c r="D841" t="s">
        <v>11</v>
      </c>
      <c r="E841" t="s">
        <v>30</v>
      </c>
      <c r="F841" t="s">
        <v>44</v>
      </c>
      <c r="G841" s="7">
        <v>43195</v>
      </c>
      <c r="H841" t="s">
        <v>27</v>
      </c>
      <c r="I841" t="s">
        <v>69</v>
      </c>
      <c r="J841" t="s">
        <v>69</v>
      </c>
      <c r="K841" t="str">
        <f>IF(HR_Data5[[#This Row],[Age]]&lt;30,"Young",IF(HR_Data5[[#This Row],[Age]]&lt;=45,"Mid-Career","Senior"))</f>
        <v>Mid-Career</v>
      </c>
      <c r="L841" s="10">
        <f ca="1">DATEDIF(HR_Data5[[#This Row],[Joining Date]],TODAY(),"Y")</f>
        <v>7</v>
      </c>
      <c r="M841" s="10" t="str">
        <f>IF(HR_Data5[[#This Row],[Salary]]&lt;55000,"Low",IF(HR_Data5[[#This Row],[Salary]]&lt;=65000,"Medium","High"))</f>
        <v>Medium</v>
      </c>
      <c r="N841" s="10">
        <f>YEAR(HR_Data5[[#This Row],[Joining Date]])</f>
        <v>2018</v>
      </c>
      <c r="O841" s="10" cm="1">
        <f t="array" ref="O841">_xlfn.SWITCH(HR_Data5[[#This Row],[Performance Score]],
"A",5,
"B",4,
"C",3,
"D",2,
"F",1)</f>
        <v>3</v>
      </c>
      <c r="P841" s="10"/>
    </row>
    <row r="842" spans="1:16" x14ac:dyDescent="0.3">
      <c r="A842" t="s">
        <v>51</v>
      </c>
      <c r="B842">
        <v>50</v>
      </c>
      <c r="C842" s="6" t="s">
        <v>68</v>
      </c>
      <c r="D842" t="s">
        <v>11</v>
      </c>
      <c r="E842" t="s">
        <v>37</v>
      </c>
      <c r="F842" t="s">
        <v>39</v>
      </c>
      <c r="G842" s="7">
        <v>43195</v>
      </c>
      <c r="H842" t="s">
        <v>41</v>
      </c>
      <c r="I842" t="s">
        <v>69</v>
      </c>
      <c r="J842" t="s">
        <v>69</v>
      </c>
      <c r="K842" t="str">
        <f>IF(HR_Data5[[#This Row],[Age]]&lt;30,"Young",IF(HR_Data5[[#This Row],[Age]]&lt;=45,"Mid-Career","Senior"))</f>
        <v>Senior</v>
      </c>
      <c r="L842" s="10">
        <f ca="1">DATEDIF(HR_Data5[[#This Row],[Joining Date]],TODAY(),"Y")</f>
        <v>7</v>
      </c>
      <c r="M842" s="10" t="str">
        <f>IF(HR_Data5[[#This Row],[Salary]]&lt;55000,"Low",IF(HR_Data5[[#This Row],[Salary]]&lt;=65000,"Medium","High"))</f>
        <v>High</v>
      </c>
      <c r="N842" s="10">
        <f>YEAR(HR_Data5[[#This Row],[Joining Date]])</f>
        <v>2018</v>
      </c>
      <c r="O842" s="10" cm="1">
        <f t="array" ref="O842">_xlfn.SWITCH(HR_Data5[[#This Row],[Performance Score]],
"A",5,
"B",4,
"C",3,
"D",2,
"F",1)</f>
        <v>4</v>
      </c>
      <c r="P842" s="10"/>
    </row>
    <row r="843" spans="1:16" x14ac:dyDescent="0.3">
      <c r="A843" t="s">
        <v>60</v>
      </c>
      <c r="B843">
        <v>36</v>
      </c>
      <c r="C843" s="6">
        <v>55000</v>
      </c>
      <c r="D843" t="s">
        <v>36</v>
      </c>
      <c r="E843" t="s">
        <v>26</v>
      </c>
      <c r="F843" t="s">
        <v>43</v>
      </c>
      <c r="G843" s="7">
        <v>43881</v>
      </c>
      <c r="H843" t="s">
        <v>27</v>
      </c>
      <c r="I843" t="s">
        <v>69</v>
      </c>
      <c r="J843" t="s">
        <v>69</v>
      </c>
      <c r="K843" t="str">
        <f>IF(HR_Data5[[#This Row],[Age]]&lt;30,"Young",IF(HR_Data5[[#This Row],[Age]]&lt;=45,"Mid-Career","Senior"))</f>
        <v>Mid-Career</v>
      </c>
      <c r="L843" s="10">
        <f ca="1">DATEDIF(HR_Data5[[#This Row],[Joining Date]],TODAY(),"Y")</f>
        <v>6</v>
      </c>
      <c r="M843" s="10" t="str">
        <f>IF(HR_Data5[[#This Row],[Salary]]&lt;55000,"Low",IF(HR_Data5[[#This Row],[Salary]]&lt;=65000,"Medium","High"))</f>
        <v>Medium</v>
      </c>
      <c r="N843" s="10">
        <f>YEAR(HR_Data5[[#This Row],[Joining Date]])</f>
        <v>2020</v>
      </c>
      <c r="O843" s="10" cm="1">
        <f t="array" ref="O843">_xlfn.SWITCH(HR_Data5[[#This Row],[Performance Score]],
"A",5,
"B",4,
"C",3,
"D",2,
"F",1)</f>
        <v>3</v>
      </c>
      <c r="P843" s="10"/>
    </row>
    <row r="844" spans="1:16" x14ac:dyDescent="0.3">
      <c r="A844" t="s">
        <v>51</v>
      </c>
      <c r="B844">
        <v>36</v>
      </c>
      <c r="C844" s="6">
        <v>50000</v>
      </c>
      <c r="D844" t="s">
        <v>36</v>
      </c>
      <c r="E844" t="s">
        <v>19</v>
      </c>
      <c r="F844" t="s">
        <v>13</v>
      </c>
      <c r="G844" s="7">
        <v>43549</v>
      </c>
      <c r="H844" t="s">
        <v>27</v>
      </c>
      <c r="I844" t="s">
        <v>69</v>
      </c>
      <c r="J844" t="s">
        <v>45</v>
      </c>
      <c r="K844" t="str">
        <f>IF(HR_Data5[[#This Row],[Age]]&lt;30,"Young",IF(HR_Data5[[#This Row],[Age]]&lt;=45,"Mid-Career","Senior"))</f>
        <v>Mid-Career</v>
      </c>
      <c r="L844" s="10">
        <f ca="1">DATEDIF(HR_Data5[[#This Row],[Joining Date]],TODAY(),"Y")</f>
        <v>6</v>
      </c>
      <c r="M844" s="10" t="str">
        <f>IF(HR_Data5[[#This Row],[Salary]]&lt;55000,"Low",IF(HR_Data5[[#This Row],[Salary]]&lt;=65000,"Medium","High"))</f>
        <v>Low</v>
      </c>
      <c r="N844" s="10">
        <f>YEAR(HR_Data5[[#This Row],[Joining Date]])</f>
        <v>2019</v>
      </c>
      <c r="O844" s="10" cm="1">
        <f t="array" ref="O844">_xlfn.SWITCH(HR_Data5[[#This Row],[Performance Score]],
"A",5,
"B",4,
"C",3,
"D",2,
"F",1)</f>
        <v>3</v>
      </c>
      <c r="P844" s="10"/>
    </row>
    <row r="845" spans="1:16" x14ac:dyDescent="0.3">
      <c r="A845" t="s">
        <v>56</v>
      </c>
      <c r="B845">
        <v>30</v>
      </c>
      <c r="C845" s="6">
        <v>70000</v>
      </c>
      <c r="D845" t="s">
        <v>11</v>
      </c>
      <c r="E845" t="s">
        <v>26</v>
      </c>
      <c r="F845" t="s">
        <v>13</v>
      </c>
      <c r="G845" s="7">
        <v>43881</v>
      </c>
      <c r="H845" t="s">
        <v>41</v>
      </c>
      <c r="I845" t="s">
        <v>69</v>
      </c>
      <c r="J845" t="s">
        <v>69</v>
      </c>
      <c r="K845" t="str">
        <f>IF(HR_Data5[[#This Row],[Age]]&lt;30,"Young",IF(HR_Data5[[#This Row],[Age]]&lt;=45,"Mid-Career","Senior"))</f>
        <v>Mid-Career</v>
      </c>
      <c r="L845" s="10">
        <f ca="1">DATEDIF(HR_Data5[[#This Row],[Joining Date]],TODAY(),"Y")</f>
        <v>6</v>
      </c>
      <c r="M845" s="10" t="str">
        <f>IF(HR_Data5[[#This Row],[Salary]]&lt;55000,"Low",IF(HR_Data5[[#This Row],[Salary]]&lt;=65000,"Medium","High"))</f>
        <v>High</v>
      </c>
      <c r="N845" s="10">
        <f>YEAR(HR_Data5[[#This Row],[Joining Date]])</f>
        <v>2020</v>
      </c>
      <c r="O845" s="10" cm="1">
        <f t="array" ref="O845">_xlfn.SWITCH(HR_Data5[[#This Row],[Performance Score]],
"A",5,
"B",4,
"C",3,
"D",2,
"F",1)</f>
        <v>4</v>
      </c>
      <c r="P845" s="10"/>
    </row>
    <row r="846" spans="1:16" x14ac:dyDescent="0.3">
      <c r="A846" t="s">
        <v>56</v>
      </c>
      <c r="B846">
        <v>25</v>
      </c>
      <c r="C846" s="6" t="s">
        <v>68</v>
      </c>
      <c r="D846" t="s">
        <v>11</v>
      </c>
      <c r="E846" t="s">
        <v>19</v>
      </c>
      <c r="F846" t="s">
        <v>43</v>
      </c>
      <c r="G846" s="7">
        <v>43845</v>
      </c>
      <c r="H846" t="s">
        <v>41</v>
      </c>
      <c r="I846" t="s">
        <v>22</v>
      </c>
      <c r="J846" t="s">
        <v>28</v>
      </c>
      <c r="K846" t="str">
        <f>IF(HR_Data5[[#This Row],[Age]]&lt;30,"Young",IF(HR_Data5[[#This Row],[Age]]&lt;=45,"Mid-Career","Senior"))</f>
        <v>Young</v>
      </c>
      <c r="L846" s="10">
        <f ca="1">DATEDIF(HR_Data5[[#This Row],[Joining Date]],TODAY(),"Y")</f>
        <v>6</v>
      </c>
      <c r="M846" s="10" t="str">
        <f>IF(HR_Data5[[#This Row],[Salary]]&lt;55000,"Low",IF(HR_Data5[[#This Row],[Salary]]&lt;=65000,"Medium","High"))</f>
        <v>High</v>
      </c>
      <c r="N846" s="10">
        <f>YEAR(HR_Data5[[#This Row],[Joining Date]])</f>
        <v>2020</v>
      </c>
      <c r="O846" s="10" cm="1">
        <f t="array" ref="O846">_xlfn.SWITCH(HR_Data5[[#This Row],[Performance Score]],
"A",5,
"B",4,
"C",3,
"D",2,
"F",1)</f>
        <v>4</v>
      </c>
      <c r="P846" s="10"/>
    </row>
    <row r="847" spans="1:16" x14ac:dyDescent="0.3">
      <c r="A847" t="s">
        <v>53</v>
      </c>
      <c r="B847">
        <v>35</v>
      </c>
      <c r="C847" s="6">
        <v>65000</v>
      </c>
      <c r="D847" t="s">
        <v>11</v>
      </c>
      <c r="E847" t="s">
        <v>26</v>
      </c>
      <c r="F847" t="s">
        <v>20</v>
      </c>
      <c r="G847" s="7">
        <v>43195</v>
      </c>
      <c r="H847" t="s">
        <v>21</v>
      </c>
      <c r="I847" t="s">
        <v>15</v>
      </c>
      <c r="J847" t="s">
        <v>23</v>
      </c>
      <c r="K847" t="str">
        <f>IF(HR_Data5[[#This Row],[Age]]&lt;30,"Young",IF(HR_Data5[[#This Row],[Age]]&lt;=45,"Mid-Career","Senior"))</f>
        <v>Mid-Career</v>
      </c>
      <c r="L847" s="10">
        <f ca="1">DATEDIF(HR_Data5[[#This Row],[Joining Date]],TODAY(),"Y")</f>
        <v>7</v>
      </c>
      <c r="M847" s="10" t="str">
        <f>IF(HR_Data5[[#This Row],[Salary]]&lt;55000,"Low",IF(HR_Data5[[#This Row],[Salary]]&lt;=65000,"Medium","High"))</f>
        <v>Medium</v>
      </c>
      <c r="N847" s="10">
        <f>YEAR(HR_Data5[[#This Row],[Joining Date]])</f>
        <v>2018</v>
      </c>
      <c r="O847" s="10" cm="1">
        <f t="array" ref="O847">_xlfn.SWITCH(HR_Data5[[#This Row],[Performance Score]],
"A",5,
"B",4,
"C",3,
"D",2,
"F",1)</f>
        <v>1</v>
      </c>
      <c r="P847" s="10"/>
    </row>
    <row r="848" spans="1:16" x14ac:dyDescent="0.3">
      <c r="A848" t="s">
        <v>54</v>
      </c>
      <c r="B848">
        <v>25</v>
      </c>
      <c r="C848" s="6">
        <v>50000</v>
      </c>
      <c r="D848" t="s">
        <v>18</v>
      </c>
      <c r="E848" t="s">
        <v>37</v>
      </c>
      <c r="F848" t="s">
        <v>43</v>
      </c>
      <c r="G848" s="7">
        <v>43881</v>
      </c>
      <c r="H848" t="s">
        <v>14</v>
      </c>
      <c r="I848" t="s">
        <v>15</v>
      </c>
      <c r="J848" t="s">
        <v>28</v>
      </c>
      <c r="K848" t="str">
        <f>IF(HR_Data5[[#This Row],[Age]]&lt;30,"Young",IF(HR_Data5[[#This Row],[Age]]&lt;=45,"Mid-Career","Senior"))</f>
        <v>Young</v>
      </c>
      <c r="L848" s="10">
        <f ca="1">DATEDIF(HR_Data5[[#This Row],[Joining Date]],TODAY(),"Y")</f>
        <v>6</v>
      </c>
      <c r="M848" s="10" t="str">
        <f>IF(HR_Data5[[#This Row],[Salary]]&lt;55000,"Low",IF(HR_Data5[[#This Row],[Salary]]&lt;=65000,"Medium","High"))</f>
        <v>Low</v>
      </c>
      <c r="N848" s="10">
        <f>YEAR(HR_Data5[[#This Row],[Joining Date]])</f>
        <v>2020</v>
      </c>
      <c r="O848" s="10" cm="1">
        <f t="array" ref="O848">_xlfn.SWITCH(HR_Data5[[#This Row],[Performance Score]],
"A",5,
"B",4,
"C",3,
"D",2,
"F",1)</f>
        <v>2</v>
      </c>
      <c r="P848" s="10"/>
    </row>
    <row r="849" spans="1:16" x14ac:dyDescent="0.3">
      <c r="A849" t="s">
        <v>52</v>
      </c>
      <c r="B849">
        <v>36</v>
      </c>
      <c r="C849" s="6">
        <v>70000</v>
      </c>
      <c r="D849" t="s">
        <v>18</v>
      </c>
      <c r="E849" t="s">
        <v>30</v>
      </c>
      <c r="F849" t="s">
        <v>44</v>
      </c>
      <c r="G849" s="7">
        <v>43881</v>
      </c>
      <c r="H849" t="s">
        <v>31</v>
      </c>
      <c r="I849" t="s">
        <v>69</v>
      </c>
      <c r="J849" t="s">
        <v>45</v>
      </c>
      <c r="K849" t="str">
        <f>IF(HR_Data5[[#This Row],[Age]]&lt;30,"Young",IF(HR_Data5[[#This Row],[Age]]&lt;=45,"Mid-Career","Senior"))</f>
        <v>Mid-Career</v>
      </c>
      <c r="L849" s="10">
        <f ca="1">DATEDIF(HR_Data5[[#This Row],[Joining Date]],TODAY(),"Y")</f>
        <v>6</v>
      </c>
      <c r="M849" s="10" t="str">
        <f>IF(HR_Data5[[#This Row],[Salary]]&lt;55000,"Low",IF(HR_Data5[[#This Row],[Salary]]&lt;=65000,"Medium","High"))</f>
        <v>High</v>
      </c>
      <c r="N849" s="10">
        <f>YEAR(HR_Data5[[#This Row],[Joining Date]])</f>
        <v>2020</v>
      </c>
      <c r="O849" s="10" cm="1">
        <f t="array" ref="O849">_xlfn.SWITCH(HR_Data5[[#This Row],[Performance Score]],
"A",5,
"B",4,
"C",3,
"D",2,
"F",1)</f>
        <v>5</v>
      </c>
      <c r="P849" s="10"/>
    </row>
    <row r="850" spans="1:16" x14ac:dyDescent="0.3">
      <c r="A850" t="s">
        <v>53</v>
      </c>
      <c r="B850">
        <v>30</v>
      </c>
      <c r="C850" s="6">
        <v>65000</v>
      </c>
      <c r="D850" t="s">
        <v>18</v>
      </c>
      <c r="E850" t="s">
        <v>37</v>
      </c>
      <c r="F850" t="s">
        <v>43</v>
      </c>
      <c r="G850" s="7">
        <v>43881</v>
      </c>
      <c r="H850" t="s">
        <v>31</v>
      </c>
      <c r="I850" t="s">
        <v>69</v>
      </c>
      <c r="J850" t="s">
        <v>45</v>
      </c>
      <c r="K850" t="str">
        <f>IF(HR_Data5[[#This Row],[Age]]&lt;30,"Young",IF(HR_Data5[[#This Row],[Age]]&lt;=45,"Mid-Career","Senior"))</f>
        <v>Mid-Career</v>
      </c>
      <c r="L850" s="10">
        <f ca="1">DATEDIF(HR_Data5[[#This Row],[Joining Date]],TODAY(),"Y")</f>
        <v>6</v>
      </c>
      <c r="M850" s="10" t="str">
        <f>IF(HR_Data5[[#This Row],[Salary]]&lt;55000,"Low",IF(HR_Data5[[#This Row],[Salary]]&lt;=65000,"Medium","High"))</f>
        <v>Medium</v>
      </c>
      <c r="N850" s="10">
        <f>YEAR(HR_Data5[[#This Row],[Joining Date]])</f>
        <v>2020</v>
      </c>
      <c r="O850" s="10" cm="1">
        <f t="array" ref="O850">_xlfn.SWITCH(HR_Data5[[#This Row],[Performance Score]],
"A",5,
"B",4,
"C",3,
"D",2,
"F",1)</f>
        <v>5</v>
      </c>
      <c r="P850" s="10"/>
    </row>
    <row r="851" spans="1:16" x14ac:dyDescent="0.3">
      <c r="A851" t="s">
        <v>57</v>
      </c>
      <c r="B851">
        <v>40</v>
      </c>
      <c r="C851" s="6">
        <v>60000</v>
      </c>
      <c r="D851" t="s">
        <v>11</v>
      </c>
      <c r="E851" t="s">
        <v>12</v>
      </c>
      <c r="F851" t="s">
        <v>13</v>
      </c>
      <c r="G851" s="7">
        <v>43845</v>
      </c>
      <c r="H851" t="s">
        <v>27</v>
      </c>
      <c r="I851" t="s">
        <v>32</v>
      </c>
      <c r="J851" t="s">
        <v>23</v>
      </c>
      <c r="K851" t="str">
        <f>IF(HR_Data5[[#This Row],[Age]]&lt;30,"Young",IF(HR_Data5[[#This Row],[Age]]&lt;=45,"Mid-Career","Senior"))</f>
        <v>Mid-Career</v>
      </c>
      <c r="L851" s="10">
        <f ca="1">DATEDIF(HR_Data5[[#This Row],[Joining Date]],TODAY(),"Y")</f>
        <v>6</v>
      </c>
      <c r="M851" s="10" t="str">
        <f>IF(HR_Data5[[#This Row],[Salary]]&lt;55000,"Low",IF(HR_Data5[[#This Row],[Salary]]&lt;=65000,"Medium","High"))</f>
        <v>Medium</v>
      </c>
      <c r="N851" s="10">
        <f>YEAR(HR_Data5[[#This Row],[Joining Date]])</f>
        <v>2020</v>
      </c>
      <c r="O851" s="10" cm="1">
        <f t="array" ref="O851">_xlfn.SWITCH(HR_Data5[[#This Row],[Performance Score]],
"A",5,
"B",4,
"C",3,
"D",2,
"F",1)</f>
        <v>3</v>
      </c>
      <c r="P851" s="10"/>
    </row>
    <row r="852" spans="1:16" x14ac:dyDescent="0.3">
      <c r="A852" t="s">
        <v>58</v>
      </c>
      <c r="B852">
        <v>30</v>
      </c>
      <c r="C852" s="6">
        <v>65000</v>
      </c>
      <c r="D852" t="s">
        <v>36</v>
      </c>
      <c r="E852" t="s">
        <v>30</v>
      </c>
      <c r="F852" t="s">
        <v>43</v>
      </c>
      <c r="G852" s="7">
        <v>43549</v>
      </c>
      <c r="H852" t="s">
        <v>21</v>
      </c>
      <c r="I852" t="s">
        <v>69</v>
      </c>
      <c r="J852" t="s">
        <v>69</v>
      </c>
      <c r="K852" t="str">
        <f>IF(HR_Data5[[#This Row],[Age]]&lt;30,"Young",IF(HR_Data5[[#This Row],[Age]]&lt;=45,"Mid-Career","Senior"))</f>
        <v>Mid-Career</v>
      </c>
      <c r="L852" s="10">
        <f ca="1">DATEDIF(HR_Data5[[#This Row],[Joining Date]],TODAY(),"Y")</f>
        <v>6</v>
      </c>
      <c r="M852" s="10" t="str">
        <f>IF(HR_Data5[[#This Row],[Salary]]&lt;55000,"Low",IF(HR_Data5[[#This Row],[Salary]]&lt;=65000,"Medium","High"))</f>
        <v>Medium</v>
      </c>
      <c r="N852" s="10">
        <f>YEAR(HR_Data5[[#This Row],[Joining Date]])</f>
        <v>2019</v>
      </c>
      <c r="O852" s="10" cm="1">
        <f t="array" ref="O852">_xlfn.SWITCH(HR_Data5[[#This Row],[Performance Score]],
"A",5,
"B",4,
"C",3,
"D",2,
"F",1)</f>
        <v>1</v>
      </c>
      <c r="P852" s="10"/>
    </row>
    <row r="853" spans="1:16" x14ac:dyDescent="0.3">
      <c r="A853" t="s">
        <v>52</v>
      </c>
      <c r="B853">
        <v>36</v>
      </c>
      <c r="C853" s="6">
        <v>55000</v>
      </c>
      <c r="D853" t="s">
        <v>11</v>
      </c>
      <c r="E853" t="s">
        <v>37</v>
      </c>
      <c r="F853" t="s">
        <v>39</v>
      </c>
      <c r="G853" s="7">
        <v>43881</v>
      </c>
      <c r="H853" t="s">
        <v>27</v>
      </c>
      <c r="I853" t="s">
        <v>69</v>
      </c>
      <c r="J853" t="s">
        <v>69</v>
      </c>
      <c r="K853" t="str">
        <f>IF(HR_Data5[[#This Row],[Age]]&lt;30,"Young",IF(HR_Data5[[#This Row],[Age]]&lt;=45,"Mid-Career","Senior"))</f>
        <v>Mid-Career</v>
      </c>
      <c r="L853" s="10">
        <f ca="1">DATEDIF(HR_Data5[[#This Row],[Joining Date]],TODAY(),"Y")</f>
        <v>6</v>
      </c>
      <c r="M853" s="10" t="str">
        <f>IF(HR_Data5[[#This Row],[Salary]]&lt;55000,"Low",IF(HR_Data5[[#This Row],[Salary]]&lt;=65000,"Medium","High"))</f>
        <v>Medium</v>
      </c>
      <c r="N853" s="10">
        <f>YEAR(HR_Data5[[#This Row],[Joining Date]])</f>
        <v>2020</v>
      </c>
      <c r="O853" s="10" cm="1">
        <f t="array" ref="O853">_xlfn.SWITCH(HR_Data5[[#This Row],[Performance Score]],
"A",5,
"B",4,
"C",3,
"D",2,
"F",1)</f>
        <v>3</v>
      </c>
      <c r="P853" s="10"/>
    </row>
    <row r="854" spans="1:16" x14ac:dyDescent="0.3">
      <c r="A854" t="s">
        <v>52</v>
      </c>
      <c r="B854">
        <v>30</v>
      </c>
      <c r="C854" s="6">
        <v>55000</v>
      </c>
      <c r="D854" t="s">
        <v>18</v>
      </c>
      <c r="E854" t="s">
        <v>12</v>
      </c>
      <c r="F854" t="s">
        <v>44</v>
      </c>
      <c r="G854" s="7">
        <v>43845</v>
      </c>
      <c r="H854" t="s">
        <v>31</v>
      </c>
      <c r="I854" t="s">
        <v>69</v>
      </c>
      <c r="J854" t="s">
        <v>45</v>
      </c>
      <c r="K854" t="str">
        <f>IF(HR_Data5[[#This Row],[Age]]&lt;30,"Young",IF(HR_Data5[[#This Row],[Age]]&lt;=45,"Mid-Career","Senior"))</f>
        <v>Mid-Career</v>
      </c>
      <c r="L854" s="10">
        <f ca="1">DATEDIF(HR_Data5[[#This Row],[Joining Date]],TODAY(),"Y")</f>
        <v>6</v>
      </c>
      <c r="M854" s="10" t="str">
        <f>IF(HR_Data5[[#This Row],[Salary]]&lt;55000,"Low",IF(HR_Data5[[#This Row],[Salary]]&lt;=65000,"Medium","High"))</f>
        <v>Medium</v>
      </c>
      <c r="N854" s="10">
        <f>YEAR(HR_Data5[[#This Row],[Joining Date]])</f>
        <v>2020</v>
      </c>
      <c r="O854" s="10" cm="1">
        <f t="array" ref="O854">_xlfn.SWITCH(HR_Data5[[#This Row],[Performance Score]],
"A",5,
"B",4,
"C",3,
"D",2,
"F",1)</f>
        <v>5</v>
      </c>
      <c r="P854" s="10"/>
    </row>
    <row r="855" spans="1:16" x14ac:dyDescent="0.3">
      <c r="A855" t="s">
        <v>57</v>
      </c>
      <c r="B855">
        <v>30</v>
      </c>
      <c r="C855" s="6">
        <v>60000</v>
      </c>
      <c r="D855" t="s">
        <v>18</v>
      </c>
      <c r="E855" t="s">
        <v>19</v>
      </c>
      <c r="F855" t="s">
        <v>43</v>
      </c>
      <c r="G855" s="7">
        <v>43195</v>
      </c>
      <c r="H855" t="s">
        <v>41</v>
      </c>
      <c r="I855" t="s">
        <v>22</v>
      </c>
      <c r="J855" t="s">
        <v>23</v>
      </c>
      <c r="K855" t="str">
        <f>IF(HR_Data5[[#This Row],[Age]]&lt;30,"Young",IF(HR_Data5[[#This Row],[Age]]&lt;=45,"Mid-Career","Senior"))</f>
        <v>Mid-Career</v>
      </c>
      <c r="L855" s="10">
        <f ca="1">DATEDIF(HR_Data5[[#This Row],[Joining Date]],TODAY(),"Y")</f>
        <v>7</v>
      </c>
      <c r="M855" s="10" t="str">
        <f>IF(HR_Data5[[#This Row],[Salary]]&lt;55000,"Low",IF(HR_Data5[[#This Row],[Salary]]&lt;=65000,"Medium","High"))</f>
        <v>Medium</v>
      </c>
      <c r="N855" s="10">
        <f>YEAR(HR_Data5[[#This Row],[Joining Date]])</f>
        <v>2018</v>
      </c>
      <c r="O855" s="10" cm="1">
        <f t="array" ref="O855">_xlfn.SWITCH(HR_Data5[[#This Row],[Performance Score]],
"A",5,
"B",4,
"C",3,
"D",2,
"F",1)</f>
        <v>4</v>
      </c>
      <c r="P855" s="10"/>
    </row>
    <row r="856" spans="1:16" x14ac:dyDescent="0.3">
      <c r="A856" t="s">
        <v>57</v>
      </c>
      <c r="B856">
        <v>36</v>
      </c>
      <c r="C856" s="6">
        <v>50000</v>
      </c>
      <c r="D856" t="s">
        <v>11</v>
      </c>
      <c r="E856" t="s">
        <v>19</v>
      </c>
      <c r="F856" t="s">
        <v>13</v>
      </c>
      <c r="G856" s="7">
        <v>43800</v>
      </c>
      <c r="H856" t="s">
        <v>14</v>
      </c>
      <c r="I856" t="s">
        <v>22</v>
      </c>
      <c r="J856" t="s">
        <v>69</v>
      </c>
      <c r="K856" t="str">
        <f>IF(HR_Data5[[#This Row],[Age]]&lt;30,"Young",IF(HR_Data5[[#This Row],[Age]]&lt;=45,"Mid-Career","Senior"))</f>
        <v>Mid-Career</v>
      </c>
      <c r="L856" s="10">
        <f ca="1">DATEDIF(HR_Data5[[#This Row],[Joining Date]],TODAY(),"Y")</f>
        <v>6</v>
      </c>
      <c r="M856" s="10" t="str">
        <f>IF(HR_Data5[[#This Row],[Salary]]&lt;55000,"Low",IF(HR_Data5[[#This Row],[Salary]]&lt;=65000,"Medium","High"))</f>
        <v>Low</v>
      </c>
      <c r="N856" s="10">
        <f>YEAR(HR_Data5[[#This Row],[Joining Date]])</f>
        <v>2019</v>
      </c>
      <c r="O856" s="10" cm="1">
        <f t="array" ref="O856">_xlfn.SWITCH(HR_Data5[[#This Row],[Performance Score]],
"A",5,
"B",4,
"C",3,
"D",2,
"F",1)</f>
        <v>2</v>
      </c>
      <c r="P856" s="10"/>
    </row>
    <row r="857" spans="1:16" x14ac:dyDescent="0.3">
      <c r="A857" t="s">
        <v>59</v>
      </c>
      <c r="B857">
        <v>50</v>
      </c>
      <c r="C857" s="6">
        <v>70000</v>
      </c>
      <c r="D857" t="s">
        <v>11</v>
      </c>
      <c r="E857" t="s">
        <v>26</v>
      </c>
      <c r="F857" t="s">
        <v>44</v>
      </c>
      <c r="G857" s="7">
        <v>43845</v>
      </c>
      <c r="H857" t="s">
        <v>21</v>
      </c>
      <c r="I857" t="s">
        <v>15</v>
      </c>
      <c r="J857" t="s">
        <v>69</v>
      </c>
      <c r="K857" t="str">
        <f>IF(HR_Data5[[#This Row],[Age]]&lt;30,"Young",IF(HR_Data5[[#This Row],[Age]]&lt;=45,"Mid-Career","Senior"))</f>
        <v>Senior</v>
      </c>
      <c r="L857" s="10">
        <f ca="1">DATEDIF(HR_Data5[[#This Row],[Joining Date]],TODAY(),"Y")</f>
        <v>6</v>
      </c>
      <c r="M857" s="10" t="str">
        <f>IF(HR_Data5[[#This Row],[Salary]]&lt;55000,"Low",IF(HR_Data5[[#This Row],[Salary]]&lt;=65000,"Medium","High"))</f>
        <v>High</v>
      </c>
      <c r="N857" s="10">
        <f>YEAR(HR_Data5[[#This Row],[Joining Date]])</f>
        <v>2020</v>
      </c>
      <c r="O857" s="10" cm="1">
        <f t="array" ref="O857">_xlfn.SWITCH(HR_Data5[[#This Row],[Performance Score]],
"A",5,
"B",4,
"C",3,
"D",2,
"F",1)</f>
        <v>1</v>
      </c>
      <c r="P857" s="10"/>
    </row>
    <row r="858" spans="1:16" x14ac:dyDescent="0.3">
      <c r="A858" t="s">
        <v>53</v>
      </c>
      <c r="B858">
        <v>30</v>
      </c>
      <c r="C858" s="6">
        <v>65000</v>
      </c>
      <c r="D858" t="s">
        <v>18</v>
      </c>
      <c r="E858" t="s">
        <v>30</v>
      </c>
      <c r="F858" t="s">
        <v>13</v>
      </c>
      <c r="G858" s="7">
        <v>43800</v>
      </c>
      <c r="H858" t="s">
        <v>41</v>
      </c>
      <c r="I858" t="s">
        <v>15</v>
      </c>
      <c r="J858" t="s">
        <v>45</v>
      </c>
      <c r="K858" t="str">
        <f>IF(HR_Data5[[#This Row],[Age]]&lt;30,"Young",IF(HR_Data5[[#This Row],[Age]]&lt;=45,"Mid-Career","Senior"))</f>
        <v>Mid-Career</v>
      </c>
      <c r="L858" s="10">
        <f ca="1">DATEDIF(HR_Data5[[#This Row],[Joining Date]],TODAY(),"Y")</f>
        <v>6</v>
      </c>
      <c r="M858" s="10" t="str">
        <f>IF(HR_Data5[[#This Row],[Salary]]&lt;55000,"Low",IF(HR_Data5[[#This Row],[Salary]]&lt;=65000,"Medium","High"))</f>
        <v>Medium</v>
      </c>
      <c r="N858" s="10">
        <f>YEAR(HR_Data5[[#This Row],[Joining Date]])</f>
        <v>2019</v>
      </c>
      <c r="O858" s="10" cm="1">
        <f t="array" ref="O858">_xlfn.SWITCH(HR_Data5[[#This Row],[Performance Score]],
"A",5,
"B",4,
"C",3,
"D",2,
"F",1)</f>
        <v>4</v>
      </c>
      <c r="P858" s="10"/>
    </row>
    <row r="859" spans="1:16" x14ac:dyDescent="0.3">
      <c r="A859" t="s">
        <v>57</v>
      </c>
      <c r="B859">
        <v>35</v>
      </c>
      <c r="C859" s="6">
        <v>55000</v>
      </c>
      <c r="D859" t="s">
        <v>18</v>
      </c>
      <c r="E859" t="s">
        <v>19</v>
      </c>
      <c r="F859" t="s">
        <v>20</v>
      </c>
      <c r="G859" s="7">
        <v>43881</v>
      </c>
      <c r="H859" t="s">
        <v>14</v>
      </c>
      <c r="I859" t="s">
        <v>32</v>
      </c>
      <c r="J859" t="s">
        <v>23</v>
      </c>
      <c r="K859" t="str">
        <f>IF(HR_Data5[[#This Row],[Age]]&lt;30,"Young",IF(HR_Data5[[#This Row],[Age]]&lt;=45,"Mid-Career","Senior"))</f>
        <v>Mid-Career</v>
      </c>
      <c r="L859" s="10">
        <f ca="1">DATEDIF(HR_Data5[[#This Row],[Joining Date]],TODAY(),"Y")</f>
        <v>6</v>
      </c>
      <c r="M859" s="10" t="str">
        <f>IF(HR_Data5[[#This Row],[Salary]]&lt;55000,"Low",IF(HR_Data5[[#This Row],[Salary]]&lt;=65000,"Medium","High"))</f>
        <v>Medium</v>
      </c>
      <c r="N859" s="10">
        <f>YEAR(HR_Data5[[#This Row],[Joining Date]])</f>
        <v>2020</v>
      </c>
      <c r="O859" s="10" cm="1">
        <f t="array" ref="O859">_xlfn.SWITCH(HR_Data5[[#This Row],[Performance Score]],
"A",5,
"B",4,
"C",3,
"D",2,
"F",1)</f>
        <v>2</v>
      </c>
      <c r="P859" s="10"/>
    </row>
    <row r="860" spans="1:16" x14ac:dyDescent="0.3">
      <c r="A860" t="s">
        <v>56</v>
      </c>
      <c r="B860">
        <v>35</v>
      </c>
      <c r="C860" s="6">
        <v>50000</v>
      </c>
      <c r="D860" t="s">
        <v>18</v>
      </c>
      <c r="E860" t="s">
        <v>30</v>
      </c>
      <c r="F860" t="s">
        <v>39</v>
      </c>
      <c r="G860" s="7">
        <v>43881</v>
      </c>
      <c r="H860" t="s">
        <v>21</v>
      </c>
      <c r="I860" t="s">
        <v>32</v>
      </c>
      <c r="J860" t="s">
        <v>23</v>
      </c>
      <c r="K860" t="str">
        <f>IF(HR_Data5[[#This Row],[Age]]&lt;30,"Young",IF(HR_Data5[[#This Row],[Age]]&lt;=45,"Mid-Career","Senior"))</f>
        <v>Mid-Career</v>
      </c>
      <c r="L860" s="10">
        <f ca="1">DATEDIF(HR_Data5[[#This Row],[Joining Date]],TODAY(),"Y")</f>
        <v>6</v>
      </c>
      <c r="M860" s="10" t="str">
        <f>IF(HR_Data5[[#This Row],[Salary]]&lt;55000,"Low",IF(HR_Data5[[#This Row],[Salary]]&lt;=65000,"Medium","High"))</f>
        <v>Low</v>
      </c>
      <c r="N860" s="10">
        <f>YEAR(HR_Data5[[#This Row],[Joining Date]])</f>
        <v>2020</v>
      </c>
      <c r="O860" s="10" cm="1">
        <f t="array" ref="O860">_xlfn.SWITCH(HR_Data5[[#This Row],[Performance Score]],
"A",5,
"B",4,
"C",3,
"D",2,
"F",1)</f>
        <v>1</v>
      </c>
      <c r="P860" s="10"/>
    </row>
    <row r="861" spans="1:16" x14ac:dyDescent="0.3">
      <c r="A861" t="s">
        <v>60</v>
      </c>
      <c r="B861">
        <v>30</v>
      </c>
      <c r="C861" s="6">
        <v>60000</v>
      </c>
      <c r="D861" t="s">
        <v>11</v>
      </c>
      <c r="E861" t="s">
        <v>19</v>
      </c>
      <c r="F861" t="s">
        <v>20</v>
      </c>
      <c r="G861" s="7">
        <v>43845</v>
      </c>
      <c r="H861" t="s">
        <v>21</v>
      </c>
      <c r="I861" t="s">
        <v>32</v>
      </c>
      <c r="J861" t="s">
        <v>23</v>
      </c>
      <c r="K861" t="str">
        <f>IF(HR_Data5[[#This Row],[Age]]&lt;30,"Young",IF(HR_Data5[[#This Row],[Age]]&lt;=45,"Mid-Career","Senior"))</f>
        <v>Mid-Career</v>
      </c>
      <c r="L861" s="10">
        <f ca="1">DATEDIF(HR_Data5[[#This Row],[Joining Date]],TODAY(),"Y")</f>
        <v>6</v>
      </c>
      <c r="M861" s="10" t="str">
        <f>IF(HR_Data5[[#This Row],[Salary]]&lt;55000,"Low",IF(HR_Data5[[#This Row],[Salary]]&lt;=65000,"Medium","High"))</f>
        <v>Medium</v>
      </c>
      <c r="N861" s="10">
        <f>YEAR(HR_Data5[[#This Row],[Joining Date]])</f>
        <v>2020</v>
      </c>
      <c r="O861" s="10" cm="1">
        <f t="array" ref="O861">_xlfn.SWITCH(HR_Data5[[#This Row],[Performance Score]],
"A",5,
"B",4,
"C",3,
"D",2,
"F",1)</f>
        <v>1</v>
      </c>
      <c r="P861" s="10"/>
    </row>
    <row r="862" spans="1:16" x14ac:dyDescent="0.3">
      <c r="A862" t="s">
        <v>58</v>
      </c>
      <c r="B862">
        <v>50</v>
      </c>
      <c r="C862" s="6" t="s">
        <v>68</v>
      </c>
      <c r="D862" t="s">
        <v>18</v>
      </c>
      <c r="E862" t="s">
        <v>26</v>
      </c>
      <c r="F862" t="s">
        <v>39</v>
      </c>
      <c r="G862" s="7">
        <v>43800</v>
      </c>
      <c r="H862" t="s">
        <v>31</v>
      </c>
      <c r="I862" t="s">
        <v>32</v>
      </c>
      <c r="J862" t="s">
        <v>45</v>
      </c>
      <c r="K862" t="str">
        <f>IF(HR_Data5[[#This Row],[Age]]&lt;30,"Young",IF(HR_Data5[[#This Row],[Age]]&lt;=45,"Mid-Career","Senior"))</f>
        <v>Senior</v>
      </c>
      <c r="L862" s="10">
        <f ca="1">DATEDIF(HR_Data5[[#This Row],[Joining Date]],TODAY(),"Y")</f>
        <v>6</v>
      </c>
      <c r="M862" s="10" t="str">
        <f>IF(HR_Data5[[#This Row],[Salary]]&lt;55000,"Low",IF(HR_Data5[[#This Row],[Salary]]&lt;=65000,"Medium","High"))</f>
        <v>High</v>
      </c>
      <c r="N862" s="10">
        <f>YEAR(HR_Data5[[#This Row],[Joining Date]])</f>
        <v>2019</v>
      </c>
      <c r="O862" s="10" cm="1">
        <f t="array" ref="O862">_xlfn.SWITCH(HR_Data5[[#This Row],[Performance Score]],
"A",5,
"B",4,
"C",3,
"D",2,
"F",1)</f>
        <v>5</v>
      </c>
      <c r="P862" s="10"/>
    </row>
    <row r="863" spans="1:16" x14ac:dyDescent="0.3">
      <c r="A863" t="s">
        <v>53</v>
      </c>
      <c r="B863">
        <v>40</v>
      </c>
      <c r="C863" s="6">
        <v>55000</v>
      </c>
      <c r="D863" t="s">
        <v>18</v>
      </c>
      <c r="E863" t="s">
        <v>37</v>
      </c>
      <c r="F863" t="s">
        <v>43</v>
      </c>
      <c r="G863" s="7">
        <v>43881</v>
      </c>
      <c r="H863" t="s">
        <v>41</v>
      </c>
      <c r="I863" t="s">
        <v>69</v>
      </c>
      <c r="J863" t="s">
        <v>69</v>
      </c>
      <c r="K863" t="str">
        <f>IF(HR_Data5[[#This Row],[Age]]&lt;30,"Young",IF(HR_Data5[[#This Row],[Age]]&lt;=45,"Mid-Career","Senior"))</f>
        <v>Mid-Career</v>
      </c>
      <c r="L863" s="10">
        <f ca="1">DATEDIF(HR_Data5[[#This Row],[Joining Date]],TODAY(),"Y")</f>
        <v>6</v>
      </c>
      <c r="M863" s="10" t="str">
        <f>IF(HR_Data5[[#This Row],[Salary]]&lt;55000,"Low",IF(HR_Data5[[#This Row],[Salary]]&lt;=65000,"Medium","High"))</f>
        <v>Medium</v>
      </c>
      <c r="N863" s="10">
        <f>YEAR(HR_Data5[[#This Row],[Joining Date]])</f>
        <v>2020</v>
      </c>
      <c r="O863" s="10" cm="1">
        <f t="array" ref="O863">_xlfn.SWITCH(HR_Data5[[#This Row],[Performance Score]],
"A",5,
"B",4,
"C",3,
"D",2,
"F",1)</f>
        <v>4</v>
      </c>
      <c r="P863" s="10"/>
    </row>
    <row r="864" spans="1:16" x14ac:dyDescent="0.3">
      <c r="A864" t="s">
        <v>55</v>
      </c>
      <c r="B864">
        <v>36</v>
      </c>
      <c r="C864" s="6">
        <v>60000</v>
      </c>
      <c r="D864" t="s">
        <v>36</v>
      </c>
      <c r="E864" t="s">
        <v>26</v>
      </c>
      <c r="F864" t="s">
        <v>44</v>
      </c>
      <c r="G864" s="7">
        <v>43195</v>
      </c>
      <c r="H864" t="s">
        <v>21</v>
      </c>
      <c r="I864" t="s">
        <v>69</v>
      </c>
      <c r="J864" t="s">
        <v>23</v>
      </c>
      <c r="K864" t="str">
        <f>IF(HR_Data5[[#This Row],[Age]]&lt;30,"Young",IF(HR_Data5[[#This Row],[Age]]&lt;=45,"Mid-Career","Senior"))</f>
        <v>Mid-Career</v>
      </c>
      <c r="L864" s="10">
        <f ca="1">DATEDIF(HR_Data5[[#This Row],[Joining Date]],TODAY(),"Y")</f>
        <v>7</v>
      </c>
      <c r="M864" s="10" t="str">
        <f>IF(HR_Data5[[#This Row],[Salary]]&lt;55000,"Low",IF(HR_Data5[[#This Row],[Salary]]&lt;=65000,"Medium","High"))</f>
        <v>Medium</v>
      </c>
      <c r="N864" s="10">
        <f>YEAR(HR_Data5[[#This Row],[Joining Date]])</f>
        <v>2018</v>
      </c>
      <c r="O864" s="10" cm="1">
        <f t="array" ref="O864">_xlfn.SWITCH(HR_Data5[[#This Row],[Performance Score]],
"A",5,
"B",4,
"C",3,
"D",2,
"F",1)</f>
        <v>1</v>
      </c>
      <c r="P864" s="10"/>
    </row>
    <row r="865" spans="1:16" x14ac:dyDescent="0.3">
      <c r="A865" t="s">
        <v>56</v>
      </c>
      <c r="B865">
        <v>35</v>
      </c>
      <c r="C865" s="6">
        <v>65000</v>
      </c>
      <c r="D865" t="s">
        <v>11</v>
      </c>
      <c r="E865" t="s">
        <v>12</v>
      </c>
      <c r="F865" t="s">
        <v>43</v>
      </c>
      <c r="G865" s="7">
        <v>43549</v>
      </c>
      <c r="H865" t="s">
        <v>21</v>
      </c>
      <c r="I865" t="s">
        <v>15</v>
      </c>
      <c r="J865" t="s">
        <v>69</v>
      </c>
      <c r="K865" t="str">
        <f>IF(HR_Data5[[#This Row],[Age]]&lt;30,"Young",IF(HR_Data5[[#This Row],[Age]]&lt;=45,"Mid-Career","Senior"))</f>
        <v>Mid-Career</v>
      </c>
      <c r="L865" s="10">
        <f ca="1">DATEDIF(HR_Data5[[#This Row],[Joining Date]],TODAY(),"Y")</f>
        <v>6</v>
      </c>
      <c r="M865" s="10" t="str">
        <f>IF(HR_Data5[[#This Row],[Salary]]&lt;55000,"Low",IF(HR_Data5[[#This Row],[Salary]]&lt;=65000,"Medium","High"))</f>
        <v>Medium</v>
      </c>
      <c r="N865" s="10">
        <f>YEAR(HR_Data5[[#This Row],[Joining Date]])</f>
        <v>2019</v>
      </c>
      <c r="O865" s="10" cm="1">
        <f t="array" ref="O865">_xlfn.SWITCH(HR_Data5[[#This Row],[Performance Score]],
"A",5,
"B",4,
"C",3,
"D",2,
"F",1)</f>
        <v>1</v>
      </c>
      <c r="P865" s="10"/>
    </row>
    <row r="866" spans="1:16" x14ac:dyDescent="0.3">
      <c r="A866" t="s">
        <v>54</v>
      </c>
      <c r="B866">
        <v>40</v>
      </c>
      <c r="C866" s="6">
        <v>70000</v>
      </c>
      <c r="D866" t="s">
        <v>36</v>
      </c>
      <c r="E866" t="s">
        <v>19</v>
      </c>
      <c r="F866" t="s">
        <v>39</v>
      </c>
      <c r="G866" s="7">
        <v>43549</v>
      </c>
      <c r="H866" t="s">
        <v>14</v>
      </c>
      <c r="I866" t="s">
        <v>22</v>
      </c>
      <c r="J866" t="s">
        <v>23</v>
      </c>
      <c r="K866" t="str">
        <f>IF(HR_Data5[[#This Row],[Age]]&lt;30,"Young",IF(HR_Data5[[#This Row],[Age]]&lt;=45,"Mid-Career","Senior"))</f>
        <v>Mid-Career</v>
      </c>
      <c r="L866" s="10">
        <f ca="1">DATEDIF(HR_Data5[[#This Row],[Joining Date]],TODAY(),"Y")</f>
        <v>6</v>
      </c>
      <c r="M866" s="10" t="str">
        <f>IF(HR_Data5[[#This Row],[Salary]]&lt;55000,"Low",IF(HR_Data5[[#This Row],[Salary]]&lt;=65000,"Medium","High"))</f>
        <v>High</v>
      </c>
      <c r="N866" s="10">
        <f>YEAR(HR_Data5[[#This Row],[Joining Date]])</f>
        <v>2019</v>
      </c>
      <c r="O866" s="10" cm="1">
        <f t="array" ref="O866">_xlfn.SWITCH(HR_Data5[[#This Row],[Performance Score]],
"A",5,
"B",4,
"C",3,
"D",2,
"F",1)</f>
        <v>2</v>
      </c>
      <c r="P866" s="10"/>
    </row>
    <row r="867" spans="1:16" x14ac:dyDescent="0.3">
      <c r="A867" t="s">
        <v>57</v>
      </c>
      <c r="B867">
        <v>30</v>
      </c>
      <c r="C867" s="6">
        <v>55000</v>
      </c>
      <c r="D867" t="s">
        <v>36</v>
      </c>
      <c r="E867" t="s">
        <v>12</v>
      </c>
      <c r="F867" t="s">
        <v>39</v>
      </c>
      <c r="G867" s="7">
        <v>43881</v>
      </c>
      <c r="H867" t="s">
        <v>31</v>
      </c>
      <c r="I867" t="s">
        <v>22</v>
      </c>
      <c r="J867" t="s">
        <v>69</v>
      </c>
      <c r="K867" t="str">
        <f>IF(HR_Data5[[#This Row],[Age]]&lt;30,"Young",IF(HR_Data5[[#This Row],[Age]]&lt;=45,"Mid-Career","Senior"))</f>
        <v>Mid-Career</v>
      </c>
      <c r="L867" s="10">
        <f ca="1">DATEDIF(HR_Data5[[#This Row],[Joining Date]],TODAY(),"Y")</f>
        <v>6</v>
      </c>
      <c r="M867" s="10" t="str">
        <f>IF(HR_Data5[[#This Row],[Salary]]&lt;55000,"Low",IF(HR_Data5[[#This Row],[Salary]]&lt;=65000,"Medium","High"))</f>
        <v>Medium</v>
      </c>
      <c r="N867" s="10">
        <f>YEAR(HR_Data5[[#This Row],[Joining Date]])</f>
        <v>2020</v>
      </c>
      <c r="O867" s="10" cm="1">
        <f t="array" ref="O867">_xlfn.SWITCH(HR_Data5[[#This Row],[Performance Score]],
"A",5,
"B",4,
"C",3,
"D",2,
"F",1)</f>
        <v>5</v>
      </c>
      <c r="P867" s="10"/>
    </row>
    <row r="868" spans="1:16" x14ac:dyDescent="0.3">
      <c r="A868" t="s">
        <v>55</v>
      </c>
      <c r="B868">
        <v>40</v>
      </c>
      <c r="C868" s="6">
        <v>55000</v>
      </c>
      <c r="D868" t="s">
        <v>18</v>
      </c>
      <c r="E868" t="s">
        <v>12</v>
      </c>
      <c r="F868" t="s">
        <v>39</v>
      </c>
      <c r="G868" s="7">
        <v>43800</v>
      </c>
      <c r="H868" t="s">
        <v>27</v>
      </c>
      <c r="I868" t="s">
        <v>69</v>
      </c>
      <c r="J868" t="s">
        <v>45</v>
      </c>
      <c r="K868" t="str">
        <f>IF(HR_Data5[[#This Row],[Age]]&lt;30,"Young",IF(HR_Data5[[#This Row],[Age]]&lt;=45,"Mid-Career","Senior"))</f>
        <v>Mid-Career</v>
      </c>
      <c r="L868" s="10">
        <f ca="1">DATEDIF(HR_Data5[[#This Row],[Joining Date]],TODAY(),"Y")</f>
        <v>6</v>
      </c>
      <c r="M868" s="10" t="str">
        <f>IF(HR_Data5[[#This Row],[Salary]]&lt;55000,"Low",IF(HR_Data5[[#This Row],[Salary]]&lt;=65000,"Medium","High"))</f>
        <v>Medium</v>
      </c>
      <c r="N868" s="10">
        <f>YEAR(HR_Data5[[#This Row],[Joining Date]])</f>
        <v>2019</v>
      </c>
      <c r="O868" s="10" cm="1">
        <f t="array" ref="O868">_xlfn.SWITCH(HR_Data5[[#This Row],[Performance Score]],
"A",5,
"B",4,
"C",3,
"D",2,
"F",1)</f>
        <v>3</v>
      </c>
      <c r="P868" s="10"/>
    </row>
    <row r="869" spans="1:16" x14ac:dyDescent="0.3">
      <c r="A869" t="s">
        <v>57</v>
      </c>
      <c r="B869">
        <v>25</v>
      </c>
      <c r="C869" s="6">
        <v>65000</v>
      </c>
      <c r="D869" t="s">
        <v>11</v>
      </c>
      <c r="E869" t="s">
        <v>30</v>
      </c>
      <c r="F869" t="s">
        <v>13</v>
      </c>
      <c r="G869" s="7">
        <v>43881</v>
      </c>
      <c r="H869" t="s">
        <v>31</v>
      </c>
      <c r="I869" t="s">
        <v>69</v>
      </c>
      <c r="J869" t="s">
        <v>23</v>
      </c>
      <c r="K869" t="str">
        <f>IF(HR_Data5[[#This Row],[Age]]&lt;30,"Young",IF(HR_Data5[[#This Row],[Age]]&lt;=45,"Mid-Career","Senior"))</f>
        <v>Young</v>
      </c>
      <c r="L869" s="10">
        <f ca="1">DATEDIF(HR_Data5[[#This Row],[Joining Date]],TODAY(),"Y")</f>
        <v>6</v>
      </c>
      <c r="M869" s="10" t="str">
        <f>IF(HR_Data5[[#This Row],[Salary]]&lt;55000,"Low",IF(HR_Data5[[#This Row],[Salary]]&lt;=65000,"Medium","High"))</f>
        <v>Medium</v>
      </c>
      <c r="N869" s="10">
        <f>YEAR(HR_Data5[[#This Row],[Joining Date]])</f>
        <v>2020</v>
      </c>
      <c r="O869" s="10" cm="1">
        <f t="array" ref="O869">_xlfn.SWITCH(HR_Data5[[#This Row],[Performance Score]],
"A",5,
"B",4,
"C",3,
"D",2,
"F",1)</f>
        <v>5</v>
      </c>
      <c r="P869" s="10"/>
    </row>
    <row r="870" spans="1:16" x14ac:dyDescent="0.3">
      <c r="A870" t="s">
        <v>52</v>
      </c>
      <c r="B870">
        <v>35</v>
      </c>
      <c r="C870" s="6" t="s">
        <v>68</v>
      </c>
      <c r="D870" t="s">
        <v>18</v>
      </c>
      <c r="E870" t="s">
        <v>19</v>
      </c>
      <c r="F870" t="s">
        <v>44</v>
      </c>
      <c r="G870" s="7">
        <v>43800</v>
      </c>
      <c r="H870" t="s">
        <v>27</v>
      </c>
      <c r="I870" t="s">
        <v>32</v>
      </c>
      <c r="J870" t="s">
        <v>23</v>
      </c>
      <c r="K870" t="str">
        <f>IF(HR_Data5[[#This Row],[Age]]&lt;30,"Young",IF(HR_Data5[[#This Row],[Age]]&lt;=45,"Mid-Career","Senior"))</f>
        <v>Mid-Career</v>
      </c>
      <c r="L870" s="10">
        <f ca="1">DATEDIF(HR_Data5[[#This Row],[Joining Date]],TODAY(),"Y")</f>
        <v>6</v>
      </c>
      <c r="M870" s="10" t="str">
        <f>IF(HR_Data5[[#This Row],[Salary]]&lt;55000,"Low",IF(HR_Data5[[#This Row],[Salary]]&lt;=65000,"Medium","High"))</f>
        <v>High</v>
      </c>
      <c r="N870" s="10">
        <f>YEAR(HR_Data5[[#This Row],[Joining Date]])</f>
        <v>2019</v>
      </c>
      <c r="O870" s="10" cm="1">
        <f t="array" ref="O870">_xlfn.SWITCH(HR_Data5[[#This Row],[Performance Score]],
"A",5,
"B",4,
"C",3,
"D",2,
"F",1)</f>
        <v>3</v>
      </c>
      <c r="P870" s="10"/>
    </row>
    <row r="871" spans="1:16" x14ac:dyDescent="0.3">
      <c r="A871" t="s">
        <v>56</v>
      </c>
      <c r="B871">
        <v>30</v>
      </c>
      <c r="C871" s="6">
        <v>50000</v>
      </c>
      <c r="D871" t="s">
        <v>11</v>
      </c>
      <c r="E871" t="s">
        <v>12</v>
      </c>
      <c r="F871" t="s">
        <v>43</v>
      </c>
      <c r="G871" s="7">
        <v>43195</v>
      </c>
      <c r="H871" t="s">
        <v>41</v>
      </c>
      <c r="I871" t="s">
        <v>32</v>
      </c>
      <c r="J871" t="s">
        <v>69</v>
      </c>
      <c r="K871" t="str">
        <f>IF(HR_Data5[[#This Row],[Age]]&lt;30,"Young",IF(HR_Data5[[#This Row],[Age]]&lt;=45,"Mid-Career","Senior"))</f>
        <v>Mid-Career</v>
      </c>
      <c r="L871" s="10">
        <f ca="1">DATEDIF(HR_Data5[[#This Row],[Joining Date]],TODAY(),"Y")</f>
        <v>7</v>
      </c>
      <c r="M871" s="10" t="str">
        <f>IF(HR_Data5[[#This Row],[Salary]]&lt;55000,"Low",IF(HR_Data5[[#This Row],[Salary]]&lt;=65000,"Medium","High"))</f>
        <v>Low</v>
      </c>
      <c r="N871" s="10">
        <f>YEAR(HR_Data5[[#This Row],[Joining Date]])</f>
        <v>2018</v>
      </c>
      <c r="O871" s="10" cm="1">
        <f t="array" ref="O871">_xlfn.SWITCH(HR_Data5[[#This Row],[Performance Score]],
"A",5,
"B",4,
"C",3,
"D",2,
"F",1)</f>
        <v>4</v>
      </c>
      <c r="P871" s="10"/>
    </row>
    <row r="872" spans="1:16" x14ac:dyDescent="0.3">
      <c r="A872" t="s">
        <v>52</v>
      </c>
      <c r="B872">
        <v>36</v>
      </c>
      <c r="C872" s="6">
        <v>70000</v>
      </c>
      <c r="D872" t="s">
        <v>36</v>
      </c>
      <c r="E872" t="s">
        <v>37</v>
      </c>
      <c r="F872" t="s">
        <v>43</v>
      </c>
      <c r="G872" s="7">
        <v>43800</v>
      </c>
      <c r="H872" t="s">
        <v>41</v>
      </c>
      <c r="I872" t="s">
        <v>69</v>
      </c>
      <c r="J872" t="s">
        <v>69</v>
      </c>
      <c r="K872" t="str">
        <f>IF(HR_Data5[[#This Row],[Age]]&lt;30,"Young",IF(HR_Data5[[#This Row],[Age]]&lt;=45,"Mid-Career","Senior"))</f>
        <v>Mid-Career</v>
      </c>
      <c r="L872" s="10">
        <f ca="1">DATEDIF(HR_Data5[[#This Row],[Joining Date]],TODAY(),"Y")</f>
        <v>6</v>
      </c>
      <c r="M872" s="10" t="str">
        <f>IF(HR_Data5[[#This Row],[Salary]]&lt;55000,"Low",IF(HR_Data5[[#This Row],[Salary]]&lt;=65000,"Medium","High"))</f>
        <v>High</v>
      </c>
      <c r="N872" s="10">
        <f>YEAR(HR_Data5[[#This Row],[Joining Date]])</f>
        <v>2019</v>
      </c>
      <c r="O872" s="10" cm="1">
        <f t="array" ref="O872">_xlfn.SWITCH(HR_Data5[[#This Row],[Performance Score]],
"A",5,
"B",4,
"C",3,
"D",2,
"F",1)</f>
        <v>4</v>
      </c>
      <c r="P872" s="10"/>
    </row>
    <row r="873" spans="1:16" x14ac:dyDescent="0.3">
      <c r="A873" t="s">
        <v>59</v>
      </c>
      <c r="B873">
        <v>50</v>
      </c>
      <c r="C873" s="6">
        <v>55000</v>
      </c>
      <c r="D873" t="s">
        <v>11</v>
      </c>
      <c r="E873" t="s">
        <v>12</v>
      </c>
      <c r="F873" t="s">
        <v>20</v>
      </c>
      <c r="G873" s="7">
        <v>43881</v>
      </c>
      <c r="H873" t="s">
        <v>21</v>
      </c>
      <c r="I873" t="s">
        <v>22</v>
      </c>
      <c r="J873" t="s">
        <v>23</v>
      </c>
      <c r="K873" t="str">
        <f>IF(HR_Data5[[#This Row],[Age]]&lt;30,"Young",IF(HR_Data5[[#This Row],[Age]]&lt;=45,"Mid-Career","Senior"))</f>
        <v>Senior</v>
      </c>
      <c r="L873" s="10">
        <f ca="1">DATEDIF(HR_Data5[[#This Row],[Joining Date]],TODAY(),"Y")</f>
        <v>6</v>
      </c>
      <c r="M873" s="10" t="str">
        <f>IF(HR_Data5[[#This Row],[Salary]]&lt;55000,"Low",IF(HR_Data5[[#This Row],[Salary]]&lt;=65000,"Medium","High"))</f>
        <v>Medium</v>
      </c>
      <c r="N873" s="10">
        <f>YEAR(HR_Data5[[#This Row],[Joining Date]])</f>
        <v>2020</v>
      </c>
      <c r="O873" s="10" cm="1">
        <f t="array" ref="O873">_xlfn.SWITCH(HR_Data5[[#This Row],[Performance Score]],
"A",5,
"B",4,
"C",3,
"D",2,
"F",1)</f>
        <v>1</v>
      </c>
      <c r="P873" s="10"/>
    </row>
    <row r="874" spans="1:16" x14ac:dyDescent="0.3">
      <c r="A874" t="s">
        <v>52</v>
      </c>
      <c r="B874">
        <v>30</v>
      </c>
      <c r="C874" s="6">
        <v>70000</v>
      </c>
      <c r="D874" t="s">
        <v>18</v>
      </c>
      <c r="E874" t="s">
        <v>37</v>
      </c>
      <c r="F874" t="s">
        <v>39</v>
      </c>
      <c r="G874" s="7">
        <v>43195</v>
      </c>
      <c r="H874" t="s">
        <v>41</v>
      </c>
      <c r="I874" t="s">
        <v>32</v>
      </c>
      <c r="J874" t="s">
        <v>23</v>
      </c>
      <c r="K874" t="str">
        <f>IF(HR_Data5[[#This Row],[Age]]&lt;30,"Young",IF(HR_Data5[[#This Row],[Age]]&lt;=45,"Mid-Career","Senior"))</f>
        <v>Mid-Career</v>
      </c>
      <c r="L874" s="10">
        <f ca="1">DATEDIF(HR_Data5[[#This Row],[Joining Date]],TODAY(),"Y")</f>
        <v>7</v>
      </c>
      <c r="M874" s="10" t="str">
        <f>IF(HR_Data5[[#This Row],[Salary]]&lt;55000,"Low",IF(HR_Data5[[#This Row],[Salary]]&lt;=65000,"Medium","High"))</f>
        <v>High</v>
      </c>
      <c r="N874" s="10">
        <f>YEAR(HR_Data5[[#This Row],[Joining Date]])</f>
        <v>2018</v>
      </c>
      <c r="O874" s="10" cm="1">
        <f t="array" ref="O874">_xlfn.SWITCH(HR_Data5[[#This Row],[Performance Score]],
"A",5,
"B",4,
"C",3,
"D",2,
"F",1)</f>
        <v>4</v>
      </c>
      <c r="P874" s="10"/>
    </row>
    <row r="875" spans="1:16" x14ac:dyDescent="0.3">
      <c r="A875" t="s">
        <v>59</v>
      </c>
      <c r="B875">
        <v>36</v>
      </c>
      <c r="C875" s="6">
        <v>55000</v>
      </c>
      <c r="D875" t="s">
        <v>18</v>
      </c>
      <c r="E875" t="s">
        <v>30</v>
      </c>
      <c r="F875" t="s">
        <v>39</v>
      </c>
      <c r="G875" s="7">
        <v>43845</v>
      </c>
      <c r="H875" t="s">
        <v>21</v>
      </c>
      <c r="I875" t="s">
        <v>22</v>
      </c>
      <c r="J875" t="s">
        <v>69</v>
      </c>
      <c r="K875" t="str">
        <f>IF(HR_Data5[[#This Row],[Age]]&lt;30,"Young",IF(HR_Data5[[#This Row],[Age]]&lt;=45,"Mid-Career","Senior"))</f>
        <v>Mid-Career</v>
      </c>
      <c r="L875" s="10">
        <f ca="1">DATEDIF(HR_Data5[[#This Row],[Joining Date]],TODAY(),"Y")</f>
        <v>6</v>
      </c>
      <c r="M875" s="10" t="str">
        <f>IF(HR_Data5[[#This Row],[Salary]]&lt;55000,"Low",IF(HR_Data5[[#This Row],[Salary]]&lt;=65000,"Medium","High"))</f>
        <v>Medium</v>
      </c>
      <c r="N875" s="10">
        <f>YEAR(HR_Data5[[#This Row],[Joining Date]])</f>
        <v>2020</v>
      </c>
      <c r="O875" s="10" cm="1">
        <f t="array" ref="O875">_xlfn.SWITCH(HR_Data5[[#This Row],[Performance Score]],
"A",5,
"B",4,
"C",3,
"D",2,
"F",1)</f>
        <v>1</v>
      </c>
      <c r="P875" s="10"/>
    </row>
    <row r="876" spans="1:16" x14ac:dyDescent="0.3">
      <c r="A876" t="s">
        <v>59</v>
      </c>
      <c r="B876">
        <v>50</v>
      </c>
      <c r="C876" s="6">
        <v>70000</v>
      </c>
      <c r="D876" t="s">
        <v>18</v>
      </c>
      <c r="E876" t="s">
        <v>12</v>
      </c>
      <c r="F876" t="s">
        <v>39</v>
      </c>
      <c r="G876" s="7">
        <v>43549</v>
      </c>
      <c r="H876" t="s">
        <v>31</v>
      </c>
      <c r="I876" t="s">
        <v>69</v>
      </c>
      <c r="J876" t="s">
        <v>69</v>
      </c>
      <c r="K876" t="str">
        <f>IF(HR_Data5[[#This Row],[Age]]&lt;30,"Young",IF(HR_Data5[[#This Row],[Age]]&lt;=45,"Mid-Career","Senior"))</f>
        <v>Senior</v>
      </c>
      <c r="L876" s="10">
        <f ca="1">DATEDIF(HR_Data5[[#This Row],[Joining Date]],TODAY(),"Y")</f>
        <v>6</v>
      </c>
      <c r="M876" s="10" t="str">
        <f>IF(HR_Data5[[#This Row],[Salary]]&lt;55000,"Low",IF(HR_Data5[[#This Row],[Salary]]&lt;=65000,"Medium","High"))</f>
        <v>High</v>
      </c>
      <c r="N876" s="10">
        <f>YEAR(HR_Data5[[#This Row],[Joining Date]])</f>
        <v>2019</v>
      </c>
      <c r="O876" s="10" cm="1">
        <f t="array" ref="O876">_xlfn.SWITCH(HR_Data5[[#This Row],[Performance Score]],
"A",5,
"B",4,
"C",3,
"D",2,
"F",1)</f>
        <v>5</v>
      </c>
      <c r="P876" s="10"/>
    </row>
    <row r="877" spans="1:16" x14ac:dyDescent="0.3">
      <c r="A877" t="s">
        <v>55</v>
      </c>
      <c r="B877">
        <v>50</v>
      </c>
      <c r="C877" s="6">
        <v>60000</v>
      </c>
      <c r="D877" t="s">
        <v>11</v>
      </c>
      <c r="E877" t="s">
        <v>26</v>
      </c>
      <c r="F877" t="s">
        <v>43</v>
      </c>
      <c r="G877" s="7">
        <v>43881</v>
      </c>
      <c r="H877" t="s">
        <v>41</v>
      </c>
      <c r="I877" t="s">
        <v>22</v>
      </c>
      <c r="J877" t="s">
        <v>28</v>
      </c>
      <c r="K877" t="str">
        <f>IF(HR_Data5[[#This Row],[Age]]&lt;30,"Young",IF(HR_Data5[[#This Row],[Age]]&lt;=45,"Mid-Career","Senior"))</f>
        <v>Senior</v>
      </c>
      <c r="L877" s="10">
        <f ca="1">DATEDIF(HR_Data5[[#This Row],[Joining Date]],TODAY(),"Y")</f>
        <v>6</v>
      </c>
      <c r="M877" s="10" t="str">
        <f>IF(HR_Data5[[#This Row],[Salary]]&lt;55000,"Low",IF(HR_Data5[[#This Row],[Salary]]&lt;=65000,"Medium","High"))</f>
        <v>Medium</v>
      </c>
      <c r="N877" s="10">
        <f>YEAR(HR_Data5[[#This Row],[Joining Date]])</f>
        <v>2020</v>
      </c>
      <c r="O877" s="10" cm="1">
        <f t="array" ref="O877">_xlfn.SWITCH(HR_Data5[[#This Row],[Performance Score]],
"A",5,
"B",4,
"C",3,
"D",2,
"F",1)</f>
        <v>4</v>
      </c>
      <c r="P877" s="10"/>
    </row>
    <row r="878" spans="1:16" x14ac:dyDescent="0.3">
      <c r="A878" t="s">
        <v>57</v>
      </c>
      <c r="B878">
        <v>30</v>
      </c>
      <c r="C878" s="6">
        <v>55000</v>
      </c>
      <c r="D878" t="s">
        <v>36</v>
      </c>
      <c r="E878" t="s">
        <v>30</v>
      </c>
      <c r="F878" t="s">
        <v>20</v>
      </c>
      <c r="G878" s="7">
        <v>43881</v>
      </c>
      <c r="H878" t="s">
        <v>31</v>
      </c>
      <c r="I878" t="s">
        <v>22</v>
      </c>
      <c r="J878" t="s">
        <v>28</v>
      </c>
      <c r="K878" t="str">
        <f>IF(HR_Data5[[#This Row],[Age]]&lt;30,"Young",IF(HR_Data5[[#This Row],[Age]]&lt;=45,"Mid-Career","Senior"))</f>
        <v>Mid-Career</v>
      </c>
      <c r="L878" s="10">
        <f ca="1">DATEDIF(HR_Data5[[#This Row],[Joining Date]],TODAY(),"Y")</f>
        <v>6</v>
      </c>
      <c r="M878" s="10" t="str">
        <f>IF(HR_Data5[[#This Row],[Salary]]&lt;55000,"Low",IF(HR_Data5[[#This Row],[Salary]]&lt;=65000,"Medium","High"))</f>
        <v>Medium</v>
      </c>
      <c r="N878" s="10">
        <f>YEAR(HR_Data5[[#This Row],[Joining Date]])</f>
        <v>2020</v>
      </c>
      <c r="O878" s="10" cm="1">
        <f t="array" ref="O878">_xlfn.SWITCH(HR_Data5[[#This Row],[Performance Score]],
"A",5,
"B",4,
"C",3,
"D",2,
"F",1)</f>
        <v>5</v>
      </c>
      <c r="P878" s="10"/>
    </row>
    <row r="879" spans="1:16" x14ac:dyDescent="0.3">
      <c r="A879" t="s">
        <v>54</v>
      </c>
      <c r="B879">
        <v>40</v>
      </c>
      <c r="C879" s="6">
        <v>70000</v>
      </c>
      <c r="D879" t="s">
        <v>36</v>
      </c>
      <c r="E879" t="s">
        <v>37</v>
      </c>
      <c r="F879" t="s">
        <v>13</v>
      </c>
      <c r="G879" s="7">
        <v>43881</v>
      </c>
      <c r="H879" t="s">
        <v>31</v>
      </c>
      <c r="I879" t="s">
        <v>22</v>
      </c>
      <c r="J879" t="s">
        <v>23</v>
      </c>
      <c r="K879" t="str">
        <f>IF(HR_Data5[[#This Row],[Age]]&lt;30,"Young",IF(HR_Data5[[#This Row],[Age]]&lt;=45,"Mid-Career","Senior"))</f>
        <v>Mid-Career</v>
      </c>
      <c r="L879" s="10">
        <f ca="1">DATEDIF(HR_Data5[[#This Row],[Joining Date]],TODAY(),"Y")</f>
        <v>6</v>
      </c>
      <c r="M879" s="10" t="str">
        <f>IF(HR_Data5[[#This Row],[Salary]]&lt;55000,"Low",IF(HR_Data5[[#This Row],[Salary]]&lt;=65000,"Medium","High"))</f>
        <v>High</v>
      </c>
      <c r="N879" s="10">
        <f>YEAR(HR_Data5[[#This Row],[Joining Date]])</f>
        <v>2020</v>
      </c>
      <c r="O879" s="10" cm="1">
        <f t="array" ref="O879">_xlfn.SWITCH(HR_Data5[[#This Row],[Performance Score]],
"A",5,
"B",4,
"C",3,
"D",2,
"F",1)</f>
        <v>5</v>
      </c>
      <c r="P879" s="10"/>
    </row>
    <row r="880" spans="1:16" x14ac:dyDescent="0.3">
      <c r="A880" t="s">
        <v>52</v>
      </c>
      <c r="B880">
        <v>40</v>
      </c>
      <c r="C880" s="6">
        <v>50000</v>
      </c>
      <c r="D880" t="s">
        <v>11</v>
      </c>
      <c r="E880" t="s">
        <v>30</v>
      </c>
      <c r="F880" t="s">
        <v>44</v>
      </c>
      <c r="G880" s="7">
        <v>43195</v>
      </c>
      <c r="H880" t="s">
        <v>41</v>
      </c>
      <c r="I880" t="s">
        <v>32</v>
      </c>
      <c r="J880" t="s">
        <v>69</v>
      </c>
      <c r="K880" t="str">
        <f>IF(HR_Data5[[#This Row],[Age]]&lt;30,"Young",IF(HR_Data5[[#This Row],[Age]]&lt;=45,"Mid-Career","Senior"))</f>
        <v>Mid-Career</v>
      </c>
      <c r="L880" s="10">
        <f ca="1">DATEDIF(HR_Data5[[#This Row],[Joining Date]],TODAY(),"Y")</f>
        <v>7</v>
      </c>
      <c r="M880" s="10" t="str">
        <f>IF(HR_Data5[[#This Row],[Salary]]&lt;55000,"Low",IF(HR_Data5[[#This Row],[Salary]]&lt;=65000,"Medium","High"))</f>
        <v>Low</v>
      </c>
      <c r="N880" s="10">
        <f>YEAR(HR_Data5[[#This Row],[Joining Date]])</f>
        <v>2018</v>
      </c>
      <c r="O880" s="10" cm="1">
        <f t="array" ref="O880">_xlfn.SWITCH(HR_Data5[[#This Row],[Performance Score]],
"A",5,
"B",4,
"C",3,
"D",2,
"F",1)</f>
        <v>4</v>
      </c>
      <c r="P880" s="10"/>
    </row>
    <row r="881" spans="1:16" x14ac:dyDescent="0.3">
      <c r="A881" t="s">
        <v>56</v>
      </c>
      <c r="B881">
        <v>50</v>
      </c>
      <c r="C881" s="6">
        <v>60000</v>
      </c>
      <c r="D881" t="s">
        <v>18</v>
      </c>
      <c r="E881" t="s">
        <v>12</v>
      </c>
      <c r="F881" t="s">
        <v>13</v>
      </c>
      <c r="G881" s="7">
        <v>43845</v>
      </c>
      <c r="H881" t="s">
        <v>31</v>
      </c>
      <c r="I881" t="s">
        <v>15</v>
      </c>
      <c r="J881" t="s">
        <v>45</v>
      </c>
      <c r="K881" t="str">
        <f>IF(HR_Data5[[#This Row],[Age]]&lt;30,"Young",IF(HR_Data5[[#This Row],[Age]]&lt;=45,"Mid-Career","Senior"))</f>
        <v>Senior</v>
      </c>
      <c r="L881" s="10">
        <f ca="1">DATEDIF(HR_Data5[[#This Row],[Joining Date]],TODAY(),"Y")</f>
        <v>6</v>
      </c>
      <c r="M881" s="10" t="str">
        <f>IF(HR_Data5[[#This Row],[Salary]]&lt;55000,"Low",IF(HR_Data5[[#This Row],[Salary]]&lt;=65000,"Medium","High"))</f>
        <v>Medium</v>
      </c>
      <c r="N881" s="10">
        <f>YEAR(HR_Data5[[#This Row],[Joining Date]])</f>
        <v>2020</v>
      </c>
      <c r="O881" s="10" cm="1">
        <f t="array" ref="O881">_xlfn.SWITCH(HR_Data5[[#This Row],[Performance Score]],
"A",5,
"B",4,
"C",3,
"D",2,
"F",1)</f>
        <v>5</v>
      </c>
      <c r="P881" s="10"/>
    </row>
    <row r="882" spans="1:16" x14ac:dyDescent="0.3">
      <c r="A882" t="s">
        <v>59</v>
      </c>
      <c r="B882">
        <v>40</v>
      </c>
      <c r="C882" s="6">
        <v>60000</v>
      </c>
      <c r="D882" t="s">
        <v>36</v>
      </c>
      <c r="E882" t="s">
        <v>19</v>
      </c>
      <c r="F882" t="s">
        <v>43</v>
      </c>
      <c r="G882" s="7">
        <v>43800</v>
      </c>
      <c r="H882" t="s">
        <v>41</v>
      </c>
      <c r="I882" t="s">
        <v>69</v>
      </c>
      <c r="J882" t="s">
        <v>45</v>
      </c>
      <c r="K882" t="str">
        <f>IF(HR_Data5[[#This Row],[Age]]&lt;30,"Young",IF(HR_Data5[[#This Row],[Age]]&lt;=45,"Mid-Career","Senior"))</f>
        <v>Mid-Career</v>
      </c>
      <c r="L882" s="10">
        <f ca="1">DATEDIF(HR_Data5[[#This Row],[Joining Date]],TODAY(),"Y")</f>
        <v>6</v>
      </c>
      <c r="M882" s="10" t="str">
        <f>IF(HR_Data5[[#This Row],[Salary]]&lt;55000,"Low",IF(HR_Data5[[#This Row],[Salary]]&lt;=65000,"Medium","High"))</f>
        <v>Medium</v>
      </c>
      <c r="N882" s="10">
        <f>YEAR(HR_Data5[[#This Row],[Joining Date]])</f>
        <v>2019</v>
      </c>
      <c r="O882" s="10" cm="1">
        <f t="array" ref="O882">_xlfn.SWITCH(HR_Data5[[#This Row],[Performance Score]],
"A",5,
"B",4,
"C",3,
"D",2,
"F",1)</f>
        <v>4</v>
      </c>
      <c r="P882" s="10"/>
    </row>
    <row r="883" spans="1:16" x14ac:dyDescent="0.3">
      <c r="A883" t="s">
        <v>57</v>
      </c>
      <c r="B883">
        <v>25</v>
      </c>
      <c r="C883" s="6">
        <v>50000</v>
      </c>
      <c r="D883" t="s">
        <v>18</v>
      </c>
      <c r="E883" t="s">
        <v>19</v>
      </c>
      <c r="F883" t="s">
        <v>39</v>
      </c>
      <c r="G883" s="7">
        <v>43845</v>
      </c>
      <c r="H883" t="s">
        <v>41</v>
      </c>
      <c r="I883" t="s">
        <v>22</v>
      </c>
      <c r="J883" t="s">
        <v>28</v>
      </c>
      <c r="K883" t="str">
        <f>IF(HR_Data5[[#This Row],[Age]]&lt;30,"Young",IF(HR_Data5[[#This Row],[Age]]&lt;=45,"Mid-Career","Senior"))</f>
        <v>Young</v>
      </c>
      <c r="L883" s="10">
        <f ca="1">DATEDIF(HR_Data5[[#This Row],[Joining Date]],TODAY(),"Y")</f>
        <v>6</v>
      </c>
      <c r="M883" s="10" t="str">
        <f>IF(HR_Data5[[#This Row],[Salary]]&lt;55000,"Low",IF(HR_Data5[[#This Row],[Salary]]&lt;=65000,"Medium","High"))</f>
        <v>Low</v>
      </c>
      <c r="N883" s="10">
        <f>YEAR(HR_Data5[[#This Row],[Joining Date]])</f>
        <v>2020</v>
      </c>
      <c r="O883" s="10" cm="1">
        <f t="array" ref="O883">_xlfn.SWITCH(HR_Data5[[#This Row],[Performance Score]],
"A",5,
"B",4,
"C",3,
"D",2,
"F",1)</f>
        <v>4</v>
      </c>
      <c r="P883" s="10"/>
    </row>
    <row r="884" spans="1:16" x14ac:dyDescent="0.3">
      <c r="A884" t="s">
        <v>58</v>
      </c>
      <c r="B884">
        <v>50</v>
      </c>
      <c r="C884" s="6">
        <v>70000</v>
      </c>
      <c r="D884" t="s">
        <v>11</v>
      </c>
      <c r="E884" t="s">
        <v>37</v>
      </c>
      <c r="F884" t="s">
        <v>44</v>
      </c>
      <c r="G884" s="7">
        <v>43195</v>
      </c>
      <c r="H884" t="s">
        <v>41</v>
      </c>
      <c r="I884" t="s">
        <v>22</v>
      </c>
      <c r="J884" t="s">
        <v>69</v>
      </c>
      <c r="K884" t="str">
        <f>IF(HR_Data5[[#This Row],[Age]]&lt;30,"Young",IF(HR_Data5[[#This Row],[Age]]&lt;=45,"Mid-Career","Senior"))</f>
        <v>Senior</v>
      </c>
      <c r="L884" s="10">
        <f ca="1">DATEDIF(HR_Data5[[#This Row],[Joining Date]],TODAY(),"Y")</f>
        <v>7</v>
      </c>
      <c r="M884" s="10" t="str">
        <f>IF(HR_Data5[[#This Row],[Salary]]&lt;55000,"Low",IF(HR_Data5[[#This Row],[Salary]]&lt;=65000,"Medium","High"))</f>
        <v>High</v>
      </c>
      <c r="N884" s="10">
        <f>YEAR(HR_Data5[[#This Row],[Joining Date]])</f>
        <v>2018</v>
      </c>
      <c r="O884" s="10" cm="1">
        <f t="array" ref="O884">_xlfn.SWITCH(HR_Data5[[#This Row],[Performance Score]],
"A",5,
"B",4,
"C",3,
"D",2,
"F",1)</f>
        <v>4</v>
      </c>
      <c r="P884" s="10"/>
    </row>
    <row r="885" spans="1:16" x14ac:dyDescent="0.3">
      <c r="A885" t="s">
        <v>53</v>
      </c>
      <c r="B885">
        <v>50</v>
      </c>
      <c r="C885" s="6">
        <v>65000</v>
      </c>
      <c r="D885" t="s">
        <v>18</v>
      </c>
      <c r="E885" t="s">
        <v>37</v>
      </c>
      <c r="F885" t="s">
        <v>43</v>
      </c>
      <c r="G885" s="7">
        <v>43881</v>
      </c>
      <c r="H885" t="s">
        <v>27</v>
      </c>
      <c r="I885" t="s">
        <v>22</v>
      </c>
      <c r="J885" t="s">
        <v>28</v>
      </c>
      <c r="K885" t="str">
        <f>IF(HR_Data5[[#This Row],[Age]]&lt;30,"Young",IF(HR_Data5[[#This Row],[Age]]&lt;=45,"Mid-Career","Senior"))</f>
        <v>Senior</v>
      </c>
      <c r="L885" s="10">
        <f ca="1">DATEDIF(HR_Data5[[#This Row],[Joining Date]],TODAY(),"Y")</f>
        <v>6</v>
      </c>
      <c r="M885" s="10" t="str">
        <f>IF(HR_Data5[[#This Row],[Salary]]&lt;55000,"Low",IF(HR_Data5[[#This Row],[Salary]]&lt;=65000,"Medium","High"))</f>
        <v>Medium</v>
      </c>
      <c r="N885" s="10">
        <f>YEAR(HR_Data5[[#This Row],[Joining Date]])</f>
        <v>2020</v>
      </c>
      <c r="O885" s="10" cm="1">
        <f t="array" ref="O885">_xlfn.SWITCH(HR_Data5[[#This Row],[Performance Score]],
"A",5,
"B",4,
"C",3,
"D",2,
"F",1)</f>
        <v>3</v>
      </c>
      <c r="P885" s="10"/>
    </row>
    <row r="886" spans="1:16" x14ac:dyDescent="0.3">
      <c r="A886" t="s">
        <v>55</v>
      </c>
      <c r="B886">
        <v>36</v>
      </c>
      <c r="C886" s="6">
        <v>50000</v>
      </c>
      <c r="D886" t="s">
        <v>36</v>
      </c>
      <c r="E886" t="s">
        <v>19</v>
      </c>
      <c r="F886" t="s">
        <v>43</v>
      </c>
      <c r="G886" s="7">
        <v>43549</v>
      </c>
      <c r="H886" t="s">
        <v>31</v>
      </c>
      <c r="I886" t="s">
        <v>15</v>
      </c>
      <c r="J886" t="s">
        <v>23</v>
      </c>
      <c r="K886" t="str">
        <f>IF(HR_Data5[[#This Row],[Age]]&lt;30,"Young",IF(HR_Data5[[#This Row],[Age]]&lt;=45,"Mid-Career","Senior"))</f>
        <v>Mid-Career</v>
      </c>
      <c r="L886" s="10">
        <f ca="1">DATEDIF(HR_Data5[[#This Row],[Joining Date]],TODAY(),"Y")</f>
        <v>6</v>
      </c>
      <c r="M886" s="10" t="str">
        <f>IF(HR_Data5[[#This Row],[Salary]]&lt;55000,"Low",IF(HR_Data5[[#This Row],[Salary]]&lt;=65000,"Medium","High"))</f>
        <v>Low</v>
      </c>
      <c r="N886" s="10">
        <f>YEAR(HR_Data5[[#This Row],[Joining Date]])</f>
        <v>2019</v>
      </c>
      <c r="O886" s="10" cm="1">
        <f t="array" ref="O886">_xlfn.SWITCH(HR_Data5[[#This Row],[Performance Score]],
"A",5,
"B",4,
"C",3,
"D",2,
"F",1)</f>
        <v>5</v>
      </c>
      <c r="P886" s="10"/>
    </row>
    <row r="887" spans="1:16" x14ac:dyDescent="0.3">
      <c r="A887" t="s">
        <v>54</v>
      </c>
      <c r="B887">
        <v>40</v>
      </c>
      <c r="C887" s="6">
        <v>70000</v>
      </c>
      <c r="D887" t="s">
        <v>36</v>
      </c>
      <c r="E887" t="s">
        <v>37</v>
      </c>
      <c r="F887" t="s">
        <v>43</v>
      </c>
      <c r="G887" s="7">
        <v>43881</v>
      </c>
      <c r="H887" t="s">
        <v>14</v>
      </c>
      <c r="I887" t="s">
        <v>69</v>
      </c>
      <c r="J887" t="s">
        <v>69</v>
      </c>
      <c r="K887" t="str">
        <f>IF(HR_Data5[[#This Row],[Age]]&lt;30,"Young",IF(HR_Data5[[#This Row],[Age]]&lt;=45,"Mid-Career","Senior"))</f>
        <v>Mid-Career</v>
      </c>
      <c r="L887" s="10">
        <f ca="1">DATEDIF(HR_Data5[[#This Row],[Joining Date]],TODAY(),"Y")</f>
        <v>6</v>
      </c>
      <c r="M887" s="10" t="str">
        <f>IF(HR_Data5[[#This Row],[Salary]]&lt;55000,"Low",IF(HR_Data5[[#This Row],[Salary]]&lt;=65000,"Medium","High"))</f>
        <v>High</v>
      </c>
      <c r="N887" s="10">
        <f>YEAR(HR_Data5[[#This Row],[Joining Date]])</f>
        <v>2020</v>
      </c>
      <c r="O887" s="10" cm="1">
        <f t="array" ref="O887">_xlfn.SWITCH(HR_Data5[[#This Row],[Performance Score]],
"A",5,
"B",4,
"C",3,
"D",2,
"F",1)</f>
        <v>2</v>
      </c>
      <c r="P887" s="10"/>
    </row>
    <row r="888" spans="1:16" x14ac:dyDescent="0.3">
      <c r="A888" t="s">
        <v>51</v>
      </c>
      <c r="B888">
        <v>50</v>
      </c>
      <c r="C888" s="6">
        <v>50000</v>
      </c>
      <c r="D888" t="s">
        <v>18</v>
      </c>
      <c r="E888" t="s">
        <v>30</v>
      </c>
      <c r="F888" t="s">
        <v>44</v>
      </c>
      <c r="G888" s="7">
        <v>43800</v>
      </c>
      <c r="H888" t="s">
        <v>41</v>
      </c>
      <c r="I888" t="s">
        <v>32</v>
      </c>
      <c r="J888" t="s">
        <v>45</v>
      </c>
      <c r="K888" t="str">
        <f>IF(HR_Data5[[#This Row],[Age]]&lt;30,"Young",IF(HR_Data5[[#This Row],[Age]]&lt;=45,"Mid-Career","Senior"))</f>
        <v>Senior</v>
      </c>
      <c r="L888" s="10">
        <f ca="1">DATEDIF(HR_Data5[[#This Row],[Joining Date]],TODAY(),"Y")</f>
        <v>6</v>
      </c>
      <c r="M888" s="10" t="str">
        <f>IF(HR_Data5[[#This Row],[Salary]]&lt;55000,"Low",IF(HR_Data5[[#This Row],[Salary]]&lt;=65000,"Medium","High"))</f>
        <v>Low</v>
      </c>
      <c r="N888" s="10">
        <f>YEAR(HR_Data5[[#This Row],[Joining Date]])</f>
        <v>2019</v>
      </c>
      <c r="O888" s="10" cm="1">
        <f t="array" ref="O888">_xlfn.SWITCH(HR_Data5[[#This Row],[Performance Score]],
"A",5,
"B",4,
"C",3,
"D",2,
"F",1)</f>
        <v>4</v>
      </c>
      <c r="P888" s="10"/>
    </row>
    <row r="889" spans="1:16" x14ac:dyDescent="0.3">
      <c r="A889" t="s">
        <v>55</v>
      </c>
      <c r="B889">
        <v>25</v>
      </c>
      <c r="C889" s="6">
        <v>50000</v>
      </c>
      <c r="D889" t="s">
        <v>11</v>
      </c>
      <c r="E889" t="s">
        <v>26</v>
      </c>
      <c r="F889" t="s">
        <v>44</v>
      </c>
      <c r="G889" s="7">
        <v>43549</v>
      </c>
      <c r="H889" t="s">
        <v>31</v>
      </c>
      <c r="I889" t="s">
        <v>15</v>
      </c>
      <c r="J889" t="s">
        <v>69</v>
      </c>
      <c r="K889" t="str">
        <f>IF(HR_Data5[[#This Row],[Age]]&lt;30,"Young",IF(HR_Data5[[#This Row],[Age]]&lt;=45,"Mid-Career","Senior"))</f>
        <v>Young</v>
      </c>
      <c r="L889" s="10">
        <f ca="1">DATEDIF(HR_Data5[[#This Row],[Joining Date]],TODAY(),"Y")</f>
        <v>6</v>
      </c>
      <c r="M889" s="10" t="str">
        <f>IF(HR_Data5[[#This Row],[Salary]]&lt;55000,"Low",IF(HR_Data5[[#This Row],[Salary]]&lt;=65000,"Medium","High"))</f>
        <v>Low</v>
      </c>
      <c r="N889" s="10">
        <f>YEAR(HR_Data5[[#This Row],[Joining Date]])</f>
        <v>2019</v>
      </c>
      <c r="O889" s="10" cm="1">
        <f t="array" ref="O889">_xlfn.SWITCH(HR_Data5[[#This Row],[Performance Score]],
"A",5,
"B",4,
"C",3,
"D",2,
"F",1)</f>
        <v>5</v>
      </c>
      <c r="P889" s="10"/>
    </row>
    <row r="890" spans="1:16" x14ac:dyDescent="0.3">
      <c r="A890" t="s">
        <v>58</v>
      </c>
      <c r="B890">
        <v>36</v>
      </c>
      <c r="C890" s="6">
        <v>55000</v>
      </c>
      <c r="D890" t="s">
        <v>18</v>
      </c>
      <c r="E890" t="s">
        <v>26</v>
      </c>
      <c r="F890" t="s">
        <v>20</v>
      </c>
      <c r="G890" s="7">
        <v>43881</v>
      </c>
      <c r="H890" t="s">
        <v>21</v>
      </c>
      <c r="I890" t="s">
        <v>22</v>
      </c>
      <c r="J890" t="s">
        <v>69</v>
      </c>
      <c r="K890" t="str">
        <f>IF(HR_Data5[[#This Row],[Age]]&lt;30,"Young",IF(HR_Data5[[#This Row],[Age]]&lt;=45,"Mid-Career","Senior"))</f>
        <v>Mid-Career</v>
      </c>
      <c r="L890" s="10">
        <f ca="1">DATEDIF(HR_Data5[[#This Row],[Joining Date]],TODAY(),"Y")</f>
        <v>6</v>
      </c>
      <c r="M890" s="10" t="str">
        <f>IF(HR_Data5[[#This Row],[Salary]]&lt;55000,"Low",IF(HR_Data5[[#This Row],[Salary]]&lt;=65000,"Medium","High"))</f>
        <v>Medium</v>
      </c>
      <c r="N890" s="10">
        <f>YEAR(HR_Data5[[#This Row],[Joining Date]])</f>
        <v>2020</v>
      </c>
      <c r="O890" s="10" cm="1">
        <f t="array" ref="O890">_xlfn.SWITCH(HR_Data5[[#This Row],[Performance Score]],
"A",5,
"B",4,
"C",3,
"D",2,
"F",1)</f>
        <v>1</v>
      </c>
      <c r="P890" s="10"/>
    </row>
    <row r="891" spans="1:16" x14ac:dyDescent="0.3">
      <c r="A891" t="s">
        <v>53</v>
      </c>
      <c r="B891">
        <v>30</v>
      </c>
      <c r="C891" s="6">
        <v>70000</v>
      </c>
      <c r="D891" t="s">
        <v>11</v>
      </c>
      <c r="E891" t="s">
        <v>30</v>
      </c>
      <c r="F891" t="s">
        <v>20</v>
      </c>
      <c r="G891" s="7">
        <v>43549</v>
      </c>
      <c r="H891" t="s">
        <v>41</v>
      </c>
      <c r="I891" t="s">
        <v>15</v>
      </c>
      <c r="J891" t="s">
        <v>23</v>
      </c>
      <c r="K891" t="str">
        <f>IF(HR_Data5[[#This Row],[Age]]&lt;30,"Young",IF(HR_Data5[[#This Row],[Age]]&lt;=45,"Mid-Career","Senior"))</f>
        <v>Mid-Career</v>
      </c>
      <c r="L891" s="10">
        <f ca="1">DATEDIF(HR_Data5[[#This Row],[Joining Date]],TODAY(),"Y")</f>
        <v>6</v>
      </c>
      <c r="M891" s="10" t="str">
        <f>IF(HR_Data5[[#This Row],[Salary]]&lt;55000,"Low",IF(HR_Data5[[#This Row],[Salary]]&lt;=65000,"Medium","High"))</f>
        <v>High</v>
      </c>
      <c r="N891" s="10">
        <f>YEAR(HR_Data5[[#This Row],[Joining Date]])</f>
        <v>2019</v>
      </c>
      <c r="O891" s="10" cm="1">
        <f t="array" ref="O891">_xlfn.SWITCH(HR_Data5[[#This Row],[Performance Score]],
"A",5,
"B",4,
"C",3,
"D",2,
"F",1)</f>
        <v>4</v>
      </c>
      <c r="P891" s="10"/>
    </row>
    <row r="892" spans="1:16" x14ac:dyDescent="0.3">
      <c r="A892" t="s">
        <v>58</v>
      </c>
      <c r="B892">
        <v>50</v>
      </c>
      <c r="C892" s="6">
        <v>65000</v>
      </c>
      <c r="D892" t="s">
        <v>18</v>
      </c>
      <c r="E892" t="s">
        <v>26</v>
      </c>
      <c r="F892" t="s">
        <v>13</v>
      </c>
      <c r="G892" s="7">
        <v>43845</v>
      </c>
      <c r="H892" t="s">
        <v>41</v>
      </c>
      <c r="I892" t="s">
        <v>15</v>
      </c>
      <c r="J892" t="s">
        <v>28</v>
      </c>
      <c r="K892" t="str">
        <f>IF(HR_Data5[[#This Row],[Age]]&lt;30,"Young",IF(HR_Data5[[#This Row],[Age]]&lt;=45,"Mid-Career","Senior"))</f>
        <v>Senior</v>
      </c>
      <c r="L892" s="10">
        <f ca="1">DATEDIF(HR_Data5[[#This Row],[Joining Date]],TODAY(),"Y")</f>
        <v>6</v>
      </c>
      <c r="M892" s="10" t="str">
        <f>IF(HR_Data5[[#This Row],[Salary]]&lt;55000,"Low",IF(HR_Data5[[#This Row],[Salary]]&lt;=65000,"Medium","High"))</f>
        <v>Medium</v>
      </c>
      <c r="N892" s="10">
        <f>YEAR(HR_Data5[[#This Row],[Joining Date]])</f>
        <v>2020</v>
      </c>
      <c r="O892" s="10" cm="1">
        <f t="array" ref="O892">_xlfn.SWITCH(HR_Data5[[#This Row],[Performance Score]],
"A",5,
"B",4,
"C",3,
"D",2,
"F",1)</f>
        <v>4</v>
      </c>
      <c r="P892" s="10"/>
    </row>
    <row r="893" spans="1:16" x14ac:dyDescent="0.3">
      <c r="A893" t="s">
        <v>52</v>
      </c>
      <c r="B893">
        <v>25</v>
      </c>
      <c r="C893" s="6">
        <v>55000</v>
      </c>
      <c r="D893" t="s">
        <v>36</v>
      </c>
      <c r="E893" t="s">
        <v>12</v>
      </c>
      <c r="F893" t="s">
        <v>44</v>
      </c>
      <c r="G893" s="7">
        <v>43195</v>
      </c>
      <c r="H893" t="s">
        <v>14</v>
      </c>
      <c r="I893" t="s">
        <v>15</v>
      </c>
      <c r="J893" t="s">
        <v>23</v>
      </c>
      <c r="K893" t="str">
        <f>IF(HR_Data5[[#This Row],[Age]]&lt;30,"Young",IF(HR_Data5[[#This Row],[Age]]&lt;=45,"Mid-Career","Senior"))</f>
        <v>Young</v>
      </c>
      <c r="L893" s="10">
        <f ca="1">DATEDIF(HR_Data5[[#This Row],[Joining Date]],TODAY(),"Y")</f>
        <v>7</v>
      </c>
      <c r="M893" s="10" t="str">
        <f>IF(HR_Data5[[#This Row],[Salary]]&lt;55000,"Low",IF(HR_Data5[[#This Row],[Salary]]&lt;=65000,"Medium","High"))</f>
        <v>Medium</v>
      </c>
      <c r="N893" s="10">
        <f>YEAR(HR_Data5[[#This Row],[Joining Date]])</f>
        <v>2018</v>
      </c>
      <c r="O893" s="10" cm="1">
        <f t="array" ref="O893">_xlfn.SWITCH(HR_Data5[[#This Row],[Performance Score]],
"A",5,
"B",4,
"C",3,
"D",2,
"F",1)</f>
        <v>2</v>
      </c>
      <c r="P893" s="10"/>
    </row>
    <row r="894" spans="1:16" x14ac:dyDescent="0.3">
      <c r="A894" t="s">
        <v>59</v>
      </c>
      <c r="B894">
        <v>35</v>
      </c>
      <c r="C894" s="6">
        <v>50000</v>
      </c>
      <c r="D894" t="s">
        <v>11</v>
      </c>
      <c r="E894" t="s">
        <v>30</v>
      </c>
      <c r="F894" t="s">
        <v>44</v>
      </c>
      <c r="G894" s="7">
        <v>43881</v>
      </c>
      <c r="H894" t="s">
        <v>27</v>
      </c>
      <c r="I894" t="s">
        <v>69</v>
      </c>
      <c r="J894" t="s">
        <v>69</v>
      </c>
      <c r="K894" t="str">
        <f>IF(HR_Data5[[#This Row],[Age]]&lt;30,"Young",IF(HR_Data5[[#This Row],[Age]]&lt;=45,"Mid-Career","Senior"))</f>
        <v>Mid-Career</v>
      </c>
      <c r="L894" s="10">
        <f ca="1">DATEDIF(HR_Data5[[#This Row],[Joining Date]],TODAY(),"Y")</f>
        <v>6</v>
      </c>
      <c r="M894" s="10" t="str">
        <f>IF(HR_Data5[[#This Row],[Salary]]&lt;55000,"Low",IF(HR_Data5[[#This Row],[Salary]]&lt;=65000,"Medium","High"))</f>
        <v>Low</v>
      </c>
      <c r="N894" s="10">
        <f>YEAR(HR_Data5[[#This Row],[Joining Date]])</f>
        <v>2020</v>
      </c>
      <c r="O894" s="10" cm="1">
        <f t="array" ref="O894">_xlfn.SWITCH(HR_Data5[[#This Row],[Performance Score]],
"A",5,
"B",4,
"C",3,
"D",2,
"F",1)</f>
        <v>3</v>
      </c>
      <c r="P894" s="10"/>
    </row>
    <row r="895" spans="1:16" x14ac:dyDescent="0.3">
      <c r="A895" t="s">
        <v>54</v>
      </c>
      <c r="B895">
        <v>25</v>
      </c>
      <c r="C895" s="6" t="s">
        <v>68</v>
      </c>
      <c r="D895" t="s">
        <v>11</v>
      </c>
      <c r="E895" t="s">
        <v>37</v>
      </c>
      <c r="F895" t="s">
        <v>44</v>
      </c>
      <c r="G895" s="7">
        <v>43800</v>
      </c>
      <c r="H895" t="s">
        <v>27</v>
      </c>
      <c r="I895" t="s">
        <v>69</v>
      </c>
      <c r="J895" t="s">
        <v>45</v>
      </c>
      <c r="K895" t="str">
        <f>IF(HR_Data5[[#This Row],[Age]]&lt;30,"Young",IF(HR_Data5[[#This Row],[Age]]&lt;=45,"Mid-Career","Senior"))</f>
        <v>Young</v>
      </c>
      <c r="L895" s="10">
        <f ca="1">DATEDIF(HR_Data5[[#This Row],[Joining Date]],TODAY(),"Y")</f>
        <v>6</v>
      </c>
      <c r="M895" s="10" t="str">
        <f>IF(HR_Data5[[#This Row],[Salary]]&lt;55000,"Low",IF(HR_Data5[[#This Row],[Salary]]&lt;=65000,"Medium","High"))</f>
        <v>High</v>
      </c>
      <c r="N895" s="10">
        <f>YEAR(HR_Data5[[#This Row],[Joining Date]])</f>
        <v>2019</v>
      </c>
      <c r="O895" s="10" cm="1">
        <f t="array" ref="O895">_xlfn.SWITCH(HR_Data5[[#This Row],[Performance Score]],
"A",5,
"B",4,
"C",3,
"D",2,
"F",1)</f>
        <v>3</v>
      </c>
      <c r="P895" s="10"/>
    </row>
    <row r="896" spans="1:16" x14ac:dyDescent="0.3">
      <c r="A896" t="s">
        <v>60</v>
      </c>
      <c r="B896">
        <v>25</v>
      </c>
      <c r="C896" s="6">
        <v>50000</v>
      </c>
      <c r="D896" t="s">
        <v>11</v>
      </c>
      <c r="E896" t="s">
        <v>30</v>
      </c>
      <c r="F896" t="s">
        <v>20</v>
      </c>
      <c r="G896" s="7">
        <v>43845</v>
      </c>
      <c r="H896" t="s">
        <v>41</v>
      </c>
      <c r="I896" t="s">
        <v>32</v>
      </c>
      <c r="J896" t="s">
        <v>69</v>
      </c>
      <c r="K896" t="str">
        <f>IF(HR_Data5[[#This Row],[Age]]&lt;30,"Young",IF(HR_Data5[[#This Row],[Age]]&lt;=45,"Mid-Career","Senior"))</f>
        <v>Young</v>
      </c>
      <c r="L896" s="10">
        <f ca="1">DATEDIF(HR_Data5[[#This Row],[Joining Date]],TODAY(),"Y")</f>
        <v>6</v>
      </c>
      <c r="M896" s="10" t="str">
        <f>IF(HR_Data5[[#This Row],[Salary]]&lt;55000,"Low",IF(HR_Data5[[#This Row],[Salary]]&lt;=65000,"Medium","High"))</f>
        <v>Low</v>
      </c>
      <c r="N896" s="10">
        <f>YEAR(HR_Data5[[#This Row],[Joining Date]])</f>
        <v>2020</v>
      </c>
      <c r="O896" s="10" cm="1">
        <f t="array" ref="O896">_xlfn.SWITCH(HR_Data5[[#This Row],[Performance Score]],
"A",5,
"B",4,
"C",3,
"D",2,
"F",1)</f>
        <v>4</v>
      </c>
      <c r="P896" s="10"/>
    </row>
    <row r="897" spans="1:16" x14ac:dyDescent="0.3">
      <c r="A897" t="s">
        <v>59</v>
      </c>
      <c r="B897">
        <v>36</v>
      </c>
      <c r="C897" s="6">
        <v>50000</v>
      </c>
      <c r="D897" t="s">
        <v>36</v>
      </c>
      <c r="E897" t="s">
        <v>19</v>
      </c>
      <c r="F897" t="s">
        <v>43</v>
      </c>
      <c r="G897" s="7">
        <v>43881</v>
      </c>
      <c r="H897" t="s">
        <v>31</v>
      </c>
      <c r="I897" t="s">
        <v>69</v>
      </c>
      <c r="J897" t="s">
        <v>69</v>
      </c>
      <c r="K897" t="str">
        <f>IF(HR_Data5[[#This Row],[Age]]&lt;30,"Young",IF(HR_Data5[[#This Row],[Age]]&lt;=45,"Mid-Career","Senior"))</f>
        <v>Mid-Career</v>
      </c>
      <c r="L897" s="10">
        <f ca="1">DATEDIF(HR_Data5[[#This Row],[Joining Date]],TODAY(),"Y")</f>
        <v>6</v>
      </c>
      <c r="M897" s="10" t="str">
        <f>IF(HR_Data5[[#This Row],[Salary]]&lt;55000,"Low",IF(HR_Data5[[#This Row],[Salary]]&lt;=65000,"Medium","High"))</f>
        <v>Low</v>
      </c>
      <c r="N897" s="10">
        <f>YEAR(HR_Data5[[#This Row],[Joining Date]])</f>
        <v>2020</v>
      </c>
      <c r="O897" s="10" cm="1">
        <f t="array" ref="O897">_xlfn.SWITCH(HR_Data5[[#This Row],[Performance Score]],
"A",5,
"B",4,
"C",3,
"D",2,
"F",1)</f>
        <v>5</v>
      </c>
      <c r="P897" s="10"/>
    </row>
    <row r="898" spans="1:16" x14ac:dyDescent="0.3">
      <c r="A898" t="s">
        <v>60</v>
      </c>
      <c r="B898">
        <v>30</v>
      </c>
      <c r="C898" s="6">
        <v>70000</v>
      </c>
      <c r="D898" t="s">
        <v>18</v>
      </c>
      <c r="E898" t="s">
        <v>37</v>
      </c>
      <c r="F898" t="s">
        <v>39</v>
      </c>
      <c r="G898" s="7">
        <v>43845</v>
      </c>
      <c r="H898" t="s">
        <v>21</v>
      </c>
      <c r="I898" t="s">
        <v>69</v>
      </c>
      <c r="J898" t="s">
        <v>69</v>
      </c>
      <c r="K898" t="str">
        <f>IF(HR_Data5[[#This Row],[Age]]&lt;30,"Young",IF(HR_Data5[[#This Row],[Age]]&lt;=45,"Mid-Career","Senior"))</f>
        <v>Mid-Career</v>
      </c>
      <c r="L898" s="10">
        <f ca="1">DATEDIF(HR_Data5[[#This Row],[Joining Date]],TODAY(),"Y")</f>
        <v>6</v>
      </c>
      <c r="M898" s="10" t="str">
        <f>IF(HR_Data5[[#This Row],[Salary]]&lt;55000,"Low",IF(HR_Data5[[#This Row],[Salary]]&lt;=65000,"Medium","High"))</f>
        <v>High</v>
      </c>
      <c r="N898" s="10">
        <f>YEAR(HR_Data5[[#This Row],[Joining Date]])</f>
        <v>2020</v>
      </c>
      <c r="O898" s="10" cm="1">
        <f t="array" ref="O898">_xlfn.SWITCH(HR_Data5[[#This Row],[Performance Score]],
"A",5,
"B",4,
"C",3,
"D",2,
"F",1)</f>
        <v>1</v>
      </c>
      <c r="P898" s="10"/>
    </row>
    <row r="899" spans="1:16" x14ac:dyDescent="0.3">
      <c r="A899" t="s">
        <v>53</v>
      </c>
      <c r="B899">
        <v>35</v>
      </c>
      <c r="C899" s="6">
        <v>70000</v>
      </c>
      <c r="D899" t="s">
        <v>36</v>
      </c>
      <c r="E899" t="s">
        <v>19</v>
      </c>
      <c r="F899" t="s">
        <v>20</v>
      </c>
      <c r="G899" s="7">
        <v>43800</v>
      </c>
      <c r="H899" t="s">
        <v>21</v>
      </c>
      <c r="I899" t="s">
        <v>69</v>
      </c>
      <c r="J899" t="s">
        <v>69</v>
      </c>
      <c r="K899" t="str">
        <f>IF(HR_Data5[[#This Row],[Age]]&lt;30,"Young",IF(HR_Data5[[#This Row],[Age]]&lt;=45,"Mid-Career","Senior"))</f>
        <v>Mid-Career</v>
      </c>
      <c r="L899" s="10">
        <f ca="1">DATEDIF(HR_Data5[[#This Row],[Joining Date]],TODAY(),"Y")</f>
        <v>6</v>
      </c>
      <c r="M899" s="10" t="str">
        <f>IF(HR_Data5[[#This Row],[Salary]]&lt;55000,"Low",IF(HR_Data5[[#This Row],[Salary]]&lt;=65000,"Medium","High"))</f>
        <v>High</v>
      </c>
      <c r="N899" s="10">
        <f>YEAR(HR_Data5[[#This Row],[Joining Date]])</f>
        <v>2019</v>
      </c>
      <c r="O899" s="10" cm="1">
        <f t="array" ref="O899">_xlfn.SWITCH(HR_Data5[[#This Row],[Performance Score]],
"A",5,
"B",4,
"C",3,
"D",2,
"F",1)</f>
        <v>1</v>
      </c>
      <c r="P899" s="10"/>
    </row>
    <row r="900" spans="1:16" x14ac:dyDescent="0.3">
      <c r="A900" t="s">
        <v>57</v>
      </c>
      <c r="B900">
        <v>40</v>
      </c>
      <c r="C900" s="6">
        <v>55000</v>
      </c>
      <c r="D900" t="s">
        <v>11</v>
      </c>
      <c r="E900" t="s">
        <v>37</v>
      </c>
      <c r="F900" t="s">
        <v>44</v>
      </c>
      <c r="G900" s="7">
        <v>43881</v>
      </c>
      <c r="H900" t="s">
        <v>31</v>
      </c>
      <c r="I900" t="s">
        <v>69</v>
      </c>
      <c r="J900" t="s">
        <v>69</v>
      </c>
      <c r="K900" t="str">
        <f>IF(HR_Data5[[#This Row],[Age]]&lt;30,"Young",IF(HR_Data5[[#This Row],[Age]]&lt;=45,"Mid-Career","Senior"))</f>
        <v>Mid-Career</v>
      </c>
      <c r="L900" s="10">
        <f ca="1">DATEDIF(HR_Data5[[#This Row],[Joining Date]],TODAY(),"Y")</f>
        <v>6</v>
      </c>
      <c r="M900" s="10" t="str">
        <f>IF(HR_Data5[[#This Row],[Salary]]&lt;55000,"Low",IF(HR_Data5[[#This Row],[Salary]]&lt;=65000,"Medium","High"))</f>
        <v>Medium</v>
      </c>
      <c r="N900" s="10">
        <f>YEAR(HR_Data5[[#This Row],[Joining Date]])</f>
        <v>2020</v>
      </c>
      <c r="O900" s="10" cm="1">
        <f t="array" ref="O900">_xlfn.SWITCH(HR_Data5[[#This Row],[Performance Score]],
"A",5,
"B",4,
"C",3,
"D",2,
"F",1)</f>
        <v>5</v>
      </c>
      <c r="P900" s="10"/>
    </row>
    <row r="901" spans="1:16" x14ac:dyDescent="0.3">
      <c r="A901" t="s">
        <v>51</v>
      </c>
      <c r="B901">
        <v>40</v>
      </c>
      <c r="C901" s="6">
        <v>65000</v>
      </c>
      <c r="D901" t="s">
        <v>18</v>
      </c>
      <c r="E901" t="s">
        <v>26</v>
      </c>
      <c r="F901" t="s">
        <v>20</v>
      </c>
      <c r="G901" s="7">
        <v>43800</v>
      </c>
      <c r="H901" t="s">
        <v>41</v>
      </c>
      <c r="I901" t="s">
        <v>15</v>
      </c>
      <c r="J901" t="s">
        <v>28</v>
      </c>
      <c r="K901" t="str">
        <f>IF(HR_Data5[[#This Row],[Age]]&lt;30,"Young",IF(HR_Data5[[#This Row],[Age]]&lt;=45,"Mid-Career","Senior"))</f>
        <v>Mid-Career</v>
      </c>
      <c r="L901" s="10">
        <f ca="1">DATEDIF(HR_Data5[[#This Row],[Joining Date]],TODAY(),"Y")</f>
        <v>6</v>
      </c>
      <c r="M901" s="10" t="str">
        <f>IF(HR_Data5[[#This Row],[Salary]]&lt;55000,"Low",IF(HR_Data5[[#This Row],[Salary]]&lt;=65000,"Medium","High"))</f>
        <v>Medium</v>
      </c>
      <c r="N901" s="10">
        <f>YEAR(HR_Data5[[#This Row],[Joining Date]])</f>
        <v>2019</v>
      </c>
      <c r="O901" s="10" cm="1">
        <f t="array" ref="O901">_xlfn.SWITCH(HR_Data5[[#This Row],[Performance Score]],
"A",5,
"B",4,
"C",3,
"D",2,
"F",1)</f>
        <v>4</v>
      </c>
      <c r="P901" s="10"/>
    </row>
    <row r="902" spans="1:16" x14ac:dyDescent="0.3">
      <c r="A902" t="s">
        <v>56</v>
      </c>
      <c r="B902">
        <v>25</v>
      </c>
      <c r="C902" s="6">
        <v>55000</v>
      </c>
      <c r="D902" t="s">
        <v>36</v>
      </c>
      <c r="E902" t="s">
        <v>30</v>
      </c>
      <c r="F902" t="s">
        <v>13</v>
      </c>
      <c r="G902" s="7">
        <v>43549</v>
      </c>
      <c r="H902" t="s">
        <v>21</v>
      </c>
      <c r="I902" t="s">
        <v>15</v>
      </c>
      <c r="J902" t="s">
        <v>69</v>
      </c>
      <c r="K902" t="str">
        <f>IF(HR_Data5[[#This Row],[Age]]&lt;30,"Young",IF(HR_Data5[[#This Row],[Age]]&lt;=45,"Mid-Career","Senior"))</f>
        <v>Young</v>
      </c>
      <c r="L902" s="10">
        <f ca="1">DATEDIF(HR_Data5[[#This Row],[Joining Date]],TODAY(),"Y")</f>
        <v>6</v>
      </c>
      <c r="M902" s="10" t="str">
        <f>IF(HR_Data5[[#This Row],[Salary]]&lt;55000,"Low",IF(HR_Data5[[#This Row],[Salary]]&lt;=65000,"Medium","High"))</f>
        <v>Medium</v>
      </c>
      <c r="N902" s="10">
        <f>YEAR(HR_Data5[[#This Row],[Joining Date]])</f>
        <v>2019</v>
      </c>
      <c r="O902" s="10" cm="1">
        <f t="array" ref="O902">_xlfn.SWITCH(HR_Data5[[#This Row],[Performance Score]],
"A",5,
"B",4,
"C",3,
"D",2,
"F",1)</f>
        <v>1</v>
      </c>
      <c r="P902" s="10"/>
    </row>
    <row r="903" spans="1:16" x14ac:dyDescent="0.3">
      <c r="A903" t="s">
        <v>59</v>
      </c>
      <c r="B903">
        <v>36</v>
      </c>
      <c r="C903" s="6">
        <v>60000</v>
      </c>
      <c r="D903" t="s">
        <v>11</v>
      </c>
      <c r="E903" t="s">
        <v>12</v>
      </c>
      <c r="F903" t="s">
        <v>44</v>
      </c>
      <c r="G903" s="7">
        <v>43800</v>
      </c>
      <c r="H903" t="s">
        <v>27</v>
      </c>
      <c r="I903" t="s">
        <v>22</v>
      </c>
      <c r="J903" t="s">
        <v>23</v>
      </c>
      <c r="K903" t="str">
        <f>IF(HR_Data5[[#This Row],[Age]]&lt;30,"Young",IF(HR_Data5[[#This Row],[Age]]&lt;=45,"Mid-Career","Senior"))</f>
        <v>Mid-Career</v>
      </c>
      <c r="L903" s="10">
        <f ca="1">DATEDIF(HR_Data5[[#This Row],[Joining Date]],TODAY(),"Y")</f>
        <v>6</v>
      </c>
      <c r="M903" s="10" t="str">
        <f>IF(HR_Data5[[#This Row],[Salary]]&lt;55000,"Low",IF(HR_Data5[[#This Row],[Salary]]&lt;=65000,"Medium","High"))</f>
        <v>Medium</v>
      </c>
      <c r="N903" s="10">
        <f>YEAR(HR_Data5[[#This Row],[Joining Date]])</f>
        <v>2019</v>
      </c>
      <c r="O903" s="10" cm="1">
        <f t="array" ref="O903">_xlfn.SWITCH(HR_Data5[[#This Row],[Performance Score]],
"A",5,
"B",4,
"C",3,
"D",2,
"F",1)</f>
        <v>3</v>
      </c>
      <c r="P903" s="10"/>
    </row>
    <row r="904" spans="1:16" x14ac:dyDescent="0.3">
      <c r="A904" t="s">
        <v>54</v>
      </c>
      <c r="B904">
        <v>36</v>
      </c>
      <c r="C904" s="6">
        <v>50000</v>
      </c>
      <c r="D904" t="s">
        <v>11</v>
      </c>
      <c r="E904" t="s">
        <v>37</v>
      </c>
      <c r="F904" t="s">
        <v>13</v>
      </c>
      <c r="G904" s="7">
        <v>43549</v>
      </c>
      <c r="H904" t="s">
        <v>31</v>
      </c>
      <c r="I904" t="s">
        <v>69</v>
      </c>
      <c r="J904" t="s">
        <v>69</v>
      </c>
      <c r="K904" t="str">
        <f>IF(HR_Data5[[#This Row],[Age]]&lt;30,"Young",IF(HR_Data5[[#This Row],[Age]]&lt;=45,"Mid-Career","Senior"))</f>
        <v>Mid-Career</v>
      </c>
      <c r="L904" s="10">
        <f ca="1">DATEDIF(HR_Data5[[#This Row],[Joining Date]],TODAY(),"Y")</f>
        <v>6</v>
      </c>
      <c r="M904" s="10" t="str">
        <f>IF(HR_Data5[[#This Row],[Salary]]&lt;55000,"Low",IF(HR_Data5[[#This Row],[Salary]]&lt;=65000,"Medium","High"))</f>
        <v>Low</v>
      </c>
      <c r="N904" s="10">
        <f>YEAR(HR_Data5[[#This Row],[Joining Date]])</f>
        <v>2019</v>
      </c>
      <c r="O904" s="10" cm="1">
        <f t="array" ref="O904">_xlfn.SWITCH(HR_Data5[[#This Row],[Performance Score]],
"A",5,
"B",4,
"C",3,
"D",2,
"F",1)</f>
        <v>5</v>
      </c>
      <c r="P904" s="10"/>
    </row>
    <row r="905" spans="1:16" x14ac:dyDescent="0.3">
      <c r="A905" t="s">
        <v>58</v>
      </c>
      <c r="B905">
        <v>40</v>
      </c>
      <c r="C905" s="6" t="s">
        <v>68</v>
      </c>
      <c r="D905" t="s">
        <v>36</v>
      </c>
      <c r="E905" t="s">
        <v>37</v>
      </c>
      <c r="F905" t="s">
        <v>44</v>
      </c>
      <c r="G905" s="7">
        <v>43881</v>
      </c>
      <c r="H905" t="s">
        <v>14</v>
      </c>
      <c r="I905" t="s">
        <v>22</v>
      </c>
      <c r="J905" t="s">
        <v>23</v>
      </c>
      <c r="K905" t="str">
        <f>IF(HR_Data5[[#This Row],[Age]]&lt;30,"Young",IF(HR_Data5[[#This Row],[Age]]&lt;=45,"Mid-Career","Senior"))</f>
        <v>Mid-Career</v>
      </c>
      <c r="L905" s="10">
        <f ca="1">DATEDIF(HR_Data5[[#This Row],[Joining Date]],TODAY(),"Y")</f>
        <v>6</v>
      </c>
      <c r="M905" s="10" t="str">
        <f>IF(HR_Data5[[#This Row],[Salary]]&lt;55000,"Low",IF(HR_Data5[[#This Row],[Salary]]&lt;=65000,"Medium","High"))</f>
        <v>High</v>
      </c>
      <c r="N905" s="10">
        <f>YEAR(HR_Data5[[#This Row],[Joining Date]])</f>
        <v>2020</v>
      </c>
      <c r="O905" s="10" cm="1">
        <f t="array" ref="O905">_xlfn.SWITCH(HR_Data5[[#This Row],[Performance Score]],
"A",5,
"B",4,
"C",3,
"D",2,
"F",1)</f>
        <v>2</v>
      </c>
      <c r="P905" s="10"/>
    </row>
    <row r="906" spans="1:16" x14ac:dyDescent="0.3">
      <c r="A906" t="s">
        <v>54</v>
      </c>
      <c r="B906">
        <v>35</v>
      </c>
      <c r="C906" s="6">
        <v>50000</v>
      </c>
      <c r="D906" t="s">
        <v>36</v>
      </c>
      <c r="E906" t="s">
        <v>19</v>
      </c>
      <c r="F906" t="s">
        <v>20</v>
      </c>
      <c r="G906" s="7">
        <v>43549</v>
      </c>
      <c r="H906" t="s">
        <v>41</v>
      </c>
      <c r="I906" t="s">
        <v>32</v>
      </c>
      <c r="J906" t="s">
        <v>69</v>
      </c>
      <c r="K906" t="str">
        <f>IF(HR_Data5[[#This Row],[Age]]&lt;30,"Young",IF(HR_Data5[[#This Row],[Age]]&lt;=45,"Mid-Career","Senior"))</f>
        <v>Mid-Career</v>
      </c>
      <c r="L906" s="10">
        <f ca="1">DATEDIF(HR_Data5[[#This Row],[Joining Date]],TODAY(),"Y")</f>
        <v>6</v>
      </c>
      <c r="M906" s="10" t="str">
        <f>IF(HR_Data5[[#This Row],[Salary]]&lt;55000,"Low",IF(HR_Data5[[#This Row],[Salary]]&lt;=65000,"Medium","High"))</f>
        <v>Low</v>
      </c>
      <c r="N906" s="10">
        <f>YEAR(HR_Data5[[#This Row],[Joining Date]])</f>
        <v>2019</v>
      </c>
      <c r="O906" s="10" cm="1">
        <f t="array" ref="O906">_xlfn.SWITCH(HR_Data5[[#This Row],[Performance Score]],
"A",5,
"B",4,
"C",3,
"D",2,
"F",1)</f>
        <v>4</v>
      </c>
      <c r="P906" s="10"/>
    </row>
    <row r="907" spans="1:16" x14ac:dyDescent="0.3">
      <c r="A907" t="s">
        <v>53</v>
      </c>
      <c r="B907">
        <v>30</v>
      </c>
      <c r="C907" s="6">
        <v>50000</v>
      </c>
      <c r="D907" t="s">
        <v>36</v>
      </c>
      <c r="E907" t="s">
        <v>26</v>
      </c>
      <c r="F907" t="s">
        <v>43</v>
      </c>
      <c r="G907" s="7">
        <v>43881</v>
      </c>
      <c r="H907" t="s">
        <v>31</v>
      </c>
      <c r="I907" t="s">
        <v>15</v>
      </c>
      <c r="J907" t="s">
        <v>69</v>
      </c>
      <c r="K907" t="str">
        <f>IF(HR_Data5[[#This Row],[Age]]&lt;30,"Young",IF(HR_Data5[[#This Row],[Age]]&lt;=45,"Mid-Career","Senior"))</f>
        <v>Mid-Career</v>
      </c>
      <c r="L907" s="10">
        <f ca="1">DATEDIF(HR_Data5[[#This Row],[Joining Date]],TODAY(),"Y")</f>
        <v>6</v>
      </c>
      <c r="M907" s="10" t="str">
        <f>IF(HR_Data5[[#This Row],[Salary]]&lt;55000,"Low",IF(HR_Data5[[#This Row],[Salary]]&lt;=65000,"Medium","High"))</f>
        <v>Low</v>
      </c>
      <c r="N907" s="10">
        <f>YEAR(HR_Data5[[#This Row],[Joining Date]])</f>
        <v>2020</v>
      </c>
      <c r="O907" s="10" cm="1">
        <f t="array" ref="O907">_xlfn.SWITCH(HR_Data5[[#This Row],[Performance Score]],
"A",5,
"B",4,
"C",3,
"D",2,
"F",1)</f>
        <v>5</v>
      </c>
      <c r="P907" s="10"/>
    </row>
    <row r="908" spans="1:16" x14ac:dyDescent="0.3">
      <c r="A908" t="s">
        <v>60</v>
      </c>
      <c r="B908">
        <v>35</v>
      </c>
      <c r="C908" s="6">
        <v>55000</v>
      </c>
      <c r="D908" t="s">
        <v>11</v>
      </c>
      <c r="E908" t="s">
        <v>19</v>
      </c>
      <c r="F908" t="s">
        <v>39</v>
      </c>
      <c r="G908" s="7">
        <v>43881</v>
      </c>
      <c r="H908" t="s">
        <v>21</v>
      </c>
      <c r="I908" t="s">
        <v>32</v>
      </c>
      <c r="J908" t="s">
        <v>69</v>
      </c>
      <c r="K908" t="str">
        <f>IF(HR_Data5[[#This Row],[Age]]&lt;30,"Young",IF(HR_Data5[[#This Row],[Age]]&lt;=45,"Mid-Career","Senior"))</f>
        <v>Mid-Career</v>
      </c>
      <c r="L908" s="10">
        <f ca="1">DATEDIF(HR_Data5[[#This Row],[Joining Date]],TODAY(),"Y")</f>
        <v>6</v>
      </c>
      <c r="M908" s="10" t="str">
        <f>IF(HR_Data5[[#This Row],[Salary]]&lt;55000,"Low",IF(HR_Data5[[#This Row],[Salary]]&lt;=65000,"Medium","High"))</f>
        <v>Medium</v>
      </c>
      <c r="N908" s="10">
        <f>YEAR(HR_Data5[[#This Row],[Joining Date]])</f>
        <v>2020</v>
      </c>
      <c r="O908" s="10" cm="1">
        <f t="array" ref="O908">_xlfn.SWITCH(HR_Data5[[#This Row],[Performance Score]],
"A",5,
"B",4,
"C",3,
"D",2,
"F",1)</f>
        <v>1</v>
      </c>
      <c r="P908" s="10"/>
    </row>
    <row r="909" spans="1:16" x14ac:dyDescent="0.3">
      <c r="A909" t="s">
        <v>58</v>
      </c>
      <c r="B909">
        <v>50</v>
      </c>
      <c r="C909" s="6" t="s">
        <v>68</v>
      </c>
      <c r="D909" t="s">
        <v>36</v>
      </c>
      <c r="E909" t="s">
        <v>19</v>
      </c>
      <c r="F909" t="s">
        <v>13</v>
      </c>
      <c r="G909" s="7">
        <v>43195</v>
      </c>
      <c r="H909" t="s">
        <v>41</v>
      </c>
      <c r="I909" t="s">
        <v>69</v>
      </c>
      <c r="J909" t="s">
        <v>69</v>
      </c>
      <c r="K909" t="str">
        <f>IF(HR_Data5[[#This Row],[Age]]&lt;30,"Young",IF(HR_Data5[[#This Row],[Age]]&lt;=45,"Mid-Career","Senior"))</f>
        <v>Senior</v>
      </c>
      <c r="L909" s="10">
        <f ca="1">DATEDIF(HR_Data5[[#This Row],[Joining Date]],TODAY(),"Y")</f>
        <v>7</v>
      </c>
      <c r="M909" s="10" t="str">
        <f>IF(HR_Data5[[#This Row],[Salary]]&lt;55000,"Low",IF(HR_Data5[[#This Row],[Salary]]&lt;=65000,"Medium","High"))</f>
        <v>High</v>
      </c>
      <c r="N909" s="10">
        <f>YEAR(HR_Data5[[#This Row],[Joining Date]])</f>
        <v>2018</v>
      </c>
      <c r="O909" s="10" cm="1">
        <f t="array" ref="O909">_xlfn.SWITCH(HR_Data5[[#This Row],[Performance Score]],
"A",5,
"B",4,
"C",3,
"D",2,
"F",1)</f>
        <v>4</v>
      </c>
      <c r="P909" s="10"/>
    </row>
    <row r="910" spans="1:16" x14ac:dyDescent="0.3">
      <c r="A910" t="s">
        <v>56</v>
      </c>
      <c r="B910">
        <v>50</v>
      </c>
      <c r="C910" s="6" t="s">
        <v>68</v>
      </c>
      <c r="D910" t="s">
        <v>11</v>
      </c>
      <c r="E910" t="s">
        <v>26</v>
      </c>
      <c r="F910" t="s">
        <v>20</v>
      </c>
      <c r="G910" s="7">
        <v>43881</v>
      </c>
      <c r="H910" t="s">
        <v>27</v>
      </c>
      <c r="I910" t="s">
        <v>15</v>
      </c>
      <c r="J910" t="s">
        <v>28</v>
      </c>
      <c r="K910" t="str">
        <f>IF(HR_Data5[[#This Row],[Age]]&lt;30,"Young",IF(HR_Data5[[#This Row],[Age]]&lt;=45,"Mid-Career","Senior"))</f>
        <v>Senior</v>
      </c>
      <c r="L910" s="10">
        <f ca="1">DATEDIF(HR_Data5[[#This Row],[Joining Date]],TODAY(),"Y")</f>
        <v>6</v>
      </c>
      <c r="M910" s="10" t="str">
        <f>IF(HR_Data5[[#This Row],[Salary]]&lt;55000,"Low",IF(HR_Data5[[#This Row],[Salary]]&lt;=65000,"Medium","High"))</f>
        <v>High</v>
      </c>
      <c r="N910" s="10">
        <f>YEAR(HR_Data5[[#This Row],[Joining Date]])</f>
        <v>2020</v>
      </c>
      <c r="O910" s="10" cm="1">
        <f t="array" ref="O910">_xlfn.SWITCH(HR_Data5[[#This Row],[Performance Score]],
"A",5,
"B",4,
"C",3,
"D",2,
"F",1)</f>
        <v>3</v>
      </c>
      <c r="P910" s="10"/>
    </row>
    <row r="911" spans="1:16" x14ac:dyDescent="0.3">
      <c r="A911" t="s">
        <v>56</v>
      </c>
      <c r="B911">
        <v>30</v>
      </c>
      <c r="C911" s="6" t="s">
        <v>68</v>
      </c>
      <c r="D911" t="s">
        <v>36</v>
      </c>
      <c r="E911" t="s">
        <v>12</v>
      </c>
      <c r="F911" t="s">
        <v>43</v>
      </c>
      <c r="G911" s="7">
        <v>43549</v>
      </c>
      <c r="H911" t="s">
        <v>41</v>
      </c>
      <c r="I911" t="s">
        <v>32</v>
      </c>
      <c r="J911" t="s">
        <v>69</v>
      </c>
      <c r="K911" t="str">
        <f>IF(HR_Data5[[#This Row],[Age]]&lt;30,"Young",IF(HR_Data5[[#This Row],[Age]]&lt;=45,"Mid-Career","Senior"))</f>
        <v>Mid-Career</v>
      </c>
      <c r="L911" s="10">
        <f ca="1">DATEDIF(HR_Data5[[#This Row],[Joining Date]],TODAY(),"Y")</f>
        <v>6</v>
      </c>
      <c r="M911" s="10" t="str">
        <f>IF(HR_Data5[[#This Row],[Salary]]&lt;55000,"Low",IF(HR_Data5[[#This Row],[Salary]]&lt;=65000,"Medium","High"))</f>
        <v>High</v>
      </c>
      <c r="N911" s="10">
        <f>YEAR(HR_Data5[[#This Row],[Joining Date]])</f>
        <v>2019</v>
      </c>
      <c r="O911" s="10" cm="1">
        <f t="array" ref="O911">_xlfn.SWITCH(HR_Data5[[#This Row],[Performance Score]],
"A",5,
"B",4,
"C",3,
"D",2,
"F",1)</f>
        <v>4</v>
      </c>
      <c r="P911" s="10"/>
    </row>
    <row r="912" spans="1:16" x14ac:dyDescent="0.3">
      <c r="A912" t="s">
        <v>59</v>
      </c>
      <c r="B912">
        <v>40</v>
      </c>
      <c r="C912" s="6">
        <v>55000</v>
      </c>
      <c r="D912" t="s">
        <v>11</v>
      </c>
      <c r="E912" t="s">
        <v>19</v>
      </c>
      <c r="F912" t="s">
        <v>20</v>
      </c>
      <c r="G912" s="7">
        <v>43195</v>
      </c>
      <c r="H912" t="s">
        <v>41</v>
      </c>
      <c r="I912" t="s">
        <v>69</v>
      </c>
      <c r="J912" t="s">
        <v>23</v>
      </c>
      <c r="K912" t="str">
        <f>IF(HR_Data5[[#This Row],[Age]]&lt;30,"Young",IF(HR_Data5[[#This Row],[Age]]&lt;=45,"Mid-Career","Senior"))</f>
        <v>Mid-Career</v>
      </c>
      <c r="L912" s="10">
        <f ca="1">DATEDIF(HR_Data5[[#This Row],[Joining Date]],TODAY(),"Y")</f>
        <v>7</v>
      </c>
      <c r="M912" s="10" t="str">
        <f>IF(HR_Data5[[#This Row],[Salary]]&lt;55000,"Low",IF(HR_Data5[[#This Row],[Salary]]&lt;=65000,"Medium","High"))</f>
        <v>Medium</v>
      </c>
      <c r="N912" s="10">
        <f>YEAR(HR_Data5[[#This Row],[Joining Date]])</f>
        <v>2018</v>
      </c>
      <c r="O912" s="10" cm="1">
        <f t="array" ref="O912">_xlfn.SWITCH(HR_Data5[[#This Row],[Performance Score]],
"A",5,
"B",4,
"C",3,
"D",2,
"F",1)</f>
        <v>4</v>
      </c>
      <c r="P912" s="10"/>
    </row>
    <row r="913" spans="1:16" x14ac:dyDescent="0.3">
      <c r="A913" t="s">
        <v>53</v>
      </c>
      <c r="B913">
        <v>30</v>
      </c>
      <c r="C913" s="6">
        <v>50000</v>
      </c>
      <c r="D913" t="s">
        <v>11</v>
      </c>
      <c r="E913" t="s">
        <v>19</v>
      </c>
      <c r="F913" t="s">
        <v>13</v>
      </c>
      <c r="G913" s="7">
        <v>43195</v>
      </c>
      <c r="H913" t="s">
        <v>27</v>
      </c>
      <c r="I913" t="s">
        <v>32</v>
      </c>
      <c r="J913" t="s">
        <v>23</v>
      </c>
      <c r="K913" t="str">
        <f>IF(HR_Data5[[#This Row],[Age]]&lt;30,"Young",IF(HR_Data5[[#This Row],[Age]]&lt;=45,"Mid-Career","Senior"))</f>
        <v>Mid-Career</v>
      </c>
      <c r="L913" s="10">
        <f ca="1">DATEDIF(HR_Data5[[#This Row],[Joining Date]],TODAY(),"Y")</f>
        <v>7</v>
      </c>
      <c r="M913" s="10" t="str">
        <f>IF(HR_Data5[[#This Row],[Salary]]&lt;55000,"Low",IF(HR_Data5[[#This Row],[Salary]]&lt;=65000,"Medium","High"))</f>
        <v>Low</v>
      </c>
      <c r="N913" s="10">
        <f>YEAR(HR_Data5[[#This Row],[Joining Date]])</f>
        <v>2018</v>
      </c>
      <c r="O913" s="10" cm="1">
        <f t="array" ref="O913">_xlfn.SWITCH(HR_Data5[[#This Row],[Performance Score]],
"A",5,
"B",4,
"C",3,
"D",2,
"F",1)</f>
        <v>3</v>
      </c>
      <c r="P913" s="10"/>
    </row>
    <row r="914" spans="1:16" x14ac:dyDescent="0.3">
      <c r="A914" t="s">
        <v>57</v>
      </c>
      <c r="B914">
        <v>36</v>
      </c>
      <c r="C914" s="6">
        <v>55000</v>
      </c>
      <c r="D914" t="s">
        <v>18</v>
      </c>
      <c r="E914" t="s">
        <v>37</v>
      </c>
      <c r="F914" t="s">
        <v>39</v>
      </c>
      <c r="G914" s="7">
        <v>43881</v>
      </c>
      <c r="H914" t="s">
        <v>27</v>
      </c>
      <c r="I914" t="s">
        <v>69</v>
      </c>
      <c r="J914" t="s">
        <v>69</v>
      </c>
      <c r="K914" t="str">
        <f>IF(HR_Data5[[#This Row],[Age]]&lt;30,"Young",IF(HR_Data5[[#This Row],[Age]]&lt;=45,"Mid-Career","Senior"))</f>
        <v>Mid-Career</v>
      </c>
      <c r="L914" s="10">
        <f ca="1">DATEDIF(HR_Data5[[#This Row],[Joining Date]],TODAY(),"Y")</f>
        <v>6</v>
      </c>
      <c r="M914" s="10" t="str">
        <f>IF(HR_Data5[[#This Row],[Salary]]&lt;55000,"Low",IF(HR_Data5[[#This Row],[Salary]]&lt;=65000,"Medium","High"))</f>
        <v>Medium</v>
      </c>
      <c r="N914" s="10">
        <f>YEAR(HR_Data5[[#This Row],[Joining Date]])</f>
        <v>2020</v>
      </c>
      <c r="O914" s="10" cm="1">
        <f t="array" ref="O914">_xlfn.SWITCH(HR_Data5[[#This Row],[Performance Score]],
"A",5,
"B",4,
"C",3,
"D",2,
"F",1)</f>
        <v>3</v>
      </c>
      <c r="P914" s="10"/>
    </row>
    <row r="915" spans="1:16" x14ac:dyDescent="0.3">
      <c r="A915" t="s">
        <v>53</v>
      </c>
      <c r="B915">
        <v>50</v>
      </c>
      <c r="C915" s="6">
        <v>70000</v>
      </c>
      <c r="D915" t="s">
        <v>36</v>
      </c>
      <c r="E915" t="s">
        <v>26</v>
      </c>
      <c r="F915" t="s">
        <v>20</v>
      </c>
      <c r="G915" s="7">
        <v>43800</v>
      </c>
      <c r="H915" t="s">
        <v>41</v>
      </c>
      <c r="I915" t="s">
        <v>69</v>
      </c>
      <c r="J915" t="s">
        <v>28</v>
      </c>
      <c r="K915" t="str">
        <f>IF(HR_Data5[[#This Row],[Age]]&lt;30,"Young",IF(HR_Data5[[#This Row],[Age]]&lt;=45,"Mid-Career","Senior"))</f>
        <v>Senior</v>
      </c>
      <c r="L915" s="10">
        <f ca="1">DATEDIF(HR_Data5[[#This Row],[Joining Date]],TODAY(),"Y")</f>
        <v>6</v>
      </c>
      <c r="M915" s="10" t="str">
        <f>IF(HR_Data5[[#This Row],[Salary]]&lt;55000,"Low",IF(HR_Data5[[#This Row],[Salary]]&lt;=65000,"Medium","High"))</f>
        <v>High</v>
      </c>
      <c r="N915" s="10">
        <f>YEAR(HR_Data5[[#This Row],[Joining Date]])</f>
        <v>2019</v>
      </c>
      <c r="O915" s="10" cm="1">
        <f t="array" ref="O915">_xlfn.SWITCH(HR_Data5[[#This Row],[Performance Score]],
"A",5,
"B",4,
"C",3,
"D",2,
"F",1)</f>
        <v>4</v>
      </c>
      <c r="P915" s="10"/>
    </row>
    <row r="916" spans="1:16" x14ac:dyDescent="0.3">
      <c r="A916" t="s">
        <v>60</v>
      </c>
      <c r="B916">
        <v>25</v>
      </c>
      <c r="C916" s="6">
        <v>70000</v>
      </c>
      <c r="D916" t="s">
        <v>36</v>
      </c>
      <c r="E916" t="s">
        <v>30</v>
      </c>
      <c r="F916" t="s">
        <v>44</v>
      </c>
      <c r="G916" s="7">
        <v>43800</v>
      </c>
      <c r="H916" t="s">
        <v>27</v>
      </c>
      <c r="I916" t="s">
        <v>15</v>
      </c>
      <c r="J916" t="s">
        <v>28</v>
      </c>
      <c r="K916" t="str">
        <f>IF(HR_Data5[[#This Row],[Age]]&lt;30,"Young",IF(HR_Data5[[#This Row],[Age]]&lt;=45,"Mid-Career","Senior"))</f>
        <v>Young</v>
      </c>
      <c r="L916" s="10">
        <f ca="1">DATEDIF(HR_Data5[[#This Row],[Joining Date]],TODAY(),"Y")</f>
        <v>6</v>
      </c>
      <c r="M916" s="10" t="str">
        <f>IF(HR_Data5[[#This Row],[Salary]]&lt;55000,"Low",IF(HR_Data5[[#This Row],[Salary]]&lt;=65000,"Medium","High"))</f>
        <v>High</v>
      </c>
      <c r="N916" s="10">
        <f>YEAR(HR_Data5[[#This Row],[Joining Date]])</f>
        <v>2019</v>
      </c>
      <c r="O916" s="10" cm="1">
        <f t="array" ref="O916">_xlfn.SWITCH(HR_Data5[[#This Row],[Performance Score]],
"A",5,
"B",4,
"C",3,
"D",2,
"F",1)</f>
        <v>3</v>
      </c>
      <c r="P916" s="10"/>
    </row>
    <row r="917" spans="1:16" x14ac:dyDescent="0.3">
      <c r="A917" t="s">
        <v>54</v>
      </c>
      <c r="B917">
        <v>25</v>
      </c>
      <c r="C917" s="6">
        <v>55000</v>
      </c>
      <c r="D917" t="s">
        <v>11</v>
      </c>
      <c r="E917" t="s">
        <v>12</v>
      </c>
      <c r="F917" t="s">
        <v>43</v>
      </c>
      <c r="G917" s="7">
        <v>43195</v>
      </c>
      <c r="H917" t="s">
        <v>31</v>
      </c>
      <c r="I917" t="s">
        <v>22</v>
      </c>
      <c r="J917" t="s">
        <v>28</v>
      </c>
      <c r="K917" t="str">
        <f>IF(HR_Data5[[#This Row],[Age]]&lt;30,"Young",IF(HR_Data5[[#This Row],[Age]]&lt;=45,"Mid-Career","Senior"))</f>
        <v>Young</v>
      </c>
      <c r="L917" s="10">
        <f ca="1">DATEDIF(HR_Data5[[#This Row],[Joining Date]],TODAY(),"Y")</f>
        <v>7</v>
      </c>
      <c r="M917" s="10" t="str">
        <f>IF(HR_Data5[[#This Row],[Salary]]&lt;55000,"Low",IF(HR_Data5[[#This Row],[Salary]]&lt;=65000,"Medium","High"))</f>
        <v>Medium</v>
      </c>
      <c r="N917" s="10">
        <f>YEAR(HR_Data5[[#This Row],[Joining Date]])</f>
        <v>2018</v>
      </c>
      <c r="O917" s="10" cm="1">
        <f t="array" ref="O917">_xlfn.SWITCH(HR_Data5[[#This Row],[Performance Score]],
"A",5,
"B",4,
"C",3,
"D",2,
"F",1)</f>
        <v>5</v>
      </c>
      <c r="P917" s="10"/>
    </row>
    <row r="918" spans="1:16" x14ac:dyDescent="0.3">
      <c r="A918" t="s">
        <v>56</v>
      </c>
      <c r="B918">
        <v>40</v>
      </c>
      <c r="C918" s="6" t="s">
        <v>68</v>
      </c>
      <c r="D918" t="s">
        <v>11</v>
      </c>
      <c r="E918" t="s">
        <v>12</v>
      </c>
      <c r="F918" t="s">
        <v>20</v>
      </c>
      <c r="G918" s="7">
        <v>43881</v>
      </c>
      <c r="H918" t="s">
        <v>27</v>
      </c>
      <c r="I918" t="s">
        <v>69</v>
      </c>
      <c r="J918" t="s">
        <v>23</v>
      </c>
      <c r="K918" t="str">
        <f>IF(HR_Data5[[#This Row],[Age]]&lt;30,"Young",IF(HR_Data5[[#This Row],[Age]]&lt;=45,"Mid-Career","Senior"))</f>
        <v>Mid-Career</v>
      </c>
      <c r="L918" s="10">
        <f ca="1">DATEDIF(HR_Data5[[#This Row],[Joining Date]],TODAY(),"Y")</f>
        <v>6</v>
      </c>
      <c r="M918" s="10" t="str">
        <f>IF(HR_Data5[[#This Row],[Salary]]&lt;55000,"Low",IF(HR_Data5[[#This Row],[Salary]]&lt;=65000,"Medium","High"))</f>
        <v>High</v>
      </c>
      <c r="N918" s="10">
        <f>YEAR(HR_Data5[[#This Row],[Joining Date]])</f>
        <v>2020</v>
      </c>
      <c r="O918" s="10" cm="1">
        <f t="array" ref="O918">_xlfn.SWITCH(HR_Data5[[#This Row],[Performance Score]],
"A",5,
"B",4,
"C",3,
"D",2,
"F",1)</f>
        <v>3</v>
      </c>
      <c r="P918" s="10"/>
    </row>
    <row r="919" spans="1:16" x14ac:dyDescent="0.3">
      <c r="A919" t="s">
        <v>54</v>
      </c>
      <c r="B919">
        <v>36</v>
      </c>
      <c r="C919" s="6">
        <v>50000</v>
      </c>
      <c r="D919" t="s">
        <v>11</v>
      </c>
      <c r="E919" t="s">
        <v>26</v>
      </c>
      <c r="F919" t="s">
        <v>43</v>
      </c>
      <c r="G919" s="7">
        <v>43800</v>
      </c>
      <c r="H919" t="s">
        <v>27</v>
      </c>
      <c r="I919" t="s">
        <v>69</v>
      </c>
      <c r="J919" t="s">
        <v>69</v>
      </c>
      <c r="K919" t="str">
        <f>IF(HR_Data5[[#This Row],[Age]]&lt;30,"Young",IF(HR_Data5[[#This Row],[Age]]&lt;=45,"Mid-Career","Senior"))</f>
        <v>Mid-Career</v>
      </c>
      <c r="L919" s="10">
        <f ca="1">DATEDIF(HR_Data5[[#This Row],[Joining Date]],TODAY(),"Y")</f>
        <v>6</v>
      </c>
      <c r="M919" s="10" t="str">
        <f>IF(HR_Data5[[#This Row],[Salary]]&lt;55000,"Low",IF(HR_Data5[[#This Row],[Salary]]&lt;=65000,"Medium","High"))</f>
        <v>Low</v>
      </c>
      <c r="N919" s="10">
        <f>YEAR(HR_Data5[[#This Row],[Joining Date]])</f>
        <v>2019</v>
      </c>
      <c r="O919" s="10" cm="1">
        <f t="array" ref="O919">_xlfn.SWITCH(HR_Data5[[#This Row],[Performance Score]],
"A",5,
"B",4,
"C",3,
"D",2,
"F",1)</f>
        <v>3</v>
      </c>
      <c r="P919" s="10"/>
    </row>
    <row r="920" spans="1:16" x14ac:dyDescent="0.3">
      <c r="A920" t="s">
        <v>54</v>
      </c>
      <c r="B920">
        <v>35</v>
      </c>
      <c r="C920" s="6">
        <v>55000</v>
      </c>
      <c r="D920" t="s">
        <v>18</v>
      </c>
      <c r="E920" t="s">
        <v>37</v>
      </c>
      <c r="F920" t="s">
        <v>44</v>
      </c>
      <c r="G920" s="7">
        <v>43881</v>
      </c>
      <c r="H920" t="s">
        <v>41</v>
      </c>
      <c r="I920" t="s">
        <v>15</v>
      </c>
      <c r="J920" t="s">
        <v>28</v>
      </c>
      <c r="K920" t="str">
        <f>IF(HR_Data5[[#This Row],[Age]]&lt;30,"Young",IF(HR_Data5[[#This Row],[Age]]&lt;=45,"Mid-Career","Senior"))</f>
        <v>Mid-Career</v>
      </c>
      <c r="L920" s="10">
        <f ca="1">DATEDIF(HR_Data5[[#This Row],[Joining Date]],TODAY(),"Y")</f>
        <v>6</v>
      </c>
      <c r="M920" s="10" t="str">
        <f>IF(HR_Data5[[#This Row],[Salary]]&lt;55000,"Low",IF(HR_Data5[[#This Row],[Salary]]&lt;=65000,"Medium","High"))</f>
        <v>Medium</v>
      </c>
      <c r="N920" s="10">
        <f>YEAR(HR_Data5[[#This Row],[Joining Date]])</f>
        <v>2020</v>
      </c>
      <c r="O920" s="10" cm="1">
        <f t="array" ref="O920">_xlfn.SWITCH(HR_Data5[[#This Row],[Performance Score]],
"A",5,
"B",4,
"C",3,
"D",2,
"F",1)</f>
        <v>4</v>
      </c>
      <c r="P920" s="10"/>
    </row>
    <row r="921" spans="1:16" x14ac:dyDescent="0.3">
      <c r="A921" t="s">
        <v>54</v>
      </c>
      <c r="B921">
        <v>36</v>
      </c>
      <c r="C921" s="6">
        <v>55000</v>
      </c>
      <c r="D921" t="s">
        <v>18</v>
      </c>
      <c r="E921" t="s">
        <v>37</v>
      </c>
      <c r="F921" t="s">
        <v>39</v>
      </c>
      <c r="G921" s="7">
        <v>43881</v>
      </c>
      <c r="H921" t="s">
        <v>31</v>
      </c>
      <c r="I921" t="s">
        <v>22</v>
      </c>
      <c r="J921" t="s">
        <v>23</v>
      </c>
      <c r="K921" t="str">
        <f>IF(HR_Data5[[#This Row],[Age]]&lt;30,"Young",IF(HR_Data5[[#This Row],[Age]]&lt;=45,"Mid-Career","Senior"))</f>
        <v>Mid-Career</v>
      </c>
      <c r="L921" s="10">
        <f ca="1">DATEDIF(HR_Data5[[#This Row],[Joining Date]],TODAY(),"Y")</f>
        <v>6</v>
      </c>
      <c r="M921" s="10" t="str">
        <f>IF(HR_Data5[[#This Row],[Salary]]&lt;55000,"Low",IF(HR_Data5[[#This Row],[Salary]]&lt;=65000,"Medium","High"))</f>
        <v>Medium</v>
      </c>
      <c r="N921" s="10">
        <f>YEAR(HR_Data5[[#This Row],[Joining Date]])</f>
        <v>2020</v>
      </c>
      <c r="O921" s="10" cm="1">
        <f t="array" ref="O921">_xlfn.SWITCH(HR_Data5[[#This Row],[Performance Score]],
"A",5,
"B",4,
"C",3,
"D",2,
"F",1)</f>
        <v>5</v>
      </c>
      <c r="P921" s="10"/>
    </row>
    <row r="922" spans="1:16" x14ac:dyDescent="0.3">
      <c r="A922" t="s">
        <v>56</v>
      </c>
      <c r="B922">
        <v>25</v>
      </c>
      <c r="C922" s="6">
        <v>55000</v>
      </c>
      <c r="D922" t="s">
        <v>11</v>
      </c>
      <c r="E922" t="s">
        <v>26</v>
      </c>
      <c r="F922" t="s">
        <v>39</v>
      </c>
      <c r="G922" s="7">
        <v>43195</v>
      </c>
      <c r="H922" t="s">
        <v>14</v>
      </c>
      <c r="I922" t="s">
        <v>69</v>
      </c>
      <c r="J922" t="s">
        <v>23</v>
      </c>
      <c r="K922" t="str">
        <f>IF(HR_Data5[[#This Row],[Age]]&lt;30,"Young",IF(HR_Data5[[#This Row],[Age]]&lt;=45,"Mid-Career","Senior"))</f>
        <v>Young</v>
      </c>
      <c r="L922" s="10">
        <f ca="1">DATEDIF(HR_Data5[[#This Row],[Joining Date]],TODAY(),"Y")</f>
        <v>7</v>
      </c>
      <c r="M922" s="10" t="str">
        <f>IF(HR_Data5[[#This Row],[Salary]]&lt;55000,"Low",IF(HR_Data5[[#This Row],[Salary]]&lt;=65000,"Medium","High"))</f>
        <v>Medium</v>
      </c>
      <c r="N922" s="10">
        <f>YEAR(HR_Data5[[#This Row],[Joining Date]])</f>
        <v>2018</v>
      </c>
      <c r="O922" s="10" cm="1">
        <f t="array" ref="O922">_xlfn.SWITCH(HR_Data5[[#This Row],[Performance Score]],
"A",5,
"B",4,
"C",3,
"D",2,
"F",1)</f>
        <v>2</v>
      </c>
      <c r="P922" s="10"/>
    </row>
    <row r="923" spans="1:16" x14ac:dyDescent="0.3">
      <c r="A923" t="s">
        <v>55</v>
      </c>
      <c r="B923">
        <v>25</v>
      </c>
      <c r="C923" s="6">
        <v>60000</v>
      </c>
      <c r="D923" t="s">
        <v>36</v>
      </c>
      <c r="E923" t="s">
        <v>37</v>
      </c>
      <c r="F923" t="s">
        <v>44</v>
      </c>
      <c r="G923" s="7">
        <v>43195</v>
      </c>
      <c r="H923" t="s">
        <v>14</v>
      </c>
      <c r="I923" t="s">
        <v>69</v>
      </c>
      <c r="J923" t="s">
        <v>69</v>
      </c>
      <c r="K923" t="str">
        <f>IF(HR_Data5[[#This Row],[Age]]&lt;30,"Young",IF(HR_Data5[[#This Row],[Age]]&lt;=45,"Mid-Career","Senior"))</f>
        <v>Young</v>
      </c>
      <c r="L923" s="10">
        <f ca="1">DATEDIF(HR_Data5[[#This Row],[Joining Date]],TODAY(),"Y")</f>
        <v>7</v>
      </c>
      <c r="M923" s="10" t="str">
        <f>IF(HR_Data5[[#This Row],[Salary]]&lt;55000,"Low",IF(HR_Data5[[#This Row],[Salary]]&lt;=65000,"Medium","High"))</f>
        <v>Medium</v>
      </c>
      <c r="N923" s="10">
        <f>YEAR(HR_Data5[[#This Row],[Joining Date]])</f>
        <v>2018</v>
      </c>
      <c r="O923" s="10" cm="1">
        <f t="array" ref="O923">_xlfn.SWITCH(HR_Data5[[#This Row],[Performance Score]],
"A",5,
"B",4,
"C",3,
"D",2,
"F",1)</f>
        <v>2</v>
      </c>
      <c r="P923" s="10"/>
    </row>
    <row r="924" spans="1:16" x14ac:dyDescent="0.3">
      <c r="A924" t="s">
        <v>52</v>
      </c>
      <c r="B924">
        <v>50</v>
      </c>
      <c r="C924" s="6">
        <v>70000</v>
      </c>
      <c r="D924" t="s">
        <v>36</v>
      </c>
      <c r="E924" t="s">
        <v>12</v>
      </c>
      <c r="F924" t="s">
        <v>43</v>
      </c>
      <c r="G924" s="7">
        <v>43845</v>
      </c>
      <c r="H924" t="s">
        <v>21</v>
      </c>
      <c r="I924" t="s">
        <v>22</v>
      </c>
      <c r="J924" t="s">
        <v>69</v>
      </c>
      <c r="K924" t="str">
        <f>IF(HR_Data5[[#This Row],[Age]]&lt;30,"Young",IF(HR_Data5[[#This Row],[Age]]&lt;=45,"Mid-Career","Senior"))</f>
        <v>Senior</v>
      </c>
      <c r="L924" s="10">
        <f ca="1">DATEDIF(HR_Data5[[#This Row],[Joining Date]],TODAY(),"Y")</f>
        <v>6</v>
      </c>
      <c r="M924" s="10" t="str">
        <f>IF(HR_Data5[[#This Row],[Salary]]&lt;55000,"Low",IF(HR_Data5[[#This Row],[Salary]]&lt;=65000,"Medium","High"))</f>
        <v>High</v>
      </c>
      <c r="N924" s="10">
        <f>YEAR(HR_Data5[[#This Row],[Joining Date]])</f>
        <v>2020</v>
      </c>
      <c r="O924" s="10" cm="1">
        <f t="array" ref="O924">_xlfn.SWITCH(HR_Data5[[#This Row],[Performance Score]],
"A",5,
"B",4,
"C",3,
"D",2,
"F",1)</f>
        <v>1</v>
      </c>
      <c r="P924" s="10"/>
    </row>
    <row r="925" spans="1:16" x14ac:dyDescent="0.3">
      <c r="A925" t="s">
        <v>60</v>
      </c>
      <c r="B925">
        <v>36</v>
      </c>
      <c r="C925" s="6" t="s">
        <v>68</v>
      </c>
      <c r="D925" t="s">
        <v>18</v>
      </c>
      <c r="E925" t="s">
        <v>12</v>
      </c>
      <c r="F925" t="s">
        <v>20</v>
      </c>
      <c r="G925" s="7">
        <v>43800</v>
      </c>
      <c r="H925" t="s">
        <v>27</v>
      </c>
      <c r="I925" t="s">
        <v>32</v>
      </c>
      <c r="J925" t="s">
        <v>69</v>
      </c>
      <c r="K925" t="str">
        <f>IF(HR_Data5[[#This Row],[Age]]&lt;30,"Young",IF(HR_Data5[[#This Row],[Age]]&lt;=45,"Mid-Career","Senior"))</f>
        <v>Mid-Career</v>
      </c>
      <c r="L925" s="10">
        <f ca="1">DATEDIF(HR_Data5[[#This Row],[Joining Date]],TODAY(),"Y")</f>
        <v>6</v>
      </c>
      <c r="M925" s="10" t="str">
        <f>IF(HR_Data5[[#This Row],[Salary]]&lt;55000,"Low",IF(HR_Data5[[#This Row],[Salary]]&lt;=65000,"Medium","High"))</f>
        <v>High</v>
      </c>
      <c r="N925" s="10">
        <f>YEAR(HR_Data5[[#This Row],[Joining Date]])</f>
        <v>2019</v>
      </c>
      <c r="O925" s="10" cm="1">
        <f t="array" ref="O925">_xlfn.SWITCH(HR_Data5[[#This Row],[Performance Score]],
"A",5,
"B",4,
"C",3,
"D",2,
"F",1)</f>
        <v>3</v>
      </c>
      <c r="P925" s="10"/>
    </row>
    <row r="926" spans="1:16" x14ac:dyDescent="0.3">
      <c r="A926" t="s">
        <v>55</v>
      </c>
      <c r="B926">
        <v>36</v>
      </c>
      <c r="C926" s="6">
        <v>65000</v>
      </c>
      <c r="D926" t="s">
        <v>18</v>
      </c>
      <c r="E926" t="s">
        <v>30</v>
      </c>
      <c r="F926" t="s">
        <v>44</v>
      </c>
      <c r="G926" s="7">
        <v>43800</v>
      </c>
      <c r="H926" t="s">
        <v>27</v>
      </c>
      <c r="I926" t="s">
        <v>15</v>
      </c>
      <c r="J926" t="s">
        <v>28</v>
      </c>
      <c r="K926" t="str">
        <f>IF(HR_Data5[[#This Row],[Age]]&lt;30,"Young",IF(HR_Data5[[#This Row],[Age]]&lt;=45,"Mid-Career","Senior"))</f>
        <v>Mid-Career</v>
      </c>
      <c r="L926" s="10">
        <f ca="1">DATEDIF(HR_Data5[[#This Row],[Joining Date]],TODAY(),"Y")</f>
        <v>6</v>
      </c>
      <c r="M926" s="10" t="str">
        <f>IF(HR_Data5[[#This Row],[Salary]]&lt;55000,"Low",IF(HR_Data5[[#This Row],[Salary]]&lt;=65000,"Medium","High"))</f>
        <v>Medium</v>
      </c>
      <c r="N926" s="10">
        <f>YEAR(HR_Data5[[#This Row],[Joining Date]])</f>
        <v>2019</v>
      </c>
      <c r="O926" s="10" cm="1">
        <f t="array" ref="O926">_xlfn.SWITCH(HR_Data5[[#This Row],[Performance Score]],
"A",5,
"B",4,
"C",3,
"D",2,
"F",1)</f>
        <v>3</v>
      </c>
      <c r="P926" s="10"/>
    </row>
    <row r="927" spans="1:16" x14ac:dyDescent="0.3">
      <c r="A927" t="s">
        <v>60</v>
      </c>
      <c r="B927">
        <v>25</v>
      </c>
      <c r="C927" s="6" t="s">
        <v>68</v>
      </c>
      <c r="D927" t="s">
        <v>11</v>
      </c>
      <c r="E927" t="s">
        <v>26</v>
      </c>
      <c r="F927" t="s">
        <v>13</v>
      </c>
      <c r="G927" s="7">
        <v>43800</v>
      </c>
      <c r="H927" t="s">
        <v>31</v>
      </c>
      <c r="I927" t="s">
        <v>22</v>
      </c>
      <c r="J927" t="s">
        <v>28</v>
      </c>
      <c r="K927" t="str">
        <f>IF(HR_Data5[[#This Row],[Age]]&lt;30,"Young",IF(HR_Data5[[#This Row],[Age]]&lt;=45,"Mid-Career","Senior"))</f>
        <v>Young</v>
      </c>
      <c r="L927" s="10">
        <f ca="1">DATEDIF(HR_Data5[[#This Row],[Joining Date]],TODAY(),"Y")</f>
        <v>6</v>
      </c>
      <c r="M927" s="10" t="str">
        <f>IF(HR_Data5[[#This Row],[Salary]]&lt;55000,"Low",IF(HR_Data5[[#This Row],[Salary]]&lt;=65000,"Medium","High"))</f>
        <v>High</v>
      </c>
      <c r="N927" s="10">
        <f>YEAR(HR_Data5[[#This Row],[Joining Date]])</f>
        <v>2019</v>
      </c>
      <c r="O927" s="10" cm="1">
        <f t="array" ref="O927">_xlfn.SWITCH(HR_Data5[[#This Row],[Performance Score]],
"A",5,
"B",4,
"C",3,
"D",2,
"F",1)</f>
        <v>5</v>
      </c>
      <c r="P927" s="10"/>
    </row>
    <row r="928" spans="1:16" x14ac:dyDescent="0.3">
      <c r="A928" t="s">
        <v>58</v>
      </c>
      <c r="B928">
        <v>35</v>
      </c>
      <c r="C928" s="6">
        <v>65000</v>
      </c>
      <c r="D928" t="s">
        <v>36</v>
      </c>
      <c r="E928" t="s">
        <v>19</v>
      </c>
      <c r="F928" t="s">
        <v>43</v>
      </c>
      <c r="G928" s="7">
        <v>43549</v>
      </c>
      <c r="H928" t="s">
        <v>14</v>
      </c>
      <c r="I928" t="s">
        <v>69</v>
      </c>
      <c r="J928" t="s">
        <v>69</v>
      </c>
      <c r="K928" t="str">
        <f>IF(HR_Data5[[#This Row],[Age]]&lt;30,"Young",IF(HR_Data5[[#This Row],[Age]]&lt;=45,"Mid-Career","Senior"))</f>
        <v>Mid-Career</v>
      </c>
      <c r="L928" s="10">
        <f ca="1">DATEDIF(HR_Data5[[#This Row],[Joining Date]],TODAY(),"Y")</f>
        <v>6</v>
      </c>
      <c r="M928" s="10" t="str">
        <f>IF(HR_Data5[[#This Row],[Salary]]&lt;55000,"Low",IF(HR_Data5[[#This Row],[Salary]]&lt;=65000,"Medium","High"))</f>
        <v>Medium</v>
      </c>
      <c r="N928" s="10">
        <f>YEAR(HR_Data5[[#This Row],[Joining Date]])</f>
        <v>2019</v>
      </c>
      <c r="O928" s="10" cm="1">
        <f t="array" ref="O928">_xlfn.SWITCH(HR_Data5[[#This Row],[Performance Score]],
"A",5,
"B",4,
"C",3,
"D",2,
"F",1)</f>
        <v>2</v>
      </c>
      <c r="P928" s="10"/>
    </row>
    <row r="929" spans="1:16" x14ac:dyDescent="0.3">
      <c r="A929" t="s">
        <v>53</v>
      </c>
      <c r="B929">
        <v>40</v>
      </c>
      <c r="C929" s="6">
        <v>60000</v>
      </c>
      <c r="D929" t="s">
        <v>11</v>
      </c>
      <c r="E929" t="s">
        <v>19</v>
      </c>
      <c r="F929" t="s">
        <v>39</v>
      </c>
      <c r="G929" s="7">
        <v>43881</v>
      </c>
      <c r="H929" t="s">
        <v>21</v>
      </c>
      <c r="I929" t="s">
        <v>69</v>
      </c>
      <c r="J929" t="s">
        <v>28</v>
      </c>
      <c r="K929" t="str">
        <f>IF(HR_Data5[[#This Row],[Age]]&lt;30,"Young",IF(HR_Data5[[#This Row],[Age]]&lt;=45,"Mid-Career","Senior"))</f>
        <v>Mid-Career</v>
      </c>
      <c r="L929" s="10">
        <f ca="1">DATEDIF(HR_Data5[[#This Row],[Joining Date]],TODAY(),"Y")</f>
        <v>6</v>
      </c>
      <c r="M929" s="10" t="str">
        <f>IF(HR_Data5[[#This Row],[Salary]]&lt;55000,"Low",IF(HR_Data5[[#This Row],[Salary]]&lt;=65000,"Medium","High"))</f>
        <v>Medium</v>
      </c>
      <c r="N929" s="10">
        <f>YEAR(HR_Data5[[#This Row],[Joining Date]])</f>
        <v>2020</v>
      </c>
      <c r="O929" s="10" cm="1">
        <f t="array" ref="O929">_xlfn.SWITCH(HR_Data5[[#This Row],[Performance Score]],
"A",5,
"B",4,
"C",3,
"D",2,
"F",1)</f>
        <v>1</v>
      </c>
      <c r="P929" s="10"/>
    </row>
    <row r="930" spans="1:16" x14ac:dyDescent="0.3">
      <c r="A930" t="s">
        <v>53</v>
      </c>
      <c r="B930">
        <v>40</v>
      </c>
      <c r="C930" s="6">
        <v>55000</v>
      </c>
      <c r="D930" t="s">
        <v>18</v>
      </c>
      <c r="E930" t="s">
        <v>30</v>
      </c>
      <c r="F930" t="s">
        <v>44</v>
      </c>
      <c r="G930" s="7">
        <v>43195</v>
      </c>
      <c r="H930" t="s">
        <v>31</v>
      </c>
      <c r="I930" t="s">
        <v>69</v>
      </c>
      <c r="J930" t="s">
        <v>69</v>
      </c>
      <c r="K930" t="str">
        <f>IF(HR_Data5[[#This Row],[Age]]&lt;30,"Young",IF(HR_Data5[[#This Row],[Age]]&lt;=45,"Mid-Career","Senior"))</f>
        <v>Mid-Career</v>
      </c>
      <c r="L930" s="10">
        <f ca="1">DATEDIF(HR_Data5[[#This Row],[Joining Date]],TODAY(),"Y")</f>
        <v>7</v>
      </c>
      <c r="M930" s="10" t="str">
        <f>IF(HR_Data5[[#This Row],[Salary]]&lt;55000,"Low",IF(HR_Data5[[#This Row],[Salary]]&lt;=65000,"Medium","High"))</f>
        <v>Medium</v>
      </c>
      <c r="N930" s="10">
        <f>YEAR(HR_Data5[[#This Row],[Joining Date]])</f>
        <v>2018</v>
      </c>
      <c r="O930" s="10" cm="1">
        <f t="array" ref="O930">_xlfn.SWITCH(HR_Data5[[#This Row],[Performance Score]],
"A",5,
"B",4,
"C",3,
"D",2,
"F",1)</f>
        <v>5</v>
      </c>
      <c r="P930" s="10"/>
    </row>
    <row r="931" spans="1:16" x14ac:dyDescent="0.3">
      <c r="A931" t="s">
        <v>51</v>
      </c>
      <c r="B931">
        <v>36</v>
      </c>
      <c r="C931" s="6">
        <v>60000</v>
      </c>
      <c r="D931" t="s">
        <v>36</v>
      </c>
      <c r="E931" t="s">
        <v>30</v>
      </c>
      <c r="F931" t="s">
        <v>39</v>
      </c>
      <c r="G931" s="7">
        <v>43800</v>
      </c>
      <c r="H931" t="s">
        <v>27</v>
      </c>
      <c r="I931" t="s">
        <v>69</v>
      </c>
      <c r="J931" t="s">
        <v>23</v>
      </c>
      <c r="K931" t="str">
        <f>IF(HR_Data5[[#This Row],[Age]]&lt;30,"Young",IF(HR_Data5[[#This Row],[Age]]&lt;=45,"Mid-Career","Senior"))</f>
        <v>Mid-Career</v>
      </c>
      <c r="L931" s="10">
        <f ca="1">DATEDIF(HR_Data5[[#This Row],[Joining Date]],TODAY(),"Y")</f>
        <v>6</v>
      </c>
      <c r="M931" s="10" t="str">
        <f>IF(HR_Data5[[#This Row],[Salary]]&lt;55000,"Low",IF(HR_Data5[[#This Row],[Salary]]&lt;=65000,"Medium","High"))</f>
        <v>Medium</v>
      </c>
      <c r="N931" s="10">
        <f>YEAR(HR_Data5[[#This Row],[Joining Date]])</f>
        <v>2019</v>
      </c>
      <c r="O931" s="10" cm="1">
        <f t="array" ref="O931">_xlfn.SWITCH(HR_Data5[[#This Row],[Performance Score]],
"A",5,
"B",4,
"C",3,
"D",2,
"F",1)</f>
        <v>3</v>
      </c>
      <c r="P931" s="10"/>
    </row>
    <row r="932" spans="1:16" x14ac:dyDescent="0.3">
      <c r="A932" t="s">
        <v>53</v>
      </c>
      <c r="B932">
        <v>40</v>
      </c>
      <c r="C932" s="6">
        <v>60000</v>
      </c>
      <c r="D932" t="s">
        <v>36</v>
      </c>
      <c r="E932" t="s">
        <v>37</v>
      </c>
      <c r="F932" t="s">
        <v>43</v>
      </c>
      <c r="G932" s="7">
        <v>43845</v>
      </c>
      <c r="H932" t="s">
        <v>14</v>
      </c>
      <c r="I932" t="s">
        <v>15</v>
      </c>
      <c r="J932" t="s">
        <v>28</v>
      </c>
      <c r="K932" t="str">
        <f>IF(HR_Data5[[#This Row],[Age]]&lt;30,"Young",IF(HR_Data5[[#This Row],[Age]]&lt;=45,"Mid-Career","Senior"))</f>
        <v>Mid-Career</v>
      </c>
      <c r="L932" s="10">
        <f ca="1">DATEDIF(HR_Data5[[#This Row],[Joining Date]],TODAY(),"Y")</f>
        <v>6</v>
      </c>
      <c r="M932" s="10" t="str">
        <f>IF(HR_Data5[[#This Row],[Salary]]&lt;55000,"Low",IF(HR_Data5[[#This Row],[Salary]]&lt;=65000,"Medium","High"))</f>
        <v>Medium</v>
      </c>
      <c r="N932" s="10">
        <f>YEAR(HR_Data5[[#This Row],[Joining Date]])</f>
        <v>2020</v>
      </c>
      <c r="O932" s="10" cm="1">
        <f t="array" ref="O932">_xlfn.SWITCH(HR_Data5[[#This Row],[Performance Score]],
"A",5,
"B",4,
"C",3,
"D",2,
"F",1)</f>
        <v>2</v>
      </c>
      <c r="P932" s="10"/>
    </row>
    <row r="933" spans="1:16" x14ac:dyDescent="0.3">
      <c r="A933" t="s">
        <v>56</v>
      </c>
      <c r="B933">
        <v>25</v>
      </c>
      <c r="C933" s="6">
        <v>50000</v>
      </c>
      <c r="D933" t="s">
        <v>18</v>
      </c>
      <c r="E933" t="s">
        <v>30</v>
      </c>
      <c r="F933" t="s">
        <v>39</v>
      </c>
      <c r="G933" s="7">
        <v>43800</v>
      </c>
      <c r="H933" t="s">
        <v>21</v>
      </c>
      <c r="I933" t="s">
        <v>69</v>
      </c>
      <c r="J933" t="s">
        <v>23</v>
      </c>
      <c r="K933" t="str">
        <f>IF(HR_Data5[[#This Row],[Age]]&lt;30,"Young",IF(HR_Data5[[#This Row],[Age]]&lt;=45,"Mid-Career","Senior"))</f>
        <v>Young</v>
      </c>
      <c r="L933" s="10">
        <f ca="1">DATEDIF(HR_Data5[[#This Row],[Joining Date]],TODAY(),"Y")</f>
        <v>6</v>
      </c>
      <c r="M933" s="10" t="str">
        <f>IF(HR_Data5[[#This Row],[Salary]]&lt;55000,"Low",IF(HR_Data5[[#This Row],[Salary]]&lt;=65000,"Medium","High"))</f>
        <v>Low</v>
      </c>
      <c r="N933" s="10">
        <f>YEAR(HR_Data5[[#This Row],[Joining Date]])</f>
        <v>2019</v>
      </c>
      <c r="O933" s="10" cm="1">
        <f t="array" ref="O933">_xlfn.SWITCH(HR_Data5[[#This Row],[Performance Score]],
"A",5,
"B",4,
"C",3,
"D",2,
"F",1)</f>
        <v>1</v>
      </c>
      <c r="P933" s="10"/>
    </row>
    <row r="934" spans="1:16" x14ac:dyDescent="0.3">
      <c r="A934" t="s">
        <v>57</v>
      </c>
      <c r="B934">
        <v>25</v>
      </c>
      <c r="C934" s="6">
        <v>70000</v>
      </c>
      <c r="D934" t="s">
        <v>11</v>
      </c>
      <c r="E934" t="s">
        <v>30</v>
      </c>
      <c r="F934" t="s">
        <v>44</v>
      </c>
      <c r="G934" s="7">
        <v>43881</v>
      </c>
      <c r="H934" t="s">
        <v>41</v>
      </c>
      <c r="I934" t="s">
        <v>22</v>
      </c>
      <c r="J934" t="s">
        <v>45</v>
      </c>
      <c r="K934" t="str">
        <f>IF(HR_Data5[[#This Row],[Age]]&lt;30,"Young",IF(HR_Data5[[#This Row],[Age]]&lt;=45,"Mid-Career","Senior"))</f>
        <v>Young</v>
      </c>
      <c r="L934" s="10">
        <f ca="1">DATEDIF(HR_Data5[[#This Row],[Joining Date]],TODAY(),"Y")</f>
        <v>6</v>
      </c>
      <c r="M934" s="10" t="str">
        <f>IF(HR_Data5[[#This Row],[Salary]]&lt;55000,"Low",IF(HR_Data5[[#This Row],[Salary]]&lt;=65000,"Medium","High"))</f>
        <v>High</v>
      </c>
      <c r="N934" s="10">
        <f>YEAR(HR_Data5[[#This Row],[Joining Date]])</f>
        <v>2020</v>
      </c>
      <c r="O934" s="10" cm="1">
        <f t="array" ref="O934">_xlfn.SWITCH(HR_Data5[[#This Row],[Performance Score]],
"A",5,
"B",4,
"C",3,
"D",2,
"F",1)</f>
        <v>4</v>
      </c>
      <c r="P934" s="10"/>
    </row>
    <row r="935" spans="1:16" x14ac:dyDescent="0.3">
      <c r="A935" t="s">
        <v>59</v>
      </c>
      <c r="B935">
        <v>36</v>
      </c>
      <c r="C935" s="6">
        <v>65000</v>
      </c>
      <c r="D935" t="s">
        <v>11</v>
      </c>
      <c r="E935" t="s">
        <v>19</v>
      </c>
      <c r="F935" t="s">
        <v>43</v>
      </c>
      <c r="G935" s="7">
        <v>43881</v>
      </c>
      <c r="H935" t="s">
        <v>14</v>
      </c>
      <c r="I935" t="s">
        <v>69</v>
      </c>
      <c r="J935" t="s">
        <v>69</v>
      </c>
      <c r="K935" t="str">
        <f>IF(HR_Data5[[#This Row],[Age]]&lt;30,"Young",IF(HR_Data5[[#This Row],[Age]]&lt;=45,"Mid-Career","Senior"))</f>
        <v>Mid-Career</v>
      </c>
      <c r="L935" s="10">
        <f ca="1">DATEDIF(HR_Data5[[#This Row],[Joining Date]],TODAY(),"Y")</f>
        <v>6</v>
      </c>
      <c r="M935" s="10" t="str">
        <f>IF(HR_Data5[[#This Row],[Salary]]&lt;55000,"Low",IF(HR_Data5[[#This Row],[Salary]]&lt;=65000,"Medium","High"))</f>
        <v>Medium</v>
      </c>
      <c r="N935" s="10">
        <f>YEAR(HR_Data5[[#This Row],[Joining Date]])</f>
        <v>2020</v>
      </c>
      <c r="O935" s="10" cm="1">
        <f t="array" ref="O935">_xlfn.SWITCH(HR_Data5[[#This Row],[Performance Score]],
"A",5,
"B",4,
"C",3,
"D",2,
"F",1)</f>
        <v>2</v>
      </c>
      <c r="P935" s="10"/>
    </row>
    <row r="936" spans="1:16" x14ac:dyDescent="0.3">
      <c r="A936" t="s">
        <v>51</v>
      </c>
      <c r="B936">
        <v>36</v>
      </c>
      <c r="C936" s="6">
        <v>55000</v>
      </c>
      <c r="D936" t="s">
        <v>36</v>
      </c>
      <c r="E936" t="s">
        <v>37</v>
      </c>
      <c r="F936" t="s">
        <v>13</v>
      </c>
      <c r="G936" s="7">
        <v>43195</v>
      </c>
      <c r="H936" t="s">
        <v>21</v>
      </c>
      <c r="I936" t="s">
        <v>32</v>
      </c>
      <c r="J936" t="s">
        <v>45</v>
      </c>
      <c r="K936" t="str">
        <f>IF(HR_Data5[[#This Row],[Age]]&lt;30,"Young",IF(HR_Data5[[#This Row],[Age]]&lt;=45,"Mid-Career","Senior"))</f>
        <v>Mid-Career</v>
      </c>
      <c r="L936" s="10">
        <f ca="1">DATEDIF(HR_Data5[[#This Row],[Joining Date]],TODAY(),"Y")</f>
        <v>7</v>
      </c>
      <c r="M936" s="10" t="str">
        <f>IF(HR_Data5[[#This Row],[Salary]]&lt;55000,"Low",IF(HR_Data5[[#This Row],[Salary]]&lt;=65000,"Medium","High"))</f>
        <v>Medium</v>
      </c>
      <c r="N936" s="10">
        <f>YEAR(HR_Data5[[#This Row],[Joining Date]])</f>
        <v>2018</v>
      </c>
      <c r="O936" s="10" cm="1">
        <f t="array" ref="O936">_xlfn.SWITCH(HR_Data5[[#This Row],[Performance Score]],
"A",5,
"B",4,
"C",3,
"D",2,
"F",1)</f>
        <v>1</v>
      </c>
      <c r="P936" s="10"/>
    </row>
    <row r="937" spans="1:16" x14ac:dyDescent="0.3">
      <c r="A937" t="s">
        <v>59</v>
      </c>
      <c r="B937">
        <v>50</v>
      </c>
      <c r="C937" s="6">
        <v>65000</v>
      </c>
      <c r="D937" t="s">
        <v>18</v>
      </c>
      <c r="E937" t="s">
        <v>30</v>
      </c>
      <c r="F937" t="s">
        <v>44</v>
      </c>
      <c r="G937" s="7">
        <v>43549</v>
      </c>
      <c r="H937" t="s">
        <v>31</v>
      </c>
      <c r="I937" t="s">
        <v>22</v>
      </c>
      <c r="J937" t="s">
        <v>28</v>
      </c>
      <c r="K937" t="str">
        <f>IF(HR_Data5[[#This Row],[Age]]&lt;30,"Young",IF(HR_Data5[[#This Row],[Age]]&lt;=45,"Mid-Career","Senior"))</f>
        <v>Senior</v>
      </c>
      <c r="L937" s="10">
        <f ca="1">DATEDIF(HR_Data5[[#This Row],[Joining Date]],TODAY(),"Y")</f>
        <v>6</v>
      </c>
      <c r="M937" s="10" t="str">
        <f>IF(HR_Data5[[#This Row],[Salary]]&lt;55000,"Low",IF(HR_Data5[[#This Row],[Salary]]&lt;=65000,"Medium","High"))</f>
        <v>Medium</v>
      </c>
      <c r="N937" s="10">
        <f>YEAR(HR_Data5[[#This Row],[Joining Date]])</f>
        <v>2019</v>
      </c>
      <c r="O937" s="10" cm="1">
        <f t="array" ref="O937">_xlfn.SWITCH(HR_Data5[[#This Row],[Performance Score]],
"A",5,
"B",4,
"C",3,
"D",2,
"F",1)</f>
        <v>5</v>
      </c>
      <c r="P937" s="10"/>
    </row>
    <row r="938" spans="1:16" x14ac:dyDescent="0.3">
      <c r="A938" t="s">
        <v>60</v>
      </c>
      <c r="B938">
        <v>36</v>
      </c>
      <c r="C938" s="6" t="s">
        <v>68</v>
      </c>
      <c r="D938" t="s">
        <v>36</v>
      </c>
      <c r="E938" t="s">
        <v>30</v>
      </c>
      <c r="F938" t="s">
        <v>20</v>
      </c>
      <c r="G938" s="7">
        <v>43195</v>
      </c>
      <c r="H938" t="s">
        <v>41</v>
      </c>
      <c r="I938" t="s">
        <v>15</v>
      </c>
      <c r="J938" t="s">
        <v>23</v>
      </c>
      <c r="K938" t="str">
        <f>IF(HR_Data5[[#This Row],[Age]]&lt;30,"Young",IF(HR_Data5[[#This Row],[Age]]&lt;=45,"Mid-Career","Senior"))</f>
        <v>Mid-Career</v>
      </c>
      <c r="L938" s="10">
        <f ca="1">DATEDIF(HR_Data5[[#This Row],[Joining Date]],TODAY(),"Y")</f>
        <v>7</v>
      </c>
      <c r="M938" s="10" t="str">
        <f>IF(HR_Data5[[#This Row],[Salary]]&lt;55000,"Low",IF(HR_Data5[[#This Row],[Salary]]&lt;=65000,"Medium","High"))</f>
        <v>High</v>
      </c>
      <c r="N938" s="10">
        <f>YEAR(HR_Data5[[#This Row],[Joining Date]])</f>
        <v>2018</v>
      </c>
      <c r="O938" s="10" cm="1">
        <f t="array" ref="O938">_xlfn.SWITCH(HR_Data5[[#This Row],[Performance Score]],
"A",5,
"B",4,
"C",3,
"D",2,
"F",1)</f>
        <v>4</v>
      </c>
      <c r="P938" s="10"/>
    </row>
    <row r="939" spans="1:16" x14ac:dyDescent="0.3">
      <c r="A939" t="s">
        <v>59</v>
      </c>
      <c r="B939">
        <v>35</v>
      </c>
      <c r="C939" s="6">
        <v>65000</v>
      </c>
      <c r="D939" t="s">
        <v>18</v>
      </c>
      <c r="E939" t="s">
        <v>37</v>
      </c>
      <c r="F939" t="s">
        <v>44</v>
      </c>
      <c r="G939" s="7">
        <v>43800</v>
      </c>
      <c r="H939" t="s">
        <v>21</v>
      </c>
      <c r="I939" t="s">
        <v>22</v>
      </c>
      <c r="J939" t="s">
        <v>28</v>
      </c>
      <c r="K939" t="str">
        <f>IF(HR_Data5[[#This Row],[Age]]&lt;30,"Young",IF(HR_Data5[[#This Row],[Age]]&lt;=45,"Mid-Career","Senior"))</f>
        <v>Mid-Career</v>
      </c>
      <c r="L939" s="10">
        <f ca="1">DATEDIF(HR_Data5[[#This Row],[Joining Date]],TODAY(),"Y")</f>
        <v>6</v>
      </c>
      <c r="M939" s="10" t="str">
        <f>IF(HR_Data5[[#This Row],[Salary]]&lt;55000,"Low",IF(HR_Data5[[#This Row],[Salary]]&lt;=65000,"Medium","High"))</f>
        <v>Medium</v>
      </c>
      <c r="N939" s="10">
        <f>YEAR(HR_Data5[[#This Row],[Joining Date]])</f>
        <v>2019</v>
      </c>
      <c r="O939" s="10" cm="1">
        <f t="array" ref="O939">_xlfn.SWITCH(HR_Data5[[#This Row],[Performance Score]],
"A",5,
"B",4,
"C",3,
"D",2,
"F",1)</f>
        <v>1</v>
      </c>
      <c r="P939" s="10"/>
    </row>
    <row r="940" spans="1:16" x14ac:dyDescent="0.3">
      <c r="A940" t="s">
        <v>59</v>
      </c>
      <c r="B940">
        <v>40</v>
      </c>
      <c r="C940" s="6" t="s">
        <v>68</v>
      </c>
      <c r="D940" t="s">
        <v>11</v>
      </c>
      <c r="E940" t="s">
        <v>26</v>
      </c>
      <c r="F940" t="s">
        <v>43</v>
      </c>
      <c r="G940" s="7">
        <v>43845</v>
      </c>
      <c r="H940" t="s">
        <v>21</v>
      </c>
      <c r="I940" t="s">
        <v>32</v>
      </c>
      <c r="J940" t="s">
        <v>45</v>
      </c>
      <c r="K940" t="str">
        <f>IF(HR_Data5[[#This Row],[Age]]&lt;30,"Young",IF(HR_Data5[[#This Row],[Age]]&lt;=45,"Mid-Career","Senior"))</f>
        <v>Mid-Career</v>
      </c>
      <c r="L940" s="10">
        <f ca="1">DATEDIF(HR_Data5[[#This Row],[Joining Date]],TODAY(),"Y")</f>
        <v>6</v>
      </c>
      <c r="M940" s="10" t="str">
        <f>IF(HR_Data5[[#This Row],[Salary]]&lt;55000,"Low",IF(HR_Data5[[#This Row],[Salary]]&lt;=65000,"Medium","High"))</f>
        <v>High</v>
      </c>
      <c r="N940" s="10">
        <f>YEAR(HR_Data5[[#This Row],[Joining Date]])</f>
        <v>2020</v>
      </c>
      <c r="O940" s="10" cm="1">
        <f t="array" ref="O940">_xlfn.SWITCH(HR_Data5[[#This Row],[Performance Score]],
"A",5,
"B",4,
"C",3,
"D",2,
"F",1)</f>
        <v>1</v>
      </c>
      <c r="P940" s="10"/>
    </row>
    <row r="941" spans="1:16" x14ac:dyDescent="0.3">
      <c r="A941" t="s">
        <v>51</v>
      </c>
      <c r="B941">
        <v>36</v>
      </c>
      <c r="C941" s="6">
        <v>70000</v>
      </c>
      <c r="D941" t="s">
        <v>18</v>
      </c>
      <c r="E941" t="s">
        <v>37</v>
      </c>
      <c r="F941" t="s">
        <v>44</v>
      </c>
      <c r="G941" s="7">
        <v>43195</v>
      </c>
      <c r="H941" t="s">
        <v>27</v>
      </c>
      <c r="I941" t="s">
        <v>15</v>
      </c>
      <c r="J941" t="s">
        <v>28</v>
      </c>
      <c r="K941" t="str">
        <f>IF(HR_Data5[[#This Row],[Age]]&lt;30,"Young",IF(HR_Data5[[#This Row],[Age]]&lt;=45,"Mid-Career","Senior"))</f>
        <v>Mid-Career</v>
      </c>
      <c r="L941" s="10">
        <f ca="1">DATEDIF(HR_Data5[[#This Row],[Joining Date]],TODAY(),"Y")</f>
        <v>7</v>
      </c>
      <c r="M941" s="10" t="str">
        <f>IF(HR_Data5[[#This Row],[Salary]]&lt;55000,"Low",IF(HR_Data5[[#This Row],[Salary]]&lt;=65000,"Medium","High"))</f>
        <v>High</v>
      </c>
      <c r="N941" s="10">
        <f>YEAR(HR_Data5[[#This Row],[Joining Date]])</f>
        <v>2018</v>
      </c>
      <c r="O941" s="10" cm="1">
        <f t="array" ref="O941">_xlfn.SWITCH(HR_Data5[[#This Row],[Performance Score]],
"A",5,
"B",4,
"C",3,
"D",2,
"F",1)</f>
        <v>3</v>
      </c>
      <c r="P941" s="10"/>
    </row>
    <row r="942" spans="1:16" x14ac:dyDescent="0.3">
      <c r="A942" t="s">
        <v>58</v>
      </c>
      <c r="B942">
        <v>30</v>
      </c>
      <c r="C942" s="6" t="s">
        <v>68</v>
      </c>
      <c r="D942" t="s">
        <v>11</v>
      </c>
      <c r="E942" t="s">
        <v>19</v>
      </c>
      <c r="F942" t="s">
        <v>13</v>
      </c>
      <c r="G942" s="7">
        <v>43549</v>
      </c>
      <c r="H942" t="s">
        <v>14</v>
      </c>
      <c r="I942" t="s">
        <v>69</v>
      </c>
      <c r="J942" t="s">
        <v>69</v>
      </c>
      <c r="K942" t="str">
        <f>IF(HR_Data5[[#This Row],[Age]]&lt;30,"Young",IF(HR_Data5[[#This Row],[Age]]&lt;=45,"Mid-Career","Senior"))</f>
        <v>Mid-Career</v>
      </c>
      <c r="L942" s="10">
        <f ca="1">DATEDIF(HR_Data5[[#This Row],[Joining Date]],TODAY(),"Y")</f>
        <v>6</v>
      </c>
      <c r="M942" s="10" t="str">
        <f>IF(HR_Data5[[#This Row],[Salary]]&lt;55000,"Low",IF(HR_Data5[[#This Row],[Salary]]&lt;=65000,"Medium","High"))</f>
        <v>High</v>
      </c>
      <c r="N942" s="10">
        <f>YEAR(HR_Data5[[#This Row],[Joining Date]])</f>
        <v>2019</v>
      </c>
      <c r="O942" s="10" cm="1">
        <f t="array" ref="O942">_xlfn.SWITCH(HR_Data5[[#This Row],[Performance Score]],
"A",5,
"B",4,
"C",3,
"D",2,
"F",1)</f>
        <v>2</v>
      </c>
      <c r="P942" s="10"/>
    </row>
    <row r="943" spans="1:16" x14ac:dyDescent="0.3">
      <c r="A943" t="s">
        <v>54</v>
      </c>
      <c r="B943">
        <v>50</v>
      </c>
      <c r="C943" s="6">
        <v>65000</v>
      </c>
      <c r="D943" t="s">
        <v>18</v>
      </c>
      <c r="E943" t="s">
        <v>26</v>
      </c>
      <c r="F943" t="s">
        <v>13</v>
      </c>
      <c r="G943" s="7">
        <v>43195</v>
      </c>
      <c r="H943" t="s">
        <v>27</v>
      </c>
      <c r="I943" t="s">
        <v>32</v>
      </c>
      <c r="J943" t="s">
        <v>45</v>
      </c>
      <c r="K943" t="str">
        <f>IF(HR_Data5[[#This Row],[Age]]&lt;30,"Young",IF(HR_Data5[[#This Row],[Age]]&lt;=45,"Mid-Career","Senior"))</f>
        <v>Senior</v>
      </c>
      <c r="L943" s="10">
        <f ca="1">DATEDIF(HR_Data5[[#This Row],[Joining Date]],TODAY(),"Y")</f>
        <v>7</v>
      </c>
      <c r="M943" s="10" t="str">
        <f>IF(HR_Data5[[#This Row],[Salary]]&lt;55000,"Low",IF(HR_Data5[[#This Row],[Salary]]&lt;=65000,"Medium","High"))</f>
        <v>Medium</v>
      </c>
      <c r="N943" s="10">
        <f>YEAR(HR_Data5[[#This Row],[Joining Date]])</f>
        <v>2018</v>
      </c>
      <c r="O943" s="10" cm="1">
        <f t="array" ref="O943">_xlfn.SWITCH(HR_Data5[[#This Row],[Performance Score]],
"A",5,
"B",4,
"C",3,
"D",2,
"F",1)</f>
        <v>3</v>
      </c>
      <c r="P943" s="10"/>
    </row>
    <row r="944" spans="1:16" x14ac:dyDescent="0.3">
      <c r="A944" t="s">
        <v>53</v>
      </c>
      <c r="B944">
        <v>30</v>
      </c>
      <c r="C944" s="6">
        <v>65000</v>
      </c>
      <c r="D944" t="s">
        <v>36</v>
      </c>
      <c r="E944" t="s">
        <v>12</v>
      </c>
      <c r="F944" t="s">
        <v>20</v>
      </c>
      <c r="G944" s="7">
        <v>43881</v>
      </c>
      <c r="H944" t="s">
        <v>41</v>
      </c>
      <c r="I944" t="s">
        <v>15</v>
      </c>
      <c r="J944" t="s">
        <v>28</v>
      </c>
      <c r="K944" t="str">
        <f>IF(HR_Data5[[#This Row],[Age]]&lt;30,"Young",IF(HR_Data5[[#This Row],[Age]]&lt;=45,"Mid-Career","Senior"))</f>
        <v>Mid-Career</v>
      </c>
      <c r="L944" s="10">
        <f ca="1">DATEDIF(HR_Data5[[#This Row],[Joining Date]],TODAY(),"Y")</f>
        <v>6</v>
      </c>
      <c r="M944" s="10" t="str">
        <f>IF(HR_Data5[[#This Row],[Salary]]&lt;55000,"Low",IF(HR_Data5[[#This Row],[Salary]]&lt;=65000,"Medium","High"))</f>
        <v>Medium</v>
      </c>
      <c r="N944" s="10">
        <f>YEAR(HR_Data5[[#This Row],[Joining Date]])</f>
        <v>2020</v>
      </c>
      <c r="O944" s="10" cm="1">
        <f t="array" ref="O944">_xlfn.SWITCH(HR_Data5[[#This Row],[Performance Score]],
"A",5,
"B",4,
"C",3,
"D",2,
"F",1)</f>
        <v>4</v>
      </c>
      <c r="P944" s="10"/>
    </row>
    <row r="945" spans="1:16" x14ac:dyDescent="0.3">
      <c r="A945" t="s">
        <v>53</v>
      </c>
      <c r="B945">
        <v>25</v>
      </c>
      <c r="C945" s="6" t="s">
        <v>68</v>
      </c>
      <c r="D945" t="s">
        <v>11</v>
      </c>
      <c r="E945" t="s">
        <v>37</v>
      </c>
      <c r="F945" t="s">
        <v>39</v>
      </c>
      <c r="G945" s="7">
        <v>43800</v>
      </c>
      <c r="H945" t="s">
        <v>21</v>
      </c>
      <c r="I945" t="s">
        <v>69</v>
      </c>
      <c r="J945" t="s">
        <v>23</v>
      </c>
      <c r="K945" t="str">
        <f>IF(HR_Data5[[#This Row],[Age]]&lt;30,"Young",IF(HR_Data5[[#This Row],[Age]]&lt;=45,"Mid-Career","Senior"))</f>
        <v>Young</v>
      </c>
      <c r="L945" s="10">
        <f ca="1">DATEDIF(HR_Data5[[#This Row],[Joining Date]],TODAY(),"Y")</f>
        <v>6</v>
      </c>
      <c r="M945" s="10" t="str">
        <f>IF(HR_Data5[[#This Row],[Salary]]&lt;55000,"Low",IF(HR_Data5[[#This Row],[Salary]]&lt;=65000,"Medium","High"))</f>
        <v>High</v>
      </c>
      <c r="N945" s="10">
        <f>YEAR(HR_Data5[[#This Row],[Joining Date]])</f>
        <v>2019</v>
      </c>
      <c r="O945" s="10" cm="1">
        <f t="array" ref="O945">_xlfn.SWITCH(HR_Data5[[#This Row],[Performance Score]],
"A",5,
"B",4,
"C",3,
"D",2,
"F",1)</f>
        <v>1</v>
      </c>
      <c r="P945" s="10"/>
    </row>
    <row r="946" spans="1:16" x14ac:dyDescent="0.3">
      <c r="A946" t="s">
        <v>56</v>
      </c>
      <c r="B946">
        <v>40</v>
      </c>
      <c r="C946" s="6">
        <v>60000</v>
      </c>
      <c r="D946" t="s">
        <v>36</v>
      </c>
      <c r="E946" t="s">
        <v>19</v>
      </c>
      <c r="F946" t="s">
        <v>43</v>
      </c>
      <c r="G946" s="7">
        <v>43800</v>
      </c>
      <c r="H946" t="s">
        <v>27</v>
      </c>
      <c r="I946" t="s">
        <v>22</v>
      </c>
      <c r="J946" t="s">
        <v>28</v>
      </c>
      <c r="K946" t="str">
        <f>IF(HR_Data5[[#This Row],[Age]]&lt;30,"Young",IF(HR_Data5[[#This Row],[Age]]&lt;=45,"Mid-Career","Senior"))</f>
        <v>Mid-Career</v>
      </c>
      <c r="L946" s="10">
        <f ca="1">DATEDIF(HR_Data5[[#This Row],[Joining Date]],TODAY(),"Y")</f>
        <v>6</v>
      </c>
      <c r="M946" s="10" t="str">
        <f>IF(HR_Data5[[#This Row],[Salary]]&lt;55000,"Low",IF(HR_Data5[[#This Row],[Salary]]&lt;=65000,"Medium","High"))</f>
        <v>Medium</v>
      </c>
      <c r="N946" s="10">
        <f>YEAR(HR_Data5[[#This Row],[Joining Date]])</f>
        <v>2019</v>
      </c>
      <c r="O946" s="10" cm="1">
        <f t="array" ref="O946">_xlfn.SWITCH(HR_Data5[[#This Row],[Performance Score]],
"A",5,
"B",4,
"C",3,
"D",2,
"F",1)</f>
        <v>3</v>
      </c>
      <c r="P946" s="10"/>
    </row>
    <row r="947" spans="1:16" x14ac:dyDescent="0.3">
      <c r="A947" t="s">
        <v>51</v>
      </c>
      <c r="B947">
        <v>36</v>
      </c>
      <c r="C947" s="6">
        <v>70000</v>
      </c>
      <c r="D947" t="s">
        <v>36</v>
      </c>
      <c r="E947" t="s">
        <v>26</v>
      </c>
      <c r="F947" t="s">
        <v>43</v>
      </c>
      <c r="G947" s="7">
        <v>43800</v>
      </c>
      <c r="H947" t="s">
        <v>14</v>
      </c>
      <c r="I947" t="s">
        <v>15</v>
      </c>
      <c r="J947" t="s">
        <v>23</v>
      </c>
      <c r="K947" t="str">
        <f>IF(HR_Data5[[#This Row],[Age]]&lt;30,"Young",IF(HR_Data5[[#This Row],[Age]]&lt;=45,"Mid-Career","Senior"))</f>
        <v>Mid-Career</v>
      </c>
      <c r="L947" s="10">
        <f ca="1">DATEDIF(HR_Data5[[#This Row],[Joining Date]],TODAY(),"Y")</f>
        <v>6</v>
      </c>
      <c r="M947" s="10" t="str">
        <f>IF(HR_Data5[[#This Row],[Salary]]&lt;55000,"Low",IF(HR_Data5[[#This Row],[Salary]]&lt;=65000,"Medium","High"))</f>
        <v>High</v>
      </c>
      <c r="N947" s="10">
        <f>YEAR(HR_Data5[[#This Row],[Joining Date]])</f>
        <v>2019</v>
      </c>
      <c r="O947" s="10" cm="1">
        <f t="array" ref="O947">_xlfn.SWITCH(HR_Data5[[#This Row],[Performance Score]],
"A",5,
"B",4,
"C",3,
"D",2,
"F",1)</f>
        <v>2</v>
      </c>
      <c r="P947" s="10"/>
    </row>
    <row r="948" spans="1:16" x14ac:dyDescent="0.3">
      <c r="A948" t="s">
        <v>56</v>
      </c>
      <c r="B948">
        <v>30</v>
      </c>
      <c r="C948" s="6">
        <v>50000</v>
      </c>
      <c r="D948" t="s">
        <v>11</v>
      </c>
      <c r="E948" t="s">
        <v>37</v>
      </c>
      <c r="F948" t="s">
        <v>39</v>
      </c>
      <c r="G948" s="7">
        <v>43800</v>
      </c>
      <c r="H948" t="s">
        <v>41</v>
      </c>
      <c r="I948" t="s">
        <v>22</v>
      </c>
      <c r="J948" t="s">
        <v>69</v>
      </c>
      <c r="K948" t="str">
        <f>IF(HR_Data5[[#This Row],[Age]]&lt;30,"Young",IF(HR_Data5[[#This Row],[Age]]&lt;=45,"Mid-Career","Senior"))</f>
        <v>Mid-Career</v>
      </c>
      <c r="L948" s="10">
        <f ca="1">DATEDIF(HR_Data5[[#This Row],[Joining Date]],TODAY(),"Y")</f>
        <v>6</v>
      </c>
      <c r="M948" s="10" t="str">
        <f>IF(HR_Data5[[#This Row],[Salary]]&lt;55000,"Low",IF(HR_Data5[[#This Row],[Salary]]&lt;=65000,"Medium","High"))</f>
        <v>Low</v>
      </c>
      <c r="N948" s="10">
        <f>YEAR(HR_Data5[[#This Row],[Joining Date]])</f>
        <v>2019</v>
      </c>
      <c r="O948" s="10" cm="1">
        <f t="array" ref="O948">_xlfn.SWITCH(HR_Data5[[#This Row],[Performance Score]],
"A",5,
"B",4,
"C",3,
"D",2,
"F",1)</f>
        <v>4</v>
      </c>
      <c r="P948" s="10"/>
    </row>
    <row r="949" spans="1:16" x14ac:dyDescent="0.3">
      <c r="A949" t="s">
        <v>57</v>
      </c>
      <c r="B949">
        <v>40</v>
      </c>
      <c r="C949" s="6">
        <v>55000</v>
      </c>
      <c r="D949" t="s">
        <v>11</v>
      </c>
      <c r="E949" t="s">
        <v>30</v>
      </c>
      <c r="F949" t="s">
        <v>13</v>
      </c>
      <c r="G949" s="7">
        <v>43800</v>
      </c>
      <c r="H949" t="s">
        <v>31</v>
      </c>
      <c r="I949" t="s">
        <v>69</v>
      </c>
      <c r="J949" t="s">
        <v>28</v>
      </c>
      <c r="K949" t="str">
        <f>IF(HR_Data5[[#This Row],[Age]]&lt;30,"Young",IF(HR_Data5[[#This Row],[Age]]&lt;=45,"Mid-Career","Senior"))</f>
        <v>Mid-Career</v>
      </c>
      <c r="L949" s="10">
        <f ca="1">DATEDIF(HR_Data5[[#This Row],[Joining Date]],TODAY(),"Y")</f>
        <v>6</v>
      </c>
      <c r="M949" s="10" t="str">
        <f>IF(HR_Data5[[#This Row],[Salary]]&lt;55000,"Low",IF(HR_Data5[[#This Row],[Salary]]&lt;=65000,"Medium","High"))</f>
        <v>Medium</v>
      </c>
      <c r="N949" s="10">
        <f>YEAR(HR_Data5[[#This Row],[Joining Date]])</f>
        <v>2019</v>
      </c>
      <c r="O949" s="10" cm="1">
        <f t="array" ref="O949">_xlfn.SWITCH(HR_Data5[[#This Row],[Performance Score]],
"A",5,
"B",4,
"C",3,
"D",2,
"F",1)</f>
        <v>5</v>
      </c>
      <c r="P949" s="10"/>
    </row>
    <row r="950" spans="1:16" x14ac:dyDescent="0.3">
      <c r="A950" t="s">
        <v>57</v>
      </c>
      <c r="B950">
        <v>25</v>
      </c>
      <c r="C950" s="6">
        <v>65000</v>
      </c>
      <c r="D950" t="s">
        <v>36</v>
      </c>
      <c r="E950" t="s">
        <v>37</v>
      </c>
      <c r="F950" t="s">
        <v>13</v>
      </c>
      <c r="G950" s="7">
        <v>43800</v>
      </c>
      <c r="H950" t="s">
        <v>27</v>
      </c>
      <c r="I950" t="s">
        <v>15</v>
      </c>
      <c r="J950" t="s">
        <v>69</v>
      </c>
      <c r="K950" t="str">
        <f>IF(HR_Data5[[#This Row],[Age]]&lt;30,"Young",IF(HR_Data5[[#This Row],[Age]]&lt;=45,"Mid-Career","Senior"))</f>
        <v>Young</v>
      </c>
      <c r="L950" s="10">
        <f ca="1">DATEDIF(HR_Data5[[#This Row],[Joining Date]],TODAY(),"Y")</f>
        <v>6</v>
      </c>
      <c r="M950" s="10" t="str">
        <f>IF(HR_Data5[[#This Row],[Salary]]&lt;55000,"Low",IF(HR_Data5[[#This Row],[Salary]]&lt;=65000,"Medium","High"))</f>
        <v>Medium</v>
      </c>
      <c r="N950" s="10">
        <f>YEAR(HR_Data5[[#This Row],[Joining Date]])</f>
        <v>2019</v>
      </c>
      <c r="O950" s="10" cm="1">
        <f t="array" ref="O950">_xlfn.SWITCH(HR_Data5[[#This Row],[Performance Score]],
"A",5,
"B",4,
"C",3,
"D",2,
"F",1)</f>
        <v>3</v>
      </c>
      <c r="P950" s="10"/>
    </row>
    <row r="951" spans="1:16" x14ac:dyDescent="0.3">
      <c r="A951" t="s">
        <v>56</v>
      </c>
      <c r="B951">
        <v>35</v>
      </c>
      <c r="C951" s="6">
        <v>55000</v>
      </c>
      <c r="D951" t="s">
        <v>36</v>
      </c>
      <c r="E951" t="s">
        <v>12</v>
      </c>
      <c r="F951" t="s">
        <v>44</v>
      </c>
      <c r="G951" s="7">
        <v>43845</v>
      </c>
      <c r="H951" t="s">
        <v>41</v>
      </c>
      <c r="I951" t="s">
        <v>69</v>
      </c>
      <c r="J951" t="s">
        <v>45</v>
      </c>
      <c r="K951" t="str">
        <f>IF(HR_Data5[[#This Row],[Age]]&lt;30,"Young",IF(HR_Data5[[#This Row],[Age]]&lt;=45,"Mid-Career","Senior"))</f>
        <v>Mid-Career</v>
      </c>
      <c r="L951" s="10">
        <f ca="1">DATEDIF(HR_Data5[[#This Row],[Joining Date]],TODAY(),"Y")</f>
        <v>6</v>
      </c>
      <c r="M951" s="10" t="str">
        <f>IF(HR_Data5[[#This Row],[Salary]]&lt;55000,"Low",IF(HR_Data5[[#This Row],[Salary]]&lt;=65000,"Medium","High"))</f>
        <v>Medium</v>
      </c>
      <c r="N951" s="10">
        <f>YEAR(HR_Data5[[#This Row],[Joining Date]])</f>
        <v>2020</v>
      </c>
      <c r="O951" s="10" cm="1">
        <f t="array" ref="O951">_xlfn.SWITCH(HR_Data5[[#This Row],[Performance Score]],
"A",5,
"B",4,
"C",3,
"D",2,
"F",1)</f>
        <v>4</v>
      </c>
      <c r="P951" s="10"/>
    </row>
    <row r="952" spans="1:16" x14ac:dyDescent="0.3">
      <c r="A952" t="s">
        <v>51</v>
      </c>
      <c r="B952">
        <v>50</v>
      </c>
      <c r="C952" s="6">
        <v>50000</v>
      </c>
      <c r="D952" t="s">
        <v>36</v>
      </c>
      <c r="E952" t="s">
        <v>37</v>
      </c>
      <c r="F952" t="s">
        <v>20</v>
      </c>
      <c r="G952" s="7">
        <v>43549</v>
      </c>
      <c r="H952" t="s">
        <v>31</v>
      </c>
      <c r="I952" t="s">
        <v>32</v>
      </c>
      <c r="J952" t="s">
        <v>23</v>
      </c>
      <c r="K952" t="str">
        <f>IF(HR_Data5[[#This Row],[Age]]&lt;30,"Young",IF(HR_Data5[[#This Row],[Age]]&lt;=45,"Mid-Career","Senior"))</f>
        <v>Senior</v>
      </c>
      <c r="L952" s="10">
        <f ca="1">DATEDIF(HR_Data5[[#This Row],[Joining Date]],TODAY(),"Y")</f>
        <v>6</v>
      </c>
      <c r="M952" s="10" t="str">
        <f>IF(HR_Data5[[#This Row],[Salary]]&lt;55000,"Low",IF(HR_Data5[[#This Row],[Salary]]&lt;=65000,"Medium","High"))</f>
        <v>Low</v>
      </c>
      <c r="N952" s="10">
        <f>YEAR(HR_Data5[[#This Row],[Joining Date]])</f>
        <v>2019</v>
      </c>
      <c r="O952" s="10" cm="1">
        <f t="array" ref="O952">_xlfn.SWITCH(HR_Data5[[#This Row],[Performance Score]],
"A",5,
"B",4,
"C",3,
"D",2,
"F",1)</f>
        <v>5</v>
      </c>
      <c r="P952" s="10"/>
    </row>
    <row r="953" spans="1:16" x14ac:dyDescent="0.3">
      <c r="A953" t="s">
        <v>56</v>
      </c>
      <c r="B953">
        <v>40</v>
      </c>
      <c r="C953" s="6">
        <v>55000</v>
      </c>
      <c r="D953" t="s">
        <v>36</v>
      </c>
      <c r="E953" t="s">
        <v>26</v>
      </c>
      <c r="F953" t="s">
        <v>20</v>
      </c>
      <c r="G953" s="7">
        <v>43800</v>
      </c>
      <c r="H953" t="s">
        <v>27</v>
      </c>
      <c r="I953" t="s">
        <v>15</v>
      </c>
      <c r="J953" t="s">
        <v>45</v>
      </c>
      <c r="K953" t="str">
        <f>IF(HR_Data5[[#This Row],[Age]]&lt;30,"Young",IF(HR_Data5[[#This Row],[Age]]&lt;=45,"Mid-Career","Senior"))</f>
        <v>Mid-Career</v>
      </c>
      <c r="L953" s="10">
        <f ca="1">DATEDIF(HR_Data5[[#This Row],[Joining Date]],TODAY(),"Y")</f>
        <v>6</v>
      </c>
      <c r="M953" s="10" t="str">
        <f>IF(HR_Data5[[#This Row],[Salary]]&lt;55000,"Low",IF(HR_Data5[[#This Row],[Salary]]&lt;=65000,"Medium","High"))</f>
        <v>Medium</v>
      </c>
      <c r="N953" s="10">
        <f>YEAR(HR_Data5[[#This Row],[Joining Date]])</f>
        <v>2019</v>
      </c>
      <c r="O953" s="10" cm="1">
        <f t="array" ref="O953">_xlfn.SWITCH(HR_Data5[[#This Row],[Performance Score]],
"A",5,
"B",4,
"C",3,
"D",2,
"F",1)</f>
        <v>3</v>
      </c>
      <c r="P953" s="10"/>
    </row>
    <row r="954" spans="1:16" x14ac:dyDescent="0.3">
      <c r="A954" t="s">
        <v>53</v>
      </c>
      <c r="B954">
        <v>40</v>
      </c>
      <c r="C954" s="6">
        <v>50000</v>
      </c>
      <c r="D954" t="s">
        <v>11</v>
      </c>
      <c r="E954" t="s">
        <v>26</v>
      </c>
      <c r="F954" t="s">
        <v>20</v>
      </c>
      <c r="G954" s="7">
        <v>43549</v>
      </c>
      <c r="H954" t="s">
        <v>41</v>
      </c>
      <c r="I954" t="s">
        <v>69</v>
      </c>
      <c r="J954" t="s">
        <v>23</v>
      </c>
      <c r="K954" t="str">
        <f>IF(HR_Data5[[#This Row],[Age]]&lt;30,"Young",IF(HR_Data5[[#This Row],[Age]]&lt;=45,"Mid-Career","Senior"))</f>
        <v>Mid-Career</v>
      </c>
      <c r="L954" s="10">
        <f ca="1">DATEDIF(HR_Data5[[#This Row],[Joining Date]],TODAY(),"Y")</f>
        <v>6</v>
      </c>
      <c r="M954" s="10" t="str">
        <f>IF(HR_Data5[[#This Row],[Salary]]&lt;55000,"Low",IF(HR_Data5[[#This Row],[Salary]]&lt;=65000,"Medium","High"))</f>
        <v>Low</v>
      </c>
      <c r="N954" s="10">
        <f>YEAR(HR_Data5[[#This Row],[Joining Date]])</f>
        <v>2019</v>
      </c>
      <c r="O954" s="10" cm="1">
        <f t="array" ref="O954">_xlfn.SWITCH(HR_Data5[[#This Row],[Performance Score]],
"A",5,
"B",4,
"C",3,
"D",2,
"F",1)</f>
        <v>4</v>
      </c>
      <c r="P954" s="10"/>
    </row>
    <row r="955" spans="1:16" x14ac:dyDescent="0.3">
      <c r="A955" t="s">
        <v>55</v>
      </c>
      <c r="B955">
        <v>35</v>
      </c>
      <c r="C955" s="6" t="s">
        <v>68</v>
      </c>
      <c r="D955" t="s">
        <v>11</v>
      </c>
      <c r="E955" t="s">
        <v>37</v>
      </c>
      <c r="F955" t="s">
        <v>44</v>
      </c>
      <c r="G955" s="7">
        <v>43800</v>
      </c>
      <c r="H955" t="s">
        <v>41</v>
      </c>
      <c r="I955" t="s">
        <v>15</v>
      </c>
      <c r="J955" t="s">
        <v>69</v>
      </c>
      <c r="K955" t="str">
        <f>IF(HR_Data5[[#This Row],[Age]]&lt;30,"Young",IF(HR_Data5[[#This Row],[Age]]&lt;=45,"Mid-Career","Senior"))</f>
        <v>Mid-Career</v>
      </c>
      <c r="L955" s="10">
        <f ca="1">DATEDIF(HR_Data5[[#This Row],[Joining Date]],TODAY(),"Y")</f>
        <v>6</v>
      </c>
      <c r="M955" s="10" t="str">
        <f>IF(HR_Data5[[#This Row],[Salary]]&lt;55000,"Low",IF(HR_Data5[[#This Row],[Salary]]&lt;=65000,"Medium","High"))</f>
        <v>High</v>
      </c>
      <c r="N955" s="10">
        <f>YEAR(HR_Data5[[#This Row],[Joining Date]])</f>
        <v>2019</v>
      </c>
      <c r="O955" s="10" cm="1">
        <f t="array" ref="O955">_xlfn.SWITCH(HR_Data5[[#This Row],[Performance Score]],
"A",5,
"B",4,
"C",3,
"D",2,
"F",1)</f>
        <v>4</v>
      </c>
      <c r="P955" s="10"/>
    </row>
    <row r="956" spans="1:16" x14ac:dyDescent="0.3">
      <c r="A956" t="s">
        <v>52</v>
      </c>
      <c r="B956">
        <v>40</v>
      </c>
      <c r="C956" s="6">
        <v>60000</v>
      </c>
      <c r="D956" t="s">
        <v>36</v>
      </c>
      <c r="E956" t="s">
        <v>26</v>
      </c>
      <c r="F956" t="s">
        <v>20</v>
      </c>
      <c r="G956" s="7">
        <v>43195</v>
      </c>
      <c r="H956" t="s">
        <v>27</v>
      </c>
      <c r="I956" t="s">
        <v>22</v>
      </c>
      <c r="J956" t="s">
        <v>69</v>
      </c>
      <c r="K956" t="str">
        <f>IF(HR_Data5[[#This Row],[Age]]&lt;30,"Young",IF(HR_Data5[[#This Row],[Age]]&lt;=45,"Mid-Career","Senior"))</f>
        <v>Mid-Career</v>
      </c>
      <c r="L956" s="10">
        <f ca="1">DATEDIF(HR_Data5[[#This Row],[Joining Date]],TODAY(),"Y")</f>
        <v>7</v>
      </c>
      <c r="M956" s="10" t="str">
        <f>IF(HR_Data5[[#This Row],[Salary]]&lt;55000,"Low",IF(HR_Data5[[#This Row],[Salary]]&lt;=65000,"Medium","High"))</f>
        <v>Medium</v>
      </c>
      <c r="N956" s="10">
        <f>YEAR(HR_Data5[[#This Row],[Joining Date]])</f>
        <v>2018</v>
      </c>
      <c r="O956" s="10" cm="1">
        <f t="array" ref="O956">_xlfn.SWITCH(HR_Data5[[#This Row],[Performance Score]],
"A",5,
"B",4,
"C",3,
"D",2,
"F",1)</f>
        <v>3</v>
      </c>
      <c r="P956" s="10"/>
    </row>
    <row r="957" spans="1:16" x14ac:dyDescent="0.3">
      <c r="A957" t="s">
        <v>59</v>
      </c>
      <c r="B957">
        <v>25</v>
      </c>
      <c r="C957" s="6">
        <v>65000</v>
      </c>
      <c r="D957" t="s">
        <v>18</v>
      </c>
      <c r="E957" t="s">
        <v>30</v>
      </c>
      <c r="F957" t="s">
        <v>39</v>
      </c>
      <c r="G957" s="7">
        <v>43800</v>
      </c>
      <c r="H957" t="s">
        <v>41</v>
      </c>
      <c r="I957" t="s">
        <v>15</v>
      </c>
      <c r="J957" t="s">
        <v>28</v>
      </c>
      <c r="K957" t="str">
        <f>IF(HR_Data5[[#This Row],[Age]]&lt;30,"Young",IF(HR_Data5[[#This Row],[Age]]&lt;=45,"Mid-Career","Senior"))</f>
        <v>Young</v>
      </c>
      <c r="L957" s="10">
        <f ca="1">DATEDIF(HR_Data5[[#This Row],[Joining Date]],TODAY(),"Y")</f>
        <v>6</v>
      </c>
      <c r="M957" s="10" t="str">
        <f>IF(HR_Data5[[#This Row],[Salary]]&lt;55000,"Low",IF(HR_Data5[[#This Row],[Salary]]&lt;=65000,"Medium","High"))</f>
        <v>Medium</v>
      </c>
      <c r="N957" s="10">
        <f>YEAR(HR_Data5[[#This Row],[Joining Date]])</f>
        <v>2019</v>
      </c>
      <c r="O957" s="10" cm="1">
        <f t="array" ref="O957">_xlfn.SWITCH(HR_Data5[[#This Row],[Performance Score]],
"A",5,
"B",4,
"C",3,
"D",2,
"F",1)</f>
        <v>4</v>
      </c>
      <c r="P957" s="10"/>
    </row>
    <row r="958" spans="1:16" x14ac:dyDescent="0.3">
      <c r="A958" t="s">
        <v>52</v>
      </c>
      <c r="B958">
        <v>25</v>
      </c>
      <c r="C958" s="6">
        <v>50000</v>
      </c>
      <c r="D958" t="s">
        <v>18</v>
      </c>
      <c r="E958" t="s">
        <v>37</v>
      </c>
      <c r="F958" t="s">
        <v>44</v>
      </c>
      <c r="G958" s="7">
        <v>43881</v>
      </c>
      <c r="H958" t="s">
        <v>21</v>
      </c>
      <c r="I958" t="s">
        <v>69</v>
      </c>
      <c r="J958" t="s">
        <v>69</v>
      </c>
      <c r="K958" t="str">
        <f>IF(HR_Data5[[#This Row],[Age]]&lt;30,"Young",IF(HR_Data5[[#This Row],[Age]]&lt;=45,"Mid-Career","Senior"))</f>
        <v>Young</v>
      </c>
      <c r="L958" s="10">
        <f ca="1">DATEDIF(HR_Data5[[#This Row],[Joining Date]],TODAY(),"Y")</f>
        <v>6</v>
      </c>
      <c r="M958" s="10" t="str">
        <f>IF(HR_Data5[[#This Row],[Salary]]&lt;55000,"Low",IF(HR_Data5[[#This Row],[Salary]]&lt;=65000,"Medium","High"))</f>
        <v>Low</v>
      </c>
      <c r="N958" s="10">
        <f>YEAR(HR_Data5[[#This Row],[Joining Date]])</f>
        <v>2020</v>
      </c>
      <c r="O958" s="10" cm="1">
        <f t="array" ref="O958">_xlfn.SWITCH(HR_Data5[[#This Row],[Performance Score]],
"A",5,
"B",4,
"C",3,
"D",2,
"F",1)</f>
        <v>1</v>
      </c>
      <c r="P958" s="10"/>
    </row>
    <row r="959" spans="1:16" x14ac:dyDescent="0.3">
      <c r="A959" t="s">
        <v>51</v>
      </c>
      <c r="B959">
        <v>35</v>
      </c>
      <c r="C959" s="6">
        <v>55000</v>
      </c>
      <c r="D959" t="s">
        <v>11</v>
      </c>
      <c r="E959" t="s">
        <v>30</v>
      </c>
      <c r="F959" t="s">
        <v>39</v>
      </c>
      <c r="G959" s="7">
        <v>43845</v>
      </c>
      <c r="H959" t="s">
        <v>27</v>
      </c>
      <c r="I959" t="s">
        <v>15</v>
      </c>
      <c r="J959" t="s">
        <v>23</v>
      </c>
      <c r="K959" t="str">
        <f>IF(HR_Data5[[#This Row],[Age]]&lt;30,"Young",IF(HR_Data5[[#This Row],[Age]]&lt;=45,"Mid-Career","Senior"))</f>
        <v>Mid-Career</v>
      </c>
      <c r="L959" s="10">
        <f ca="1">DATEDIF(HR_Data5[[#This Row],[Joining Date]],TODAY(),"Y")</f>
        <v>6</v>
      </c>
      <c r="M959" s="10" t="str">
        <f>IF(HR_Data5[[#This Row],[Salary]]&lt;55000,"Low",IF(HR_Data5[[#This Row],[Salary]]&lt;=65000,"Medium","High"))</f>
        <v>Medium</v>
      </c>
      <c r="N959" s="10">
        <f>YEAR(HR_Data5[[#This Row],[Joining Date]])</f>
        <v>2020</v>
      </c>
      <c r="O959" s="10" cm="1">
        <f t="array" ref="O959">_xlfn.SWITCH(HR_Data5[[#This Row],[Performance Score]],
"A",5,
"B",4,
"C",3,
"D",2,
"F",1)</f>
        <v>3</v>
      </c>
      <c r="P959" s="10"/>
    </row>
    <row r="960" spans="1:16" x14ac:dyDescent="0.3">
      <c r="A960" t="s">
        <v>52</v>
      </c>
      <c r="B960">
        <v>50</v>
      </c>
      <c r="C960" s="6">
        <v>65000</v>
      </c>
      <c r="D960" t="s">
        <v>36</v>
      </c>
      <c r="E960" t="s">
        <v>30</v>
      </c>
      <c r="F960" t="s">
        <v>44</v>
      </c>
      <c r="G960" s="7">
        <v>43195</v>
      </c>
      <c r="H960" t="s">
        <v>41</v>
      </c>
      <c r="I960" t="s">
        <v>32</v>
      </c>
      <c r="J960" t="s">
        <v>23</v>
      </c>
      <c r="K960" t="str">
        <f>IF(HR_Data5[[#This Row],[Age]]&lt;30,"Young",IF(HR_Data5[[#This Row],[Age]]&lt;=45,"Mid-Career","Senior"))</f>
        <v>Senior</v>
      </c>
      <c r="L960" s="10">
        <f ca="1">DATEDIF(HR_Data5[[#This Row],[Joining Date]],TODAY(),"Y")</f>
        <v>7</v>
      </c>
      <c r="M960" s="10" t="str">
        <f>IF(HR_Data5[[#This Row],[Salary]]&lt;55000,"Low",IF(HR_Data5[[#This Row],[Salary]]&lt;=65000,"Medium","High"))</f>
        <v>Medium</v>
      </c>
      <c r="N960" s="10">
        <f>YEAR(HR_Data5[[#This Row],[Joining Date]])</f>
        <v>2018</v>
      </c>
      <c r="O960" s="10" cm="1">
        <f t="array" ref="O960">_xlfn.SWITCH(HR_Data5[[#This Row],[Performance Score]],
"A",5,
"B",4,
"C",3,
"D",2,
"F",1)</f>
        <v>4</v>
      </c>
      <c r="P960" s="10"/>
    </row>
    <row r="961" spans="1:16" x14ac:dyDescent="0.3">
      <c r="A961" t="s">
        <v>57</v>
      </c>
      <c r="B961">
        <v>36</v>
      </c>
      <c r="C961" s="6">
        <v>60000</v>
      </c>
      <c r="D961" t="s">
        <v>36</v>
      </c>
      <c r="E961" t="s">
        <v>19</v>
      </c>
      <c r="F961" t="s">
        <v>20</v>
      </c>
      <c r="G961" s="7">
        <v>43195</v>
      </c>
      <c r="H961" t="s">
        <v>31</v>
      </c>
      <c r="I961" t="s">
        <v>15</v>
      </c>
      <c r="J961" t="s">
        <v>23</v>
      </c>
      <c r="K961" t="str">
        <f>IF(HR_Data5[[#This Row],[Age]]&lt;30,"Young",IF(HR_Data5[[#This Row],[Age]]&lt;=45,"Mid-Career","Senior"))</f>
        <v>Mid-Career</v>
      </c>
      <c r="L961" s="10">
        <f ca="1">DATEDIF(HR_Data5[[#This Row],[Joining Date]],TODAY(),"Y")</f>
        <v>7</v>
      </c>
      <c r="M961" s="10" t="str">
        <f>IF(HR_Data5[[#This Row],[Salary]]&lt;55000,"Low",IF(HR_Data5[[#This Row],[Salary]]&lt;=65000,"Medium","High"))</f>
        <v>Medium</v>
      </c>
      <c r="N961" s="10">
        <f>YEAR(HR_Data5[[#This Row],[Joining Date]])</f>
        <v>2018</v>
      </c>
      <c r="O961" s="10" cm="1">
        <f t="array" ref="O961">_xlfn.SWITCH(HR_Data5[[#This Row],[Performance Score]],
"A",5,
"B",4,
"C",3,
"D",2,
"F",1)</f>
        <v>5</v>
      </c>
      <c r="P961" s="10"/>
    </row>
    <row r="962" spans="1:16" x14ac:dyDescent="0.3">
      <c r="A962" t="s">
        <v>60</v>
      </c>
      <c r="B962">
        <v>30</v>
      </c>
      <c r="C962" s="6" t="s">
        <v>68</v>
      </c>
      <c r="D962" t="s">
        <v>11</v>
      </c>
      <c r="E962" t="s">
        <v>37</v>
      </c>
      <c r="F962" t="s">
        <v>39</v>
      </c>
      <c r="G962" s="7">
        <v>43881</v>
      </c>
      <c r="H962" t="s">
        <v>31</v>
      </c>
      <c r="I962" t="s">
        <v>22</v>
      </c>
      <c r="J962" t="s">
        <v>23</v>
      </c>
      <c r="K962" t="str">
        <f>IF(HR_Data5[[#This Row],[Age]]&lt;30,"Young",IF(HR_Data5[[#This Row],[Age]]&lt;=45,"Mid-Career","Senior"))</f>
        <v>Mid-Career</v>
      </c>
      <c r="L962" s="10">
        <f ca="1">DATEDIF(HR_Data5[[#This Row],[Joining Date]],TODAY(),"Y")</f>
        <v>6</v>
      </c>
      <c r="M962" s="10" t="str">
        <f>IF(HR_Data5[[#This Row],[Salary]]&lt;55000,"Low",IF(HR_Data5[[#This Row],[Salary]]&lt;=65000,"Medium","High"))</f>
        <v>High</v>
      </c>
      <c r="N962" s="10">
        <f>YEAR(HR_Data5[[#This Row],[Joining Date]])</f>
        <v>2020</v>
      </c>
      <c r="O962" s="10" cm="1">
        <f t="array" ref="O962">_xlfn.SWITCH(HR_Data5[[#This Row],[Performance Score]],
"A",5,
"B",4,
"C",3,
"D",2,
"F",1)</f>
        <v>5</v>
      </c>
      <c r="P962" s="10"/>
    </row>
    <row r="963" spans="1:16" x14ac:dyDescent="0.3">
      <c r="A963" t="s">
        <v>59</v>
      </c>
      <c r="B963">
        <v>36</v>
      </c>
      <c r="C963" s="6">
        <v>65000</v>
      </c>
      <c r="D963" t="s">
        <v>18</v>
      </c>
      <c r="E963" t="s">
        <v>26</v>
      </c>
      <c r="F963" t="s">
        <v>39</v>
      </c>
      <c r="G963" s="7">
        <v>43800</v>
      </c>
      <c r="H963" t="s">
        <v>21</v>
      </c>
      <c r="I963" t="s">
        <v>15</v>
      </c>
      <c r="J963" t="s">
        <v>28</v>
      </c>
      <c r="K963" t="str">
        <f>IF(HR_Data5[[#This Row],[Age]]&lt;30,"Young",IF(HR_Data5[[#This Row],[Age]]&lt;=45,"Mid-Career","Senior"))</f>
        <v>Mid-Career</v>
      </c>
      <c r="L963" s="10">
        <f ca="1">DATEDIF(HR_Data5[[#This Row],[Joining Date]],TODAY(),"Y")</f>
        <v>6</v>
      </c>
      <c r="M963" s="10" t="str">
        <f>IF(HR_Data5[[#This Row],[Salary]]&lt;55000,"Low",IF(HR_Data5[[#This Row],[Salary]]&lt;=65000,"Medium","High"))</f>
        <v>Medium</v>
      </c>
      <c r="N963" s="10">
        <f>YEAR(HR_Data5[[#This Row],[Joining Date]])</f>
        <v>2019</v>
      </c>
      <c r="O963" s="10" cm="1">
        <f t="array" ref="O963">_xlfn.SWITCH(HR_Data5[[#This Row],[Performance Score]],
"A",5,
"B",4,
"C",3,
"D",2,
"F",1)</f>
        <v>1</v>
      </c>
      <c r="P963" s="10"/>
    </row>
    <row r="964" spans="1:16" x14ac:dyDescent="0.3">
      <c r="A964" t="s">
        <v>54</v>
      </c>
      <c r="B964">
        <v>40</v>
      </c>
      <c r="C964" s="6">
        <v>50000</v>
      </c>
      <c r="D964" t="s">
        <v>18</v>
      </c>
      <c r="E964" t="s">
        <v>30</v>
      </c>
      <c r="F964" t="s">
        <v>39</v>
      </c>
      <c r="G964" s="7">
        <v>43845</v>
      </c>
      <c r="H964" t="s">
        <v>27</v>
      </c>
      <c r="I964" t="s">
        <v>69</v>
      </c>
      <c r="J964" t="s">
        <v>45</v>
      </c>
      <c r="K964" t="str">
        <f>IF(HR_Data5[[#This Row],[Age]]&lt;30,"Young",IF(HR_Data5[[#This Row],[Age]]&lt;=45,"Mid-Career","Senior"))</f>
        <v>Mid-Career</v>
      </c>
      <c r="L964" s="10">
        <f ca="1">DATEDIF(HR_Data5[[#This Row],[Joining Date]],TODAY(),"Y")</f>
        <v>6</v>
      </c>
      <c r="M964" s="10" t="str">
        <f>IF(HR_Data5[[#This Row],[Salary]]&lt;55000,"Low",IF(HR_Data5[[#This Row],[Salary]]&lt;=65000,"Medium","High"))</f>
        <v>Low</v>
      </c>
      <c r="N964" s="10">
        <f>YEAR(HR_Data5[[#This Row],[Joining Date]])</f>
        <v>2020</v>
      </c>
      <c r="O964" s="10" cm="1">
        <f t="array" ref="O964">_xlfn.SWITCH(HR_Data5[[#This Row],[Performance Score]],
"A",5,
"B",4,
"C",3,
"D",2,
"F",1)</f>
        <v>3</v>
      </c>
      <c r="P964" s="10"/>
    </row>
    <row r="965" spans="1:16" x14ac:dyDescent="0.3">
      <c r="A965" t="s">
        <v>51</v>
      </c>
      <c r="B965">
        <v>30</v>
      </c>
      <c r="C965" s="6">
        <v>60000</v>
      </c>
      <c r="D965" t="s">
        <v>18</v>
      </c>
      <c r="E965" t="s">
        <v>19</v>
      </c>
      <c r="F965" t="s">
        <v>44</v>
      </c>
      <c r="G965" s="7">
        <v>43195</v>
      </c>
      <c r="H965" t="s">
        <v>41</v>
      </c>
      <c r="I965" t="s">
        <v>69</v>
      </c>
      <c r="J965" t="s">
        <v>69</v>
      </c>
      <c r="K965" t="str">
        <f>IF(HR_Data5[[#This Row],[Age]]&lt;30,"Young",IF(HR_Data5[[#This Row],[Age]]&lt;=45,"Mid-Career","Senior"))</f>
        <v>Mid-Career</v>
      </c>
      <c r="L965" s="10">
        <f ca="1">DATEDIF(HR_Data5[[#This Row],[Joining Date]],TODAY(),"Y")</f>
        <v>7</v>
      </c>
      <c r="M965" s="10" t="str">
        <f>IF(HR_Data5[[#This Row],[Salary]]&lt;55000,"Low",IF(HR_Data5[[#This Row],[Salary]]&lt;=65000,"Medium","High"))</f>
        <v>Medium</v>
      </c>
      <c r="N965" s="10">
        <f>YEAR(HR_Data5[[#This Row],[Joining Date]])</f>
        <v>2018</v>
      </c>
      <c r="O965" s="10" cm="1">
        <f t="array" ref="O965">_xlfn.SWITCH(HR_Data5[[#This Row],[Performance Score]],
"A",5,
"B",4,
"C",3,
"D",2,
"F",1)</f>
        <v>4</v>
      </c>
      <c r="P965" s="10"/>
    </row>
    <row r="966" spans="1:16" x14ac:dyDescent="0.3">
      <c r="A966" t="s">
        <v>59</v>
      </c>
      <c r="B966">
        <v>35</v>
      </c>
      <c r="C966" s="6">
        <v>55000</v>
      </c>
      <c r="D966" t="s">
        <v>11</v>
      </c>
      <c r="E966" t="s">
        <v>37</v>
      </c>
      <c r="F966" t="s">
        <v>43</v>
      </c>
      <c r="G966" s="7">
        <v>43845</v>
      </c>
      <c r="H966" t="s">
        <v>41</v>
      </c>
      <c r="I966" t="s">
        <v>15</v>
      </c>
      <c r="J966" t="s">
        <v>28</v>
      </c>
      <c r="K966" t="str">
        <f>IF(HR_Data5[[#This Row],[Age]]&lt;30,"Young",IF(HR_Data5[[#This Row],[Age]]&lt;=45,"Mid-Career","Senior"))</f>
        <v>Mid-Career</v>
      </c>
      <c r="L966" s="10">
        <f ca="1">DATEDIF(HR_Data5[[#This Row],[Joining Date]],TODAY(),"Y")</f>
        <v>6</v>
      </c>
      <c r="M966" s="10" t="str">
        <f>IF(HR_Data5[[#This Row],[Salary]]&lt;55000,"Low",IF(HR_Data5[[#This Row],[Salary]]&lt;=65000,"Medium","High"))</f>
        <v>Medium</v>
      </c>
      <c r="N966" s="10">
        <f>YEAR(HR_Data5[[#This Row],[Joining Date]])</f>
        <v>2020</v>
      </c>
      <c r="O966" s="10" cm="1">
        <f t="array" ref="O966">_xlfn.SWITCH(HR_Data5[[#This Row],[Performance Score]],
"A",5,
"B",4,
"C",3,
"D",2,
"F",1)</f>
        <v>4</v>
      </c>
      <c r="P966" s="10"/>
    </row>
    <row r="967" spans="1:16" x14ac:dyDescent="0.3">
      <c r="A967" t="s">
        <v>52</v>
      </c>
      <c r="B967">
        <v>35</v>
      </c>
      <c r="C967" s="6">
        <v>60000</v>
      </c>
      <c r="D967" t="s">
        <v>18</v>
      </c>
      <c r="E967" t="s">
        <v>37</v>
      </c>
      <c r="F967" t="s">
        <v>20</v>
      </c>
      <c r="G967" s="7">
        <v>43195</v>
      </c>
      <c r="H967" t="s">
        <v>31</v>
      </c>
      <c r="I967" t="s">
        <v>15</v>
      </c>
      <c r="J967" t="s">
        <v>23</v>
      </c>
      <c r="K967" t="str">
        <f>IF(HR_Data5[[#This Row],[Age]]&lt;30,"Young",IF(HR_Data5[[#This Row],[Age]]&lt;=45,"Mid-Career","Senior"))</f>
        <v>Mid-Career</v>
      </c>
      <c r="L967" s="10">
        <f ca="1">DATEDIF(HR_Data5[[#This Row],[Joining Date]],TODAY(),"Y")</f>
        <v>7</v>
      </c>
      <c r="M967" s="10" t="str">
        <f>IF(HR_Data5[[#This Row],[Salary]]&lt;55000,"Low",IF(HR_Data5[[#This Row],[Salary]]&lt;=65000,"Medium","High"))</f>
        <v>Medium</v>
      </c>
      <c r="N967" s="10">
        <f>YEAR(HR_Data5[[#This Row],[Joining Date]])</f>
        <v>2018</v>
      </c>
      <c r="O967" s="10" cm="1">
        <f t="array" ref="O967">_xlfn.SWITCH(HR_Data5[[#This Row],[Performance Score]],
"A",5,
"B",4,
"C",3,
"D",2,
"F",1)</f>
        <v>5</v>
      </c>
      <c r="P967" s="10"/>
    </row>
    <row r="968" spans="1:16" x14ac:dyDescent="0.3">
      <c r="A968" t="s">
        <v>57</v>
      </c>
      <c r="B968">
        <v>50</v>
      </c>
      <c r="C968" s="6">
        <v>60000</v>
      </c>
      <c r="D968" t="s">
        <v>11</v>
      </c>
      <c r="E968" t="s">
        <v>12</v>
      </c>
      <c r="F968" t="s">
        <v>39</v>
      </c>
      <c r="G968" s="7">
        <v>43800</v>
      </c>
      <c r="H968" t="s">
        <v>21</v>
      </c>
      <c r="I968" t="s">
        <v>32</v>
      </c>
      <c r="J968" t="s">
        <v>28</v>
      </c>
      <c r="K968" t="str">
        <f>IF(HR_Data5[[#This Row],[Age]]&lt;30,"Young",IF(HR_Data5[[#This Row],[Age]]&lt;=45,"Mid-Career","Senior"))</f>
        <v>Senior</v>
      </c>
      <c r="L968" s="10">
        <f ca="1">DATEDIF(HR_Data5[[#This Row],[Joining Date]],TODAY(),"Y")</f>
        <v>6</v>
      </c>
      <c r="M968" s="10" t="str">
        <f>IF(HR_Data5[[#This Row],[Salary]]&lt;55000,"Low",IF(HR_Data5[[#This Row],[Salary]]&lt;=65000,"Medium","High"))</f>
        <v>Medium</v>
      </c>
      <c r="N968" s="10">
        <f>YEAR(HR_Data5[[#This Row],[Joining Date]])</f>
        <v>2019</v>
      </c>
      <c r="O968" s="10" cm="1">
        <f t="array" ref="O968">_xlfn.SWITCH(HR_Data5[[#This Row],[Performance Score]],
"A",5,
"B",4,
"C",3,
"D",2,
"F",1)</f>
        <v>1</v>
      </c>
      <c r="P968" s="10"/>
    </row>
    <row r="969" spans="1:16" x14ac:dyDescent="0.3">
      <c r="A969" t="s">
        <v>58</v>
      </c>
      <c r="B969">
        <v>30</v>
      </c>
      <c r="C969" s="6">
        <v>70000</v>
      </c>
      <c r="D969" t="s">
        <v>11</v>
      </c>
      <c r="E969" t="s">
        <v>12</v>
      </c>
      <c r="F969" t="s">
        <v>43</v>
      </c>
      <c r="G969" s="7">
        <v>43195</v>
      </c>
      <c r="H969" t="s">
        <v>31</v>
      </c>
      <c r="I969" t="s">
        <v>69</v>
      </c>
      <c r="J969" t="s">
        <v>69</v>
      </c>
      <c r="K969" t="str">
        <f>IF(HR_Data5[[#This Row],[Age]]&lt;30,"Young",IF(HR_Data5[[#This Row],[Age]]&lt;=45,"Mid-Career","Senior"))</f>
        <v>Mid-Career</v>
      </c>
      <c r="L969" s="10">
        <f ca="1">DATEDIF(HR_Data5[[#This Row],[Joining Date]],TODAY(),"Y")</f>
        <v>7</v>
      </c>
      <c r="M969" s="10" t="str">
        <f>IF(HR_Data5[[#This Row],[Salary]]&lt;55000,"Low",IF(HR_Data5[[#This Row],[Salary]]&lt;=65000,"Medium","High"))</f>
        <v>High</v>
      </c>
      <c r="N969" s="10">
        <f>YEAR(HR_Data5[[#This Row],[Joining Date]])</f>
        <v>2018</v>
      </c>
      <c r="O969" s="10" cm="1">
        <f t="array" ref="O969">_xlfn.SWITCH(HR_Data5[[#This Row],[Performance Score]],
"A",5,
"B",4,
"C",3,
"D",2,
"F",1)</f>
        <v>5</v>
      </c>
      <c r="P969" s="10"/>
    </row>
    <row r="970" spans="1:16" x14ac:dyDescent="0.3">
      <c r="A970" t="s">
        <v>55</v>
      </c>
      <c r="B970">
        <v>25</v>
      </c>
      <c r="C970" s="6">
        <v>60000</v>
      </c>
      <c r="D970" t="s">
        <v>36</v>
      </c>
      <c r="E970" t="s">
        <v>30</v>
      </c>
      <c r="F970" t="s">
        <v>20</v>
      </c>
      <c r="G970" s="7">
        <v>43195</v>
      </c>
      <c r="H970" t="s">
        <v>31</v>
      </c>
      <c r="I970" t="s">
        <v>69</v>
      </c>
      <c r="J970" t="s">
        <v>23</v>
      </c>
      <c r="K970" t="str">
        <f>IF(HR_Data5[[#This Row],[Age]]&lt;30,"Young",IF(HR_Data5[[#This Row],[Age]]&lt;=45,"Mid-Career","Senior"))</f>
        <v>Young</v>
      </c>
      <c r="L970" s="10">
        <f ca="1">DATEDIF(HR_Data5[[#This Row],[Joining Date]],TODAY(),"Y")</f>
        <v>7</v>
      </c>
      <c r="M970" s="10" t="str">
        <f>IF(HR_Data5[[#This Row],[Salary]]&lt;55000,"Low",IF(HR_Data5[[#This Row],[Salary]]&lt;=65000,"Medium","High"))</f>
        <v>Medium</v>
      </c>
      <c r="N970" s="10">
        <f>YEAR(HR_Data5[[#This Row],[Joining Date]])</f>
        <v>2018</v>
      </c>
      <c r="O970" s="10" cm="1">
        <f t="array" ref="O970">_xlfn.SWITCH(HR_Data5[[#This Row],[Performance Score]],
"A",5,
"B",4,
"C",3,
"D",2,
"F",1)</f>
        <v>5</v>
      </c>
      <c r="P970" s="10"/>
    </row>
    <row r="971" spans="1:16" x14ac:dyDescent="0.3">
      <c r="A971" t="s">
        <v>54</v>
      </c>
      <c r="B971">
        <v>30</v>
      </c>
      <c r="C971" s="6">
        <v>60000</v>
      </c>
      <c r="D971" t="s">
        <v>18</v>
      </c>
      <c r="E971" t="s">
        <v>12</v>
      </c>
      <c r="F971" t="s">
        <v>20</v>
      </c>
      <c r="G971" s="7">
        <v>43549</v>
      </c>
      <c r="H971" t="s">
        <v>21</v>
      </c>
      <c r="I971" t="s">
        <v>22</v>
      </c>
      <c r="J971" t="s">
        <v>69</v>
      </c>
      <c r="K971" t="str">
        <f>IF(HR_Data5[[#This Row],[Age]]&lt;30,"Young",IF(HR_Data5[[#This Row],[Age]]&lt;=45,"Mid-Career","Senior"))</f>
        <v>Mid-Career</v>
      </c>
      <c r="L971" s="10">
        <f ca="1">DATEDIF(HR_Data5[[#This Row],[Joining Date]],TODAY(),"Y")</f>
        <v>6</v>
      </c>
      <c r="M971" s="10" t="str">
        <f>IF(HR_Data5[[#This Row],[Salary]]&lt;55000,"Low",IF(HR_Data5[[#This Row],[Salary]]&lt;=65000,"Medium","High"))</f>
        <v>Medium</v>
      </c>
      <c r="N971" s="10">
        <f>YEAR(HR_Data5[[#This Row],[Joining Date]])</f>
        <v>2019</v>
      </c>
      <c r="O971" s="10" cm="1">
        <f t="array" ref="O971">_xlfn.SWITCH(HR_Data5[[#This Row],[Performance Score]],
"A",5,
"B",4,
"C",3,
"D",2,
"F",1)</f>
        <v>1</v>
      </c>
      <c r="P971" s="10"/>
    </row>
    <row r="972" spans="1:16" x14ac:dyDescent="0.3">
      <c r="A972" t="s">
        <v>55</v>
      </c>
      <c r="B972">
        <v>40</v>
      </c>
      <c r="C972" s="6">
        <v>65000</v>
      </c>
      <c r="D972" t="s">
        <v>11</v>
      </c>
      <c r="E972" t="s">
        <v>30</v>
      </c>
      <c r="F972" t="s">
        <v>39</v>
      </c>
      <c r="G972" s="7">
        <v>43800</v>
      </c>
      <c r="H972" t="s">
        <v>27</v>
      </c>
      <c r="I972" t="s">
        <v>15</v>
      </c>
      <c r="J972" t="s">
        <v>23</v>
      </c>
      <c r="K972" t="str">
        <f>IF(HR_Data5[[#This Row],[Age]]&lt;30,"Young",IF(HR_Data5[[#This Row],[Age]]&lt;=45,"Mid-Career","Senior"))</f>
        <v>Mid-Career</v>
      </c>
      <c r="L972" s="10">
        <f ca="1">DATEDIF(HR_Data5[[#This Row],[Joining Date]],TODAY(),"Y")</f>
        <v>6</v>
      </c>
      <c r="M972" s="10" t="str">
        <f>IF(HR_Data5[[#This Row],[Salary]]&lt;55000,"Low",IF(HR_Data5[[#This Row],[Salary]]&lt;=65000,"Medium","High"))</f>
        <v>Medium</v>
      </c>
      <c r="N972" s="10">
        <f>YEAR(HR_Data5[[#This Row],[Joining Date]])</f>
        <v>2019</v>
      </c>
      <c r="O972" s="10" cm="1">
        <f t="array" ref="O972">_xlfn.SWITCH(HR_Data5[[#This Row],[Performance Score]],
"A",5,
"B",4,
"C",3,
"D",2,
"F",1)</f>
        <v>3</v>
      </c>
      <c r="P972" s="10"/>
    </row>
    <row r="973" spans="1:16" x14ac:dyDescent="0.3">
      <c r="A973" t="s">
        <v>59</v>
      </c>
      <c r="B973">
        <v>25</v>
      </c>
      <c r="C973" s="6">
        <v>55000</v>
      </c>
      <c r="D973" t="s">
        <v>18</v>
      </c>
      <c r="E973" t="s">
        <v>26</v>
      </c>
      <c r="F973" t="s">
        <v>39</v>
      </c>
      <c r="G973" s="7">
        <v>43881</v>
      </c>
      <c r="H973" t="s">
        <v>41</v>
      </c>
      <c r="I973" t="s">
        <v>69</v>
      </c>
      <c r="J973" t="s">
        <v>69</v>
      </c>
      <c r="K973" t="str">
        <f>IF(HR_Data5[[#This Row],[Age]]&lt;30,"Young",IF(HR_Data5[[#This Row],[Age]]&lt;=45,"Mid-Career","Senior"))</f>
        <v>Young</v>
      </c>
      <c r="L973" s="10">
        <f ca="1">DATEDIF(HR_Data5[[#This Row],[Joining Date]],TODAY(),"Y")</f>
        <v>6</v>
      </c>
      <c r="M973" s="10" t="str">
        <f>IF(HR_Data5[[#This Row],[Salary]]&lt;55000,"Low",IF(HR_Data5[[#This Row],[Salary]]&lt;=65000,"Medium","High"))</f>
        <v>Medium</v>
      </c>
      <c r="N973" s="10">
        <f>YEAR(HR_Data5[[#This Row],[Joining Date]])</f>
        <v>2020</v>
      </c>
      <c r="O973" s="10" cm="1">
        <f t="array" ref="O973">_xlfn.SWITCH(HR_Data5[[#This Row],[Performance Score]],
"A",5,
"B",4,
"C",3,
"D",2,
"F",1)</f>
        <v>4</v>
      </c>
      <c r="P973" s="10"/>
    </row>
    <row r="974" spans="1:16" x14ac:dyDescent="0.3">
      <c r="A974" t="s">
        <v>57</v>
      </c>
      <c r="B974">
        <v>35</v>
      </c>
      <c r="C974" s="6">
        <v>65000</v>
      </c>
      <c r="D974" t="s">
        <v>18</v>
      </c>
      <c r="E974" t="s">
        <v>30</v>
      </c>
      <c r="F974" t="s">
        <v>44</v>
      </c>
      <c r="G974" s="7">
        <v>43881</v>
      </c>
      <c r="H974" t="s">
        <v>27</v>
      </c>
      <c r="I974" t="s">
        <v>22</v>
      </c>
      <c r="J974" t="s">
        <v>69</v>
      </c>
      <c r="K974" t="str">
        <f>IF(HR_Data5[[#This Row],[Age]]&lt;30,"Young",IF(HR_Data5[[#This Row],[Age]]&lt;=45,"Mid-Career","Senior"))</f>
        <v>Mid-Career</v>
      </c>
      <c r="L974" s="10">
        <f ca="1">DATEDIF(HR_Data5[[#This Row],[Joining Date]],TODAY(),"Y")</f>
        <v>6</v>
      </c>
      <c r="M974" s="10" t="str">
        <f>IF(HR_Data5[[#This Row],[Salary]]&lt;55000,"Low",IF(HR_Data5[[#This Row],[Salary]]&lt;=65000,"Medium","High"))</f>
        <v>Medium</v>
      </c>
      <c r="N974" s="10">
        <f>YEAR(HR_Data5[[#This Row],[Joining Date]])</f>
        <v>2020</v>
      </c>
      <c r="O974" s="10" cm="1">
        <f t="array" ref="O974">_xlfn.SWITCH(HR_Data5[[#This Row],[Performance Score]],
"A",5,
"B",4,
"C",3,
"D",2,
"F",1)</f>
        <v>3</v>
      </c>
      <c r="P974" s="10"/>
    </row>
    <row r="975" spans="1:16" x14ac:dyDescent="0.3">
      <c r="A975" t="s">
        <v>57</v>
      </c>
      <c r="B975">
        <v>30</v>
      </c>
      <c r="C975" s="6">
        <v>65000</v>
      </c>
      <c r="D975" t="s">
        <v>36</v>
      </c>
      <c r="E975" t="s">
        <v>12</v>
      </c>
      <c r="F975" t="s">
        <v>43</v>
      </c>
      <c r="G975" s="7">
        <v>43800</v>
      </c>
      <c r="H975" t="s">
        <v>14</v>
      </c>
      <c r="I975" t="s">
        <v>69</v>
      </c>
      <c r="J975" t="s">
        <v>45</v>
      </c>
      <c r="K975" t="str">
        <f>IF(HR_Data5[[#This Row],[Age]]&lt;30,"Young",IF(HR_Data5[[#This Row],[Age]]&lt;=45,"Mid-Career","Senior"))</f>
        <v>Mid-Career</v>
      </c>
      <c r="L975" s="10">
        <f ca="1">DATEDIF(HR_Data5[[#This Row],[Joining Date]],TODAY(),"Y")</f>
        <v>6</v>
      </c>
      <c r="M975" s="10" t="str">
        <f>IF(HR_Data5[[#This Row],[Salary]]&lt;55000,"Low",IF(HR_Data5[[#This Row],[Salary]]&lt;=65000,"Medium","High"))</f>
        <v>Medium</v>
      </c>
      <c r="N975" s="10">
        <f>YEAR(HR_Data5[[#This Row],[Joining Date]])</f>
        <v>2019</v>
      </c>
      <c r="O975" s="10" cm="1">
        <f t="array" ref="O975">_xlfn.SWITCH(HR_Data5[[#This Row],[Performance Score]],
"A",5,
"B",4,
"C",3,
"D",2,
"F",1)</f>
        <v>2</v>
      </c>
      <c r="P975" s="10"/>
    </row>
    <row r="976" spans="1:16" x14ac:dyDescent="0.3">
      <c r="A976" t="s">
        <v>52</v>
      </c>
      <c r="B976">
        <v>36</v>
      </c>
      <c r="C976" s="6">
        <v>50000</v>
      </c>
      <c r="D976" t="s">
        <v>18</v>
      </c>
      <c r="E976" t="s">
        <v>26</v>
      </c>
      <c r="F976" t="s">
        <v>43</v>
      </c>
      <c r="G976" s="7">
        <v>43881</v>
      </c>
      <c r="H976" t="s">
        <v>14</v>
      </c>
      <c r="I976" t="s">
        <v>69</v>
      </c>
      <c r="J976" t="s">
        <v>45</v>
      </c>
      <c r="K976" t="str">
        <f>IF(HR_Data5[[#This Row],[Age]]&lt;30,"Young",IF(HR_Data5[[#This Row],[Age]]&lt;=45,"Mid-Career","Senior"))</f>
        <v>Mid-Career</v>
      </c>
      <c r="L976" s="10">
        <f ca="1">DATEDIF(HR_Data5[[#This Row],[Joining Date]],TODAY(),"Y")</f>
        <v>6</v>
      </c>
      <c r="M976" s="10" t="str">
        <f>IF(HR_Data5[[#This Row],[Salary]]&lt;55000,"Low",IF(HR_Data5[[#This Row],[Salary]]&lt;=65000,"Medium","High"))</f>
        <v>Low</v>
      </c>
      <c r="N976" s="10">
        <f>YEAR(HR_Data5[[#This Row],[Joining Date]])</f>
        <v>2020</v>
      </c>
      <c r="O976" s="10" cm="1">
        <f t="array" ref="O976">_xlfn.SWITCH(HR_Data5[[#This Row],[Performance Score]],
"A",5,
"B",4,
"C",3,
"D",2,
"F",1)</f>
        <v>2</v>
      </c>
      <c r="P976" s="10"/>
    </row>
    <row r="977" spans="1:16" x14ac:dyDescent="0.3">
      <c r="A977" t="s">
        <v>53</v>
      </c>
      <c r="B977">
        <v>50</v>
      </c>
      <c r="C977" s="6">
        <v>65000</v>
      </c>
      <c r="D977" t="s">
        <v>36</v>
      </c>
      <c r="E977" t="s">
        <v>12</v>
      </c>
      <c r="F977" t="s">
        <v>39</v>
      </c>
      <c r="G977" s="7">
        <v>43800</v>
      </c>
      <c r="H977" t="s">
        <v>14</v>
      </c>
      <c r="I977" t="s">
        <v>69</v>
      </c>
      <c r="J977" t="s">
        <v>28</v>
      </c>
      <c r="K977" t="str">
        <f>IF(HR_Data5[[#This Row],[Age]]&lt;30,"Young",IF(HR_Data5[[#This Row],[Age]]&lt;=45,"Mid-Career","Senior"))</f>
        <v>Senior</v>
      </c>
      <c r="L977" s="10">
        <f ca="1">DATEDIF(HR_Data5[[#This Row],[Joining Date]],TODAY(),"Y")</f>
        <v>6</v>
      </c>
      <c r="M977" s="10" t="str">
        <f>IF(HR_Data5[[#This Row],[Salary]]&lt;55000,"Low",IF(HR_Data5[[#This Row],[Salary]]&lt;=65000,"Medium","High"))</f>
        <v>Medium</v>
      </c>
      <c r="N977" s="10">
        <f>YEAR(HR_Data5[[#This Row],[Joining Date]])</f>
        <v>2019</v>
      </c>
      <c r="O977" s="10" cm="1">
        <f t="array" ref="O977">_xlfn.SWITCH(HR_Data5[[#This Row],[Performance Score]],
"A",5,
"B",4,
"C",3,
"D",2,
"F",1)</f>
        <v>2</v>
      </c>
      <c r="P977" s="10"/>
    </row>
    <row r="978" spans="1:16" x14ac:dyDescent="0.3">
      <c r="A978" t="s">
        <v>52</v>
      </c>
      <c r="B978">
        <v>36</v>
      </c>
      <c r="C978" s="6">
        <v>70000</v>
      </c>
      <c r="D978" t="s">
        <v>11</v>
      </c>
      <c r="E978" t="s">
        <v>30</v>
      </c>
      <c r="F978" t="s">
        <v>20</v>
      </c>
      <c r="G978" s="7">
        <v>43881</v>
      </c>
      <c r="H978" t="s">
        <v>21</v>
      </c>
      <c r="I978" t="s">
        <v>22</v>
      </c>
      <c r="J978" t="s">
        <v>28</v>
      </c>
      <c r="K978" t="str">
        <f>IF(HR_Data5[[#This Row],[Age]]&lt;30,"Young",IF(HR_Data5[[#This Row],[Age]]&lt;=45,"Mid-Career","Senior"))</f>
        <v>Mid-Career</v>
      </c>
      <c r="L978" s="10">
        <f ca="1">DATEDIF(HR_Data5[[#This Row],[Joining Date]],TODAY(),"Y")</f>
        <v>6</v>
      </c>
      <c r="M978" s="10" t="str">
        <f>IF(HR_Data5[[#This Row],[Salary]]&lt;55000,"Low",IF(HR_Data5[[#This Row],[Salary]]&lt;=65000,"Medium","High"))</f>
        <v>High</v>
      </c>
      <c r="N978" s="10">
        <f>YEAR(HR_Data5[[#This Row],[Joining Date]])</f>
        <v>2020</v>
      </c>
      <c r="O978" s="10" cm="1">
        <f t="array" ref="O978">_xlfn.SWITCH(HR_Data5[[#This Row],[Performance Score]],
"A",5,
"B",4,
"C",3,
"D",2,
"F",1)</f>
        <v>1</v>
      </c>
      <c r="P978" s="10"/>
    </row>
    <row r="979" spans="1:16" x14ac:dyDescent="0.3">
      <c r="A979" t="s">
        <v>53</v>
      </c>
      <c r="B979">
        <v>50</v>
      </c>
      <c r="C979" s="6">
        <v>70000</v>
      </c>
      <c r="D979" t="s">
        <v>18</v>
      </c>
      <c r="E979" t="s">
        <v>19</v>
      </c>
      <c r="F979" t="s">
        <v>39</v>
      </c>
      <c r="G979" s="7">
        <v>43549</v>
      </c>
      <c r="H979" t="s">
        <v>31</v>
      </c>
      <c r="I979" t="s">
        <v>69</v>
      </c>
      <c r="J979" t="s">
        <v>69</v>
      </c>
      <c r="K979" t="str">
        <f>IF(HR_Data5[[#This Row],[Age]]&lt;30,"Young",IF(HR_Data5[[#This Row],[Age]]&lt;=45,"Mid-Career","Senior"))</f>
        <v>Senior</v>
      </c>
      <c r="L979" s="10">
        <f ca="1">DATEDIF(HR_Data5[[#This Row],[Joining Date]],TODAY(),"Y")</f>
        <v>6</v>
      </c>
      <c r="M979" s="10" t="str">
        <f>IF(HR_Data5[[#This Row],[Salary]]&lt;55000,"Low",IF(HR_Data5[[#This Row],[Salary]]&lt;=65000,"Medium","High"))</f>
        <v>High</v>
      </c>
      <c r="N979" s="10">
        <f>YEAR(HR_Data5[[#This Row],[Joining Date]])</f>
        <v>2019</v>
      </c>
      <c r="O979" s="10" cm="1">
        <f t="array" ref="O979">_xlfn.SWITCH(HR_Data5[[#This Row],[Performance Score]],
"A",5,
"B",4,
"C",3,
"D",2,
"F",1)</f>
        <v>5</v>
      </c>
      <c r="P979" s="10"/>
    </row>
    <row r="980" spans="1:16" x14ac:dyDescent="0.3">
      <c r="A980" t="s">
        <v>53</v>
      </c>
      <c r="B980">
        <v>40</v>
      </c>
      <c r="C980" s="6">
        <v>50000</v>
      </c>
      <c r="D980" t="s">
        <v>11</v>
      </c>
      <c r="E980" t="s">
        <v>37</v>
      </c>
      <c r="F980" t="s">
        <v>20</v>
      </c>
      <c r="G980" s="7">
        <v>43881</v>
      </c>
      <c r="H980" t="s">
        <v>27</v>
      </c>
      <c r="I980" t="s">
        <v>69</v>
      </c>
      <c r="J980" t="s">
        <v>23</v>
      </c>
      <c r="K980" t="str">
        <f>IF(HR_Data5[[#This Row],[Age]]&lt;30,"Young",IF(HR_Data5[[#This Row],[Age]]&lt;=45,"Mid-Career","Senior"))</f>
        <v>Mid-Career</v>
      </c>
      <c r="L980" s="10">
        <f ca="1">DATEDIF(HR_Data5[[#This Row],[Joining Date]],TODAY(),"Y")</f>
        <v>6</v>
      </c>
      <c r="M980" s="10" t="str">
        <f>IF(HR_Data5[[#This Row],[Salary]]&lt;55000,"Low",IF(HR_Data5[[#This Row],[Salary]]&lt;=65000,"Medium","High"))</f>
        <v>Low</v>
      </c>
      <c r="N980" s="10">
        <f>YEAR(HR_Data5[[#This Row],[Joining Date]])</f>
        <v>2020</v>
      </c>
      <c r="O980" s="10" cm="1">
        <f t="array" ref="O980">_xlfn.SWITCH(HR_Data5[[#This Row],[Performance Score]],
"A",5,
"B",4,
"C",3,
"D",2,
"F",1)</f>
        <v>3</v>
      </c>
      <c r="P980" s="10"/>
    </row>
    <row r="981" spans="1:16" x14ac:dyDescent="0.3">
      <c r="A981" t="s">
        <v>54</v>
      </c>
      <c r="B981">
        <v>36</v>
      </c>
      <c r="C981" s="6" t="s">
        <v>68</v>
      </c>
      <c r="D981" t="s">
        <v>18</v>
      </c>
      <c r="E981" t="s">
        <v>12</v>
      </c>
      <c r="F981" t="s">
        <v>20</v>
      </c>
      <c r="G981" s="7">
        <v>43195</v>
      </c>
      <c r="H981" t="s">
        <v>41</v>
      </c>
      <c r="I981" t="s">
        <v>69</v>
      </c>
      <c r="J981" t="s">
        <v>69</v>
      </c>
      <c r="K981" t="str">
        <f>IF(HR_Data5[[#This Row],[Age]]&lt;30,"Young",IF(HR_Data5[[#This Row],[Age]]&lt;=45,"Mid-Career","Senior"))</f>
        <v>Mid-Career</v>
      </c>
      <c r="L981" s="10">
        <f ca="1">DATEDIF(HR_Data5[[#This Row],[Joining Date]],TODAY(),"Y")</f>
        <v>7</v>
      </c>
      <c r="M981" s="10" t="str">
        <f>IF(HR_Data5[[#This Row],[Salary]]&lt;55000,"Low",IF(HR_Data5[[#This Row],[Salary]]&lt;=65000,"Medium","High"))</f>
        <v>High</v>
      </c>
      <c r="N981" s="10">
        <f>YEAR(HR_Data5[[#This Row],[Joining Date]])</f>
        <v>2018</v>
      </c>
      <c r="O981" s="10" cm="1">
        <f t="array" ref="O981">_xlfn.SWITCH(HR_Data5[[#This Row],[Performance Score]],
"A",5,
"B",4,
"C",3,
"D",2,
"F",1)</f>
        <v>4</v>
      </c>
      <c r="P981" s="10"/>
    </row>
    <row r="982" spans="1:16" x14ac:dyDescent="0.3">
      <c r="A982" t="s">
        <v>52</v>
      </c>
      <c r="B982">
        <v>30</v>
      </c>
      <c r="C982" s="6">
        <v>55000</v>
      </c>
      <c r="D982" t="s">
        <v>11</v>
      </c>
      <c r="E982" t="s">
        <v>30</v>
      </c>
      <c r="F982" t="s">
        <v>39</v>
      </c>
      <c r="G982" s="7">
        <v>43800</v>
      </c>
      <c r="H982" t="s">
        <v>14</v>
      </c>
      <c r="I982" t="s">
        <v>69</v>
      </c>
      <c r="J982" t="s">
        <v>69</v>
      </c>
      <c r="K982" t="str">
        <f>IF(HR_Data5[[#This Row],[Age]]&lt;30,"Young",IF(HR_Data5[[#This Row],[Age]]&lt;=45,"Mid-Career","Senior"))</f>
        <v>Mid-Career</v>
      </c>
      <c r="L982" s="10">
        <f ca="1">DATEDIF(HR_Data5[[#This Row],[Joining Date]],TODAY(),"Y")</f>
        <v>6</v>
      </c>
      <c r="M982" s="10" t="str">
        <f>IF(HR_Data5[[#This Row],[Salary]]&lt;55000,"Low",IF(HR_Data5[[#This Row],[Salary]]&lt;=65000,"Medium","High"))</f>
        <v>Medium</v>
      </c>
      <c r="N982" s="10">
        <f>YEAR(HR_Data5[[#This Row],[Joining Date]])</f>
        <v>2019</v>
      </c>
      <c r="O982" s="10" cm="1">
        <f t="array" ref="O982">_xlfn.SWITCH(HR_Data5[[#This Row],[Performance Score]],
"A",5,
"B",4,
"C",3,
"D",2,
"F",1)</f>
        <v>2</v>
      </c>
      <c r="P982" s="10"/>
    </row>
    <row r="983" spans="1:16" x14ac:dyDescent="0.3">
      <c r="A983" t="s">
        <v>58</v>
      </c>
      <c r="B983">
        <v>30</v>
      </c>
      <c r="C983" s="6">
        <v>55000</v>
      </c>
      <c r="D983" t="s">
        <v>18</v>
      </c>
      <c r="E983" t="s">
        <v>26</v>
      </c>
      <c r="F983" t="s">
        <v>13</v>
      </c>
      <c r="G983" s="7">
        <v>43845</v>
      </c>
      <c r="H983" t="s">
        <v>27</v>
      </c>
      <c r="I983" t="s">
        <v>69</v>
      </c>
      <c r="J983" t="s">
        <v>23</v>
      </c>
      <c r="K983" t="str">
        <f>IF(HR_Data5[[#This Row],[Age]]&lt;30,"Young",IF(HR_Data5[[#This Row],[Age]]&lt;=45,"Mid-Career","Senior"))</f>
        <v>Mid-Career</v>
      </c>
      <c r="L983" s="10">
        <f ca="1">DATEDIF(HR_Data5[[#This Row],[Joining Date]],TODAY(),"Y")</f>
        <v>6</v>
      </c>
      <c r="M983" s="10" t="str">
        <f>IF(HR_Data5[[#This Row],[Salary]]&lt;55000,"Low",IF(HR_Data5[[#This Row],[Salary]]&lt;=65000,"Medium","High"))</f>
        <v>Medium</v>
      </c>
      <c r="N983" s="10">
        <f>YEAR(HR_Data5[[#This Row],[Joining Date]])</f>
        <v>2020</v>
      </c>
      <c r="O983" s="10" cm="1">
        <f t="array" ref="O983">_xlfn.SWITCH(HR_Data5[[#This Row],[Performance Score]],
"A",5,
"B",4,
"C",3,
"D",2,
"F",1)</f>
        <v>3</v>
      </c>
      <c r="P983" s="10"/>
    </row>
    <row r="984" spans="1:16" x14ac:dyDescent="0.3">
      <c r="A984" t="s">
        <v>56</v>
      </c>
      <c r="B984">
        <v>36</v>
      </c>
      <c r="C984" s="6">
        <v>65000</v>
      </c>
      <c r="D984" t="s">
        <v>18</v>
      </c>
      <c r="E984" t="s">
        <v>12</v>
      </c>
      <c r="F984" t="s">
        <v>43</v>
      </c>
      <c r="G984" s="7">
        <v>43845</v>
      </c>
      <c r="H984" t="s">
        <v>14</v>
      </c>
      <c r="I984" t="s">
        <v>32</v>
      </c>
      <c r="J984" t="s">
        <v>23</v>
      </c>
      <c r="K984" t="str">
        <f>IF(HR_Data5[[#This Row],[Age]]&lt;30,"Young",IF(HR_Data5[[#This Row],[Age]]&lt;=45,"Mid-Career","Senior"))</f>
        <v>Mid-Career</v>
      </c>
      <c r="L984" s="10">
        <f ca="1">DATEDIF(HR_Data5[[#This Row],[Joining Date]],TODAY(),"Y")</f>
        <v>6</v>
      </c>
      <c r="M984" s="10" t="str">
        <f>IF(HR_Data5[[#This Row],[Salary]]&lt;55000,"Low",IF(HR_Data5[[#This Row],[Salary]]&lt;=65000,"Medium","High"))</f>
        <v>Medium</v>
      </c>
      <c r="N984" s="10">
        <f>YEAR(HR_Data5[[#This Row],[Joining Date]])</f>
        <v>2020</v>
      </c>
      <c r="O984" s="10" cm="1">
        <f t="array" ref="O984">_xlfn.SWITCH(HR_Data5[[#This Row],[Performance Score]],
"A",5,
"B",4,
"C",3,
"D",2,
"F",1)</f>
        <v>2</v>
      </c>
      <c r="P984" s="10"/>
    </row>
    <row r="985" spans="1:16" x14ac:dyDescent="0.3">
      <c r="A985" t="s">
        <v>56</v>
      </c>
      <c r="B985">
        <v>30</v>
      </c>
      <c r="C985" s="6">
        <v>65000</v>
      </c>
      <c r="D985" t="s">
        <v>18</v>
      </c>
      <c r="E985" t="s">
        <v>12</v>
      </c>
      <c r="F985" t="s">
        <v>20</v>
      </c>
      <c r="G985" s="7">
        <v>43800</v>
      </c>
      <c r="H985" t="s">
        <v>14</v>
      </c>
      <c r="I985" t="s">
        <v>22</v>
      </c>
      <c r="J985" t="s">
        <v>45</v>
      </c>
      <c r="K985" t="str">
        <f>IF(HR_Data5[[#This Row],[Age]]&lt;30,"Young",IF(HR_Data5[[#This Row],[Age]]&lt;=45,"Mid-Career","Senior"))</f>
        <v>Mid-Career</v>
      </c>
      <c r="L985" s="10">
        <f ca="1">DATEDIF(HR_Data5[[#This Row],[Joining Date]],TODAY(),"Y")</f>
        <v>6</v>
      </c>
      <c r="M985" s="10" t="str">
        <f>IF(HR_Data5[[#This Row],[Salary]]&lt;55000,"Low",IF(HR_Data5[[#This Row],[Salary]]&lt;=65000,"Medium","High"))</f>
        <v>Medium</v>
      </c>
      <c r="N985" s="10">
        <f>YEAR(HR_Data5[[#This Row],[Joining Date]])</f>
        <v>2019</v>
      </c>
      <c r="O985" s="10" cm="1">
        <f t="array" ref="O985">_xlfn.SWITCH(HR_Data5[[#This Row],[Performance Score]],
"A",5,
"B",4,
"C",3,
"D",2,
"F",1)</f>
        <v>2</v>
      </c>
      <c r="P985" s="10"/>
    </row>
    <row r="986" spans="1:16" x14ac:dyDescent="0.3">
      <c r="A986" t="s">
        <v>52</v>
      </c>
      <c r="B986">
        <v>40</v>
      </c>
      <c r="C986" s="6" t="s">
        <v>68</v>
      </c>
      <c r="D986" t="s">
        <v>18</v>
      </c>
      <c r="E986" t="s">
        <v>37</v>
      </c>
      <c r="F986" t="s">
        <v>20</v>
      </c>
      <c r="G986" s="7">
        <v>43549</v>
      </c>
      <c r="H986" t="s">
        <v>41</v>
      </c>
      <c r="I986" t="s">
        <v>69</v>
      </c>
      <c r="J986" t="s">
        <v>69</v>
      </c>
      <c r="K986" t="str">
        <f>IF(HR_Data5[[#This Row],[Age]]&lt;30,"Young",IF(HR_Data5[[#This Row],[Age]]&lt;=45,"Mid-Career","Senior"))</f>
        <v>Mid-Career</v>
      </c>
      <c r="L986" s="10">
        <f ca="1">DATEDIF(HR_Data5[[#This Row],[Joining Date]],TODAY(),"Y")</f>
        <v>6</v>
      </c>
      <c r="M986" s="10" t="str">
        <f>IF(HR_Data5[[#This Row],[Salary]]&lt;55000,"Low",IF(HR_Data5[[#This Row],[Salary]]&lt;=65000,"Medium","High"))</f>
        <v>High</v>
      </c>
      <c r="N986" s="10">
        <f>YEAR(HR_Data5[[#This Row],[Joining Date]])</f>
        <v>2019</v>
      </c>
      <c r="O986" s="10" cm="1">
        <f t="array" ref="O986">_xlfn.SWITCH(HR_Data5[[#This Row],[Performance Score]],
"A",5,
"B",4,
"C",3,
"D",2,
"F",1)</f>
        <v>4</v>
      </c>
      <c r="P986" s="10"/>
    </row>
    <row r="987" spans="1:16" x14ac:dyDescent="0.3">
      <c r="A987" t="s">
        <v>52</v>
      </c>
      <c r="B987">
        <v>25</v>
      </c>
      <c r="C987" s="6">
        <v>65000</v>
      </c>
      <c r="D987" t="s">
        <v>18</v>
      </c>
      <c r="E987" t="s">
        <v>30</v>
      </c>
      <c r="F987" t="s">
        <v>13</v>
      </c>
      <c r="G987" s="7">
        <v>43881</v>
      </c>
      <c r="H987" t="s">
        <v>21</v>
      </c>
      <c r="I987" t="s">
        <v>69</v>
      </c>
      <c r="J987" t="s">
        <v>69</v>
      </c>
      <c r="K987" t="str">
        <f>IF(HR_Data5[[#This Row],[Age]]&lt;30,"Young",IF(HR_Data5[[#This Row],[Age]]&lt;=45,"Mid-Career","Senior"))</f>
        <v>Young</v>
      </c>
      <c r="L987" s="10">
        <f ca="1">DATEDIF(HR_Data5[[#This Row],[Joining Date]],TODAY(),"Y")</f>
        <v>6</v>
      </c>
      <c r="M987" s="10" t="str">
        <f>IF(HR_Data5[[#This Row],[Salary]]&lt;55000,"Low",IF(HR_Data5[[#This Row],[Salary]]&lt;=65000,"Medium","High"))</f>
        <v>Medium</v>
      </c>
      <c r="N987" s="10">
        <f>YEAR(HR_Data5[[#This Row],[Joining Date]])</f>
        <v>2020</v>
      </c>
      <c r="O987" s="10" cm="1">
        <f t="array" ref="O987">_xlfn.SWITCH(HR_Data5[[#This Row],[Performance Score]],
"A",5,
"B",4,
"C",3,
"D",2,
"F",1)</f>
        <v>1</v>
      </c>
      <c r="P987" s="10"/>
    </row>
    <row r="988" spans="1:16" x14ac:dyDescent="0.3">
      <c r="A988" t="s">
        <v>55</v>
      </c>
      <c r="B988">
        <v>40</v>
      </c>
      <c r="C988" s="6">
        <v>55000</v>
      </c>
      <c r="D988" t="s">
        <v>18</v>
      </c>
      <c r="E988" t="s">
        <v>19</v>
      </c>
      <c r="F988" t="s">
        <v>44</v>
      </c>
      <c r="G988" s="7">
        <v>43549</v>
      </c>
      <c r="H988" t="s">
        <v>31</v>
      </c>
      <c r="I988" t="s">
        <v>22</v>
      </c>
      <c r="J988" t="s">
        <v>28</v>
      </c>
      <c r="K988" t="str">
        <f>IF(HR_Data5[[#This Row],[Age]]&lt;30,"Young",IF(HR_Data5[[#This Row],[Age]]&lt;=45,"Mid-Career","Senior"))</f>
        <v>Mid-Career</v>
      </c>
      <c r="L988" s="10">
        <f ca="1">DATEDIF(HR_Data5[[#This Row],[Joining Date]],TODAY(),"Y")</f>
        <v>6</v>
      </c>
      <c r="M988" s="10" t="str">
        <f>IF(HR_Data5[[#This Row],[Salary]]&lt;55000,"Low",IF(HR_Data5[[#This Row],[Salary]]&lt;=65000,"Medium","High"))</f>
        <v>Medium</v>
      </c>
      <c r="N988" s="10">
        <f>YEAR(HR_Data5[[#This Row],[Joining Date]])</f>
        <v>2019</v>
      </c>
      <c r="O988" s="10" cm="1">
        <f t="array" ref="O988">_xlfn.SWITCH(HR_Data5[[#This Row],[Performance Score]],
"A",5,
"B",4,
"C",3,
"D",2,
"F",1)</f>
        <v>5</v>
      </c>
      <c r="P988" s="10"/>
    </row>
    <row r="989" spans="1:16" x14ac:dyDescent="0.3">
      <c r="A989" t="s">
        <v>54</v>
      </c>
      <c r="B989">
        <v>50</v>
      </c>
      <c r="C989" s="6">
        <v>60000</v>
      </c>
      <c r="D989" t="s">
        <v>18</v>
      </c>
      <c r="E989" t="s">
        <v>26</v>
      </c>
      <c r="F989" t="s">
        <v>13</v>
      </c>
      <c r="G989" s="7">
        <v>43845</v>
      </c>
      <c r="H989" t="s">
        <v>21</v>
      </c>
      <c r="I989" t="s">
        <v>22</v>
      </c>
      <c r="J989" t="s">
        <v>45</v>
      </c>
      <c r="K989" t="str">
        <f>IF(HR_Data5[[#This Row],[Age]]&lt;30,"Young",IF(HR_Data5[[#This Row],[Age]]&lt;=45,"Mid-Career","Senior"))</f>
        <v>Senior</v>
      </c>
      <c r="L989" s="10">
        <f ca="1">DATEDIF(HR_Data5[[#This Row],[Joining Date]],TODAY(),"Y")</f>
        <v>6</v>
      </c>
      <c r="M989" s="10" t="str">
        <f>IF(HR_Data5[[#This Row],[Salary]]&lt;55000,"Low",IF(HR_Data5[[#This Row],[Salary]]&lt;=65000,"Medium","High"))</f>
        <v>Medium</v>
      </c>
      <c r="N989" s="10">
        <f>YEAR(HR_Data5[[#This Row],[Joining Date]])</f>
        <v>2020</v>
      </c>
      <c r="O989" s="10" cm="1">
        <f t="array" ref="O989">_xlfn.SWITCH(HR_Data5[[#This Row],[Performance Score]],
"A",5,
"B",4,
"C",3,
"D",2,
"F",1)</f>
        <v>1</v>
      </c>
      <c r="P989" s="10"/>
    </row>
    <row r="990" spans="1:16" x14ac:dyDescent="0.3">
      <c r="A990" t="s">
        <v>52</v>
      </c>
      <c r="B990">
        <v>40</v>
      </c>
      <c r="C990" s="6">
        <v>70000</v>
      </c>
      <c r="D990" t="s">
        <v>18</v>
      </c>
      <c r="E990" t="s">
        <v>30</v>
      </c>
      <c r="F990" t="s">
        <v>13</v>
      </c>
      <c r="G990" s="7">
        <v>43800</v>
      </c>
      <c r="H990" t="s">
        <v>27</v>
      </c>
      <c r="I990" t="s">
        <v>22</v>
      </c>
      <c r="J990" t="s">
        <v>69</v>
      </c>
      <c r="K990" t="str">
        <f>IF(HR_Data5[[#This Row],[Age]]&lt;30,"Young",IF(HR_Data5[[#This Row],[Age]]&lt;=45,"Mid-Career","Senior"))</f>
        <v>Mid-Career</v>
      </c>
      <c r="L990" s="10">
        <f ca="1">DATEDIF(HR_Data5[[#This Row],[Joining Date]],TODAY(),"Y")</f>
        <v>6</v>
      </c>
      <c r="M990" s="10" t="str">
        <f>IF(HR_Data5[[#This Row],[Salary]]&lt;55000,"Low",IF(HR_Data5[[#This Row],[Salary]]&lt;=65000,"Medium","High"))</f>
        <v>High</v>
      </c>
      <c r="N990" s="10">
        <f>YEAR(HR_Data5[[#This Row],[Joining Date]])</f>
        <v>2019</v>
      </c>
      <c r="O990" s="10" cm="1">
        <f t="array" ref="O990">_xlfn.SWITCH(HR_Data5[[#This Row],[Performance Score]],
"A",5,
"B",4,
"C",3,
"D",2,
"F",1)</f>
        <v>3</v>
      </c>
      <c r="P990" s="10"/>
    </row>
    <row r="991" spans="1:16" x14ac:dyDescent="0.3">
      <c r="A991" t="s">
        <v>55</v>
      </c>
      <c r="B991">
        <v>50</v>
      </c>
      <c r="C991" s="6">
        <v>60000</v>
      </c>
      <c r="D991" t="s">
        <v>18</v>
      </c>
      <c r="E991" t="s">
        <v>26</v>
      </c>
      <c r="F991" t="s">
        <v>20</v>
      </c>
      <c r="G991" s="7">
        <v>43800</v>
      </c>
      <c r="H991" t="s">
        <v>21</v>
      </c>
      <c r="I991" t="s">
        <v>22</v>
      </c>
      <c r="J991" t="s">
        <v>23</v>
      </c>
      <c r="K991" t="str">
        <f>IF(HR_Data5[[#This Row],[Age]]&lt;30,"Young",IF(HR_Data5[[#This Row],[Age]]&lt;=45,"Mid-Career","Senior"))</f>
        <v>Senior</v>
      </c>
      <c r="L991" s="10">
        <f ca="1">DATEDIF(HR_Data5[[#This Row],[Joining Date]],TODAY(),"Y")</f>
        <v>6</v>
      </c>
      <c r="M991" s="10" t="str">
        <f>IF(HR_Data5[[#This Row],[Salary]]&lt;55000,"Low",IF(HR_Data5[[#This Row],[Salary]]&lt;=65000,"Medium","High"))</f>
        <v>Medium</v>
      </c>
      <c r="N991" s="10">
        <f>YEAR(HR_Data5[[#This Row],[Joining Date]])</f>
        <v>2019</v>
      </c>
      <c r="O991" s="10" cm="1">
        <f t="array" ref="O991">_xlfn.SWITCH(HR_Data5[[#This Row],[Performance Score]],
"A",5,
"B",4,
"C",3,
"D",2,
"F",1)</f>
        <v>1</v>
      </c>
      <c r="P991" s="10"/>
    </row>
    <row r="992" spans="1:16" x14ac:dyDescent="0.3">
      <c r="A992" t="s">
        <v>53</v>
      </c>
      <c r="B992">
        <v>30</v>
      </c>
      <c r="C992" s="6">
        <v>60000</v>
      </c>
      <c r="D992" t="s">
        <v>11</v>
      </c>
      <c r="E992" t="s">
        <v>12</v>
      </c>
      <c r="F992" t="s">
        <v>43</v>
      </c>
      <c r="G992" s="7">
        <v>43549</v>
      </c>
      <c r="H992" t="s">
        <v>27</v>
      </c>
      <c r="I992" t="s">
        <v>15</v>
      </c>
      <c r="J992" t="s">
        <v>69</v>
      </c>
      <c r="K992" t="str">
        <f>IF(HR_Data5[[#This Row],[Age]]&lt;30,"Young",IF(HR_Data5[[#This Row],[Age]]&lt;=45,"Mid-Career","Senior"))</f>
        <v>Mid-Career</v>
      </c>
      <c r="L992" s="10">
        <f ca="1">DATEDIF(HR_Data5[[#This Row],[Joining Date]],TODAY(),"Y")</f>
        <v>6</v>
      </c>
      <c r="M992" s="10" t="str">
        <f>IF(HR_Data5[[#This Row],[Salary]]&lt;55000,"Low",IF(HR_Data5[[#This Row],[Salary]]&lt;=65000,"Medium","High"))</f>
        <v>Medium</v>
      </c>
      <c r="N992" s="10">
        <f>YEAR(HR_Data5[[#This Row],[Joining Date]])</f>
        <v>2019</v>
      </c>
      <c r="O992" s="10" cm="1">
        <f t="array" ref="O992">_xlfn.SWITCH(HR_Data5[[#This Row],[Performance Score]],
"A",5,
"B",4,
"C",3,
"D",2,
"F",1)</f>
        <v>3</v>
      </c>
      <c r="P992" s="10"/>
    </row>
    <row r="993" spans="1:16" x14ac:dyDescent="0.3">
      <c r="A993" t="s">
        <v>57</v>
      </c>
      <c r="B993">
        <v>25</v>
      </c>
      <c r="C993" s="6">
        <v>55000</v>
      </c>
      <c r="D993" t="s">
        <v>36</v>
      </c>
      <c r="E993" t="s">
        <v>37</v>
      </c>
      <c r="F993" t="s">
        <v>13</v>
      </c>
      <c r="G993" s="7">
        <v>43549</v>
      </c>
      <c r="H993" t="s">
        <v>27</v>
      </c>
      <c r="I993" t="s">
        <v>69</v>
      </c>
      <c r="J993" t="s">
        <v>69</v>
      </c>
      <c r="K993" t="str">
        <f>IF(HR_Data5[[#This Row],[Age]]&lt;30,"Young",IF(HR_Data5[[#This Row],[Age]]&lt;=45,"Mid-Career","Senior"))</f>
        <v>Young</v>
      </c>
      <c r="L993" s="10">
        <f ca="1">DATEDIF(HR_Data5[[#This Row],[Joining Date]],TODAY(),"Y")</f>
        <v>6</v>
      </c>
      <c r="M993" s="10" t="str">
        <f>IF(HR_Data5[[#This Row],[Salary]]&lt;55000,"Low",IF(HR_Data5[[#This Row],[Salary]]&lt;=65000,"Medium","High"))</f>
        <v>Medium</v>
      </c>
      <c r="N993" s="10">
        <f>YEAR(HR_Data5[[#This Row],[Joining Date]])</f>
        <v>2019</v>
      </c>
      <c r="O993" s="10" cm="1">
        <f t="array" ref="O993">_xlfn.SWITCH(HR_Data5[[#This Row],[Performance Score]],
"A",5,
"B",4,
"C",3,
"D",2,
"F",1)</f>
        <v>3</v>
      </c>
      <c r="P993" s="10"/>
    </row>
    <row r="994" spans="1:16" x14ac:dyDescent="0.3">
      <c r="A994" t="s">
        <v>57</v>
      </c>
      <c r="B994">
        <v>30</v>
      </c>
      <c r="C994" s="6">
        <v>60000</v>
      </c>
      <c r="D994" t="s">
        <v>18</v>
      </c>
      <c r="E994" t="s">
        <v>37</v>
      </c>
      <c r="F994" t="s">
        <v>44</v>
      </c>
      <c r="G994" s="7">
        <v>43881</v>
      </c>
      <c r="H994" t="s">
        <v>31</v>
      </c>
      <c r="I994" t="s">
        <v>15</v>
      </c>
      <c r="J994" t="s">
        <v>45</v>
      </c>
      <c r="K994" t="str">
        <f>IF(HR_Data5[[#This Row],[Age]]&lt;30,"Young",IF(HR_Data5[[#This Row],[Age]]&lt;=45,"Mid-Career","Senior"))</f>
        <v>Mid-Career</v>
      </c>
      <c r="L994" s="10">
        <f ca="1">DATEDIF(HR_Data5[[#This Row],[Joining Date]],TODAY(),"Y")</f>
        <v>6</v>
      </c>
      <c r="M994" s="10" t="str">
        <f>IF(HR_Data5[[#This Row],[Salary]]&lt;55000,"Low",IF(HR_Data5[[#This Row],[Salary]]&lt;=65000,"Medium","High"))</f>
        <v>Medium</v>
      </c>
      <c r="N994" s="10">
        <f>YEAR(HR_Data5[[#This Row],[Joining Date]])</f>
        <v>2020</v>
      </c>
      <c r="O994" s="10" cm="1">
        <f t="array" ref="O994">_xlfn.SWITCH(HR_Data5[[#This Row],[Performance Score]],
"A",5,
"B",4,
"C",3,
"D",2,
"F",1)</f>
        <v>5</v>
      </c>
      <c r="P994" s="10"/>
    </row>
    <row r="995" spans="1:16" x14ac:dyDescent="0.3">
      <c r="A995" t="s">
        <v>53</v>
      </c>
      <c r="B995">
        <v>35</v>
      </c>
      <c r="C995" s="6" t="s">
        <v>68</v>
      </c>
      <c r="D995" t="s">
        <v>36</v>
      </c>
      <c r="E995" t="s">
        <v>19</v>
      </c>
      <c r="F995" t="s">
        <v>39</v>
      </c>
      <c r="G995" s="7">
        <v>43195</v>
      </c>
      <c r="H995" t="s">
        <v>41</v>
      </c>
      <c r="I995" t="s">
        <v>69</v>
      </c>
      <c r="J995" t="s">
        <v>23</v>
      </c>
      <c r="K995" t="str">
        <f>IF(HR_Data5[[#This Row],[Age]]&lt;30,"Young",IF(HR_Data5[[#This Row],[Age]]&lt;=45,"Mid-Career","Senior"))</f>
        <v>Mid-Career</v>
      </c>
      <c r="L995" s="10">
        <f ca="1">DATEDIF(HR_Data5[[#This Row],[Joining Date]],TODAY(),"Y")</f>
        <v>7</v>
      </c>
      <c r="M995" s="10" t="str">
        <f>IF(HR_Data5[[#This Row],[Salary]]&lt;55000,"Low",IF(HR_Data5[[#This Row],[Salary]]&lt;=65000,"Medium","High"))</f>
        <v>High</v>
      </c>
      <c r="N995" s="10">
        <f>YEAR(HR_Data5[[#This Row],[Joining Date]])</f>
        <v>2018</v>
      </c>
      <c r="O995" s="10" cm="1">
        <f t="array" ref="O995">_xlfn.SWITCH(HR_Data5[[#This Row],[Performance Score]],
"A",5,
"B",4,
"C",3,
"D",2,
"F",1)</f>
        <v>4</v>
      </c>
      <c r="P995" s="10"/>
    </row>
    <row r="996" spans="1:16" x14ac:dyDescent="0.3">
      <c r="A996" t="s">
        <v>51</v>
      </c>
      <c r="B996">
        <v>30</v>
      </c>
      <c r="C996" s="6">
        <v>50000</v>
      </c>
      <c r="D996" t="s">
        <v>18</v>
      </c>
      <c r="E996" t="s">
        <v>37</v>
      </c>
      <c r="F996" t="s">
        <v>13</v>
      </c>
      <c r="G996" s="7">
        <v>43195</v>
      </c>
      <c r="H996" t="s">
        <v>31</v>
      </c>
      <c r="I996" t="s">
        <v>69</v>
      </c>
      <c r="J996" t="s">
        <v>69</v>
      </c>
      <c r="K996" t="str">
        <f>IF(HR_Data5[[#This Row],[Age]]&lt;30,"Young",IF(HR_Data5[[#This Row],[Age]]&lt;=45,"Mid-Career","Senior"))</f>
        <v>Mid-Career</v>
      </c>
      <c r="L996" s="10">
        <f ca="1">DATEDIF(HR_Data5[[#This Row],[Joining Date]],TODAY(),"Y")</f>
        <v>7</v>
      </c>
      <c r="M996" s="10" t="str">
        <f>IF(HR_Data5[[#This Row],[Salary]]&lt;55000,"Low",IF(HR_Data5[[#This Row],[Salary]]&lt;=65000,"Medium","High"))</f>
        <v>Low</v>
      </c>
      <c r="N996" s="10">
        <f>YEAR(HR_Data5[[#This Row],[Joining Date]])</f>
        <v>2018</v>
      </c>
      <c r="O996" s="10" cm="1">
        <f t="array" ref="O996">_xlfn.SWITCH(HR_Data5[[#This Row],[Performance Score]],
"A",5,
"B",4,
"C",3,
"D",2,
"F",1)</f>
        <v>5</v>
      </c>
      <c r="P996" s="10"/>
    </row>
    <row r="997" spans="1:16" x14ac:dyDescent="0.3">
      <c r="A997" t="s">
        <v>55</v>
      </c>
      <c r="B997">
        <v>50</v>
      </c>
      <c r="C997" s="6">
        <v>65000</v>
      </c>
      <c r="D997" t="s">
        <v>18</v>
      </c>
      <c r="E997" t="s">
        <v>12</v>
      </c>
      <c r="F997" t="s">
        <v>13</v>
      </c>
      <c r="G997" s="7">
        <v>43881</v>
      </c>
      <c r="H997" t="s">
        <v>21</v>
      </c>
      <c r="I997" t="s">
        <v>69</v>
      </c>
      <c r="J997" t="s">
        <v>28</v>
      </c>
      <c r="K997" t="str">
        <f>IF(HR_Data5[[#This Row],[Age]]&lt;30,"Young",IF(HR_Data5[[#This Row],[Age]]&lt;=45,"Mid-Career","Senior"))</f>
        <v>Senior</v>
      </c>
      <c r="L997" s="10">
        <f ca="1">DATEDIF(HR_Data5[[#This Row],[Joining Date]],TODAY(),"Y")</f>
        <v>6</v>
      </c>
      <c r="M997" s="10" t="str">
        <f>IF(HR_Data5[[#This Row],[Salary]]&lt;55000,"Low",IF(HR_Data5[[#This Row],[Salary]]&lt;=65000,"Medium","High"))</f>
        <v>Medium</v>
      </c>
      <c r="N997" s="10">
        <f>YEAR(HR_Data5[[#This Row],[Joining Date]])</f>
        <v>2020</v>
      </c>
      <c r="O997" s="10" cm="1">
        <f t="array" ref="O997">_xlfn.SWITCH(HR_Data5[[#This Row],[Performance Score]],
"A",5,
"B",4,
"C",3,
"D",2,
"F",1)</f>
        <v>1</v>
      </c>
      <c r="P997" s="10"/>
    </row>
    <row r="998" spans="1:16" x14ac:dyDescent="0.3">
      <c r="A998" t="s">
        <v>55</v>
      </c>
      <c r="B998">
        <v>30</v>
      </c>
      <c r="C998" s="6">
        <v>50000</v>
      </c>
      <c r="D998" t="s">
        <v>11</v>
      </c>
      <c r="E998" t="s">
        <v>19</v>
      </c>
      <c r="F998" t="s">
        <v>44</v>
      </c>
      <c r="G998" s="7">
        <v>43195</v>
      </c>
      <c r="H998" t="s">
        <v>27</v>
      </c>
      <c r="I998" t="s">
        <v>69</v>
      </c>
      <c r="J998" t="s">
        <v>45</v>
      </c>
      <c r="K998" t="str">
        <f>IF(HR_Data5[[#This Row],[Age]]&lt;30,"Young",IF(HR_Data5[[#This Row],[Age]]&lt;=45,"Mid-Career","Senior"))</f>
        <v>Mid-Career</v>
      </c>
      <c r="L998" s="10">
        <f ca="1">DATEDIF(HR_Data5[[#This Row],[Joining Date]],TODAY(),"Y")</f>
        <v>7</v>
      </c>
      <c r="M998" s="10" t="str">
        <f>IF(HR_Data5[[#This Row],[Salary]]&lt;55000,"Low",IF(HR_Data5[[#This Row],[Salary]]&lt;=65000,"Medium","High"))</f>
        <v>Low</v>
      </c>
      <c r="N998" s="10">
        <f>YEAR(HR_Data5[[#This Row],[Joining Date]])</f>
        <v>2018</v>
      </c>
      <c r="O998" s="10" cm="1">
        <f t="array" ref="O998">_xlfn.SWITCH(HR_Data5[[#This Row],[Performance Score]],
"A",5,
"B",4,
"C",3,
"D",2,
"F",1)</f>
        <v>3</v>
      </c>
      <c r="P998" s="10"/>
    </row>
    <row r="999" spans="1:16" x14ac:dyDescent="0.3">
      <c r="A999" t="s">
        <v>53</v>
      </c>
      <c r="B999">
        <v>30</v>
      </c>
      <c r="C999" s="6">
        <v>70000</v>
      </c>
      <c r="D999" t="s">
        <v>11</v>
      </c>
      <c r="E999" t="s">
        <v>30</v>
      </c>
      <c r="F999" t="s">
        <v>43</v>
      </c>
      <c r="G999" s="7">
        <v>43845</v>
      </c>
      <c r="H999" t="s">
        <v>14</v>
      </c>
      <c r="I999" t="s">
        <v>22</v>
      </c>
      <c r="J999" t="s">
        <v>69</v>
      </c>
      <c r="K999" t="str">
        <f>IF(HR_Data5[[#This Row],[Age]]&lt;30,"Young",IF(HR_Data5[[#This Row],[Age]]&lt;=45,"Mid-Career","Senior"))</f>
        <v>Mid-Career</v>
      </c>
      <c r="L999" s="10">
        <f ca="1">DATEDIF(HR_Data5[[#This Row],[Joining Date]],TODAY(),"Y")</f>
        <v>6</v>
      </c>
      <c r="M999" s="10" t="str">
        <f>IF(HR_Data5[[#This Row],[Salary]]&lt;55000,"Low",IF(HR_Data5[[#This Row],[Salary]]&lt;=65000,"Medium","High"))</f>
        <v>High</v>
      </c>
      <c r="N999" s="10">
        <f>YEAR(HR_Data5[[#This Row],[Joining Date]])</f>
        <v>2020</v>
      </c>
      <c r="O999" s="10" cm="1">
        <f t="array" ref="O999">_xlfn.SWITCH(HR_Data5[[#This Row],[Performance Score]],
"A",5,
"B",4,
"C",3,
"D",2,
"F",1)</f>
        <v>2</v>
      </c>
      <c r="P999" s="10"/>
    </row>
    <row r="1000" spans="1:16" x14ac:dyDescent="0.3">
      <c r="A1000" t="s">
        <v>58</v>
      </c>
      <c r="B1000">
        <v>25</v>
      </c>
      <c r="C1000" s="6">
        <v>65000</v>
      </c>
      <c r="D1000" t="s">
        <v>36</v>
      </c>
      <c r="E1000" t="s">
        <v>37</v>
      </c>
      <c r="F1000" t="s">
        <v>13</v>
      </c>
      <c r="G1000" s="7">
        <v>43195</v>
      </c>
      <c r="H1000" t="s">
        <v>14</v>
      </c>
      <c r="I1000" t="s">
        <v>15</v>
      </c>
      <c r="J1000" t="s">
        <v>69</v>
      </c>
      <c r="K1000" t="str">
        <f>IF(HR_Data5[[#This Row],[Age]]&lt;30,"Young",IF(HR_Data5[[#This Row],[Age]]&lt;=45,"Mid-Career","Senior"))</f>
        <v>Young</v>
      </c>
      <c r="L1000" s="10">
        <f ca="1">DATEDIF(HR_Data5[[#This Row],[Joining Date]],TODAY(),"Y")</f>
        <v>7</v>
      </c>
      <c r="M1000" s="10" t="str">
        <f>IF(HR_Data5[[#This Row],[Salary]]&lt;55000,"Low",IF(HR_Data5[[#This Row],[Salary]]&lt;=65000,"Medium","High"))</f>
        <v>Medium</v>
      </c>
      <c r="N1000" s="10">
        <f>YEAR(HR_Data5[[#This Row],[Joining Date]])</f>
        <v>2018</v>
      </c>
      <c r="O1000" s="10" cm="1">
        <f t="array" ref="O1000">_xlfn.SWITCH(HR_Data5[[#This Row],[Performance Score]],
"A",5,
"B",4,
"C",3,
"D",2,
"F",1)</f>
        <v>2</v>
      </c>
      <c r="P1000" s="10"/>
    </row>
    <row r="1001" spans="1:16" x14ac:dyDescent="0.3">
      <c r="A1001" t="s">
        <v>60</v>
      </c>
      <c r="B1001">
        <v>30</v>
      </c>
      <c r="C1001" s="6">
        <v>60000</v>
      </c>
      <c r="D1001" t="s">
        <v>11</v>
      </c>
      <c r="E1001" t="s">
        <v>19</v>
      </c>
      <c r="F1001" t="s">
        <v>13</v>
      </c>
      <c r="G1001" s="7">
        <v>43881</v>
      </c>
      <c r="H1001" t="s">
        <v>27</v>
      </c>
      <c r="I1001" t="s">
        <v>22</v>
      </c>
      <c r="J1001" t="s">
        <v>23</v>
      </c>
      <c r="K1001" t="str">
        <f>IF(HR_Data5[[#This Row],[Age]]&lt;30,"Young",IF(HR_Data5[[#This Row],[Age]]&lt;=45,"Mid-Career","Senior"))</f>
        <v>Mid-Career</v>
      </c>
      <c r="L1001" s="10">
        <f ca="1">DATEDIF(HR_Data5[[#This Row],[Joining Date]],TODAY(),"Y")</f>
        <v>6</v>
      </c>
      <c r="M1001" s="10" t="str">
        <f>IF(HR_Data5[[#This Row],[Salary]]&lt;55000,"Low",IF(HR_Data5[[#This Row],[Salary]]&lt;=65000,"Medium","High"))</f>
        <v>Medium</v>
      </c>
      <c r="N1001" s="10">
        <f>YEAR(HR_Data5[[#This Row],[Joining Date]])</f>
        <v>2020</v>
      </c>
      <c r="O1001" s="10" cm="1">
        <f t="array" ref="O1001">_xlfn.SWITCH(HR_Data5[[#This Row],[Performance Score]],
"A",5,
"B",4,
"C",3,
"D",2,
"F",1)</f>
        <v>3</v>
      </c>
      <c r="P1001" s="10"/>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C00000"/>
  </sheetPr>
  <dimension ref="A5:B14"/>
  <sheetViews>
    <sheetView workbookViewId="0">
      <selection activeCell="B6" sqref="B6"/>
    </sheetView>
  </sheetViews>
  <sheetFormatPr defaultRowHeight="14.4" x14ac:dyDescent="0.3"/>
  <cols>
    <col min="1" max="1" width="18.77734375" customWidth="1"/>
    <col min="2" max="2" width="12.6640625" customWidth="1"/>
  </cols>
  <sheetData>
    <row r="5" spans="1:2" x14ac:dyDescent="0.3">
      <c r="A5" s="16" t="s">
        <v>75</v>
      </c>
      <c r="B5" s="16" t="s">
        <v>76</v>
      </c>
    </row>
    <row r="6" spans="1:2" x14ac:dyDescent="0.3">
      <c r="A6" s="17" t="s">
        <v>77</v>
      </c>
      <c r="B6" s="18" t="s">
        <v>54</v>
      </c>
    </row>
    <row r="9" spans="1:2" x14ac:dyDescent="0.3">
      <c r="A9" s="11" t="s">
        <v>78</v>
      </c>
      <c r="B9" s="11" t="s">
        <v>76</v>
      </c>
    </row>
    <row r="10" spans="1:2" x14ac:dyDescent="0.3">
      <c r="A10" s="12" t="s">
        <v>1</v>
      </c>
      <c r="B10" s="13">
        <f>_xlfn.XLOOKUP(B6,HR_Data5[Name],HR_Data5[Age])</f>
        <v>36</v>
      </c>
    </row>
    <row r="11" spans="1:2" x14ac:dyDescent="0.3">
      <c r="A11" s="12" t="s">
        <v>79</v>
      </c>
      <c r="B11" s="13" t="str">
        <f>VLOOKUP(B6,HR_Data5[],5,0)</f>
        <v>IT</v>
      </c>
    </row>
    <row r="12" spans="1:2" x14ac:dyDescent="0.3">
      <c r="A12" s="12" t="s">
        <v>2</v>
      </c>
      <c r="B12" s="13">
        <f>INDEX(Data_Transformations!C:C,MATCH(Lookup_Functions!B6,HR_Data5[Name],0))</f>
        <v>60000</v>
      </c>
    </row>
    <row r="13" spans="1:2" x14ac:dyDescent="0.3">
      <c r="A13" s="12" t="s">
        <v>5</v>
      </c>
      <c r="B13" s="13" t="str">
        <f>_xlfn.XLOOKUP(Lookup_Functions!B6,HR_Data5[Name],HR_Data5[Position])</f>
        <v>Manager</v>
      </c>
    </row>
    <row r="14" spans="1:2" x14ac:dyDescent="0.3">
      <c r="A14" s="14" t="s">
        <v>7</v>
      </c>
      <c r="B14" s="15" t="str">
        <f>INDEX(HR_Data5[Performance Score],MATCH(Lookup_Functions!B6,HR_Data5[Name],0))</f>
        <v>A</v>
      </c>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Data_Transformations!$A$2:$A$1001</xm:f>
          </x14:formula1>
          <xm:sqref>B6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00B050"/>
  </sheetPr>
  <dimension ref="A2:G34"/>
  <sheetViews>
    <sheetView showGridLines="0" workbookViewId="0">
      <selection activeCell="F4" sqref="F4"/>
    </sheetView>
  </sheetViews>
  <sheetFormatPr defaultRowHeight="14.4" x14ac:dyDescent="0.3"/>
  <cols>
    <col min="1" max="1" width="15.77734375" bestFit="1" customWidth="1"/>
    <col min="2" max="2" width="15.5546875" bestFit="1" customWidth="1"/>
    <col min="3" max="4" width="7.5546875" bestFit="1" customWidth="1"/>
    <col min="5" max="5" width="10.77734375" bestFit="1" customWidth="1"/>
    <col min="6" max="6" width="19.44140625" bestFit="1" customWidth="1"/>
    <col min="7" max="8" width="10.77734375" bestFit="1" customWidth="1"/>
  </cols>
  <sheetData>
    <row r="2" spans="1:7" x14ac:dyDescent="0.3">
      <c r="A2" s="19" t="s">
        <v>83</v>
      </c>
      <c r="B2" s="19" t="s">
        <v>84</v>
      </c>
    </row>
    <row r="3" spans="1:7" x14ac:dyDescent="0.3">
      <c r="A3" s="19" t="s">
        <v>79</v>
      </c>
      <c r="B3" t="s">
        <v>18</v>
      </c>
      <c r="C3" t="s">
        <v>11</v>
      </c>
      <c r="D3" t="s">
        <v>36</v>
      </c>
      <c r="E3" t="s">
        <v>81</v>
      </c>
    </row>
    <row r="4" spans="1:7" x14ac:dyDescent="0.3">
      <c r="A4" s="20" t="s">
        <v>12</v>
      </c>
      <c r="B4" s="6">
        <v>61698.113207547169</v>
      </c>
      <c r="C4" s="6">
        <v>59469.696969696968</v>
      </c>
      <c r="D4" s="6">
        <v>59814.814814814818</v>
      </c>
      <c r="E4" s="6">
        <v>60260.115606936415</v>
      </c>
    </row>
    <row r="5" spans="1:7" x14ac:dyDescent="0.3">
      <c r="A5" s="20" t="s">
        <v>30</v>
      </c>
      <c r="B5" s="6">
        <v>60918.367346938772</v>
      </c>
      <c r="C5" s="6">
        <v>59140.625</v>
      </c>
      <c r="D5" s="6">
        <v>59411.76470588235</v>
      </c>
      <c r="E5" s="6">
        <v>59756.097560975613</v>
      </c>
    </row>
    <row r="6" spans="1:7" x14ac:dyDescent="0.3">
      <c r="A6" s="20" t="s">
        <v>37</v>
      </c>
      <c r="B6" s="6">
        <v>59811.32075471698</v>
      </c>
      <c r="C6" s="6">
        <v>59134.615384615383</v>
      </c>
      <c r="D6" s="6">
        <v>61382.978723404252</v>
      </c>
      <c r="E6" s="6">
        <v>60065.789473684214</v>
      </c>
    </row>
    <row r="7" spans="1:7" x14ac:dyDescent="0.3">
      <c r="A7" s="20" t="s">
        <v>26</v>
      </c>
      <c r="B7" s="6">
        <v>60701.754385964916</v>
      </c>
      <c r="C7" s="6">
        <v>62363.63636363636</v>
      </c>
      <c r="D7" s="6">
        <v>60000</v>
      </c>
      <c r="E7" s="6">
        <v>61011.904761904763</v>
      </c>
    </row>
    <row r="8" spans="1:7" x14ac:dyDescent="0.3">
      <c r="A8" s="20" t="s">
        <v>81</v>
      </c>
      <c r="B8" s="6">
        <v>60778.301886792455</v>
      </c>
      <c r="C8" s="6">
        <v>59978.902953586497</v>
      </c>
      <c r="D8" s="6">
        <v>60120.192307692305</v>
      </c>
      <c r="E8" s="6">
        <v>60281.582952815828</v>
      </c>
    </row>
    <row r="11" spans="1:7" x14ac:dyDescent="0.3">
      <c r="A11" s="19" t="s">
        <v>82</v>
      </c>
      <c r="B11" s="19" t="s">
        <v>7</v>
      </c>
    </row>
    <row r="12" spans="1:7" x14ac:dyDescent="0.3">
      <c r="A12" s="19" t="s">
        <v>1</v>
      </c>
      <c r="B12" t="s">
        <v>31</v>
      </c>
      <c r="C12" t="s">
        <v>41</v>
      </c>
      <c r="D12" t="s">
        <v>27</v>
      </c>
      <c r="E12" t="s">
        <v>14</v>
      </c>
      <c r="F12" t="s">
        <v>21</v>
      </c>
      <c r="G12" t="s">
        <v>81</v>
      </c>
    </row>
    <row r="13" spans="1:7" x14ac:dyDescent="0.3">
      <c r="A13">
        <v>25</v>
      </c>
      <c r="B13" s="10">
        <v>29</v>
      </c>
      <c r="C13" s="10">
        <v>42</v>
      </c>
      <c r="D13" s="10">
        <v>27</v>
      </c>
      <c r="E13" s="10">
        <v>35</v>
      </c>
      <c r="F13" s="10">
        <v>38</v>
      </c>
      <c r="G13" s="10">
        <v>171</v>
      </c>
    </row>
    <row r="14" spans="1:7" x14ac:dyDescent="0.3">
      <c r="A14">
        <v>30</v>
      </c>
      <c r="B14" s="10">
        <v>34</v>
      </c>
      <c r="C14" s="10">
        <v>44</v>
      </c>
      <c r="D14" s="10">
        <v>34</v>
      </c>
      <c r="E14" s="10">
        <v>33</v>
      </c>
      <c r="F14" s="10">
        <v>31</v>
      </c>
      <c r="G14" s="10">
        <v>176</v>
      </c>
    </row>
    <row r="15" spans="1:7" x14ac:dyDescent="0.3">
      <c r="A15">
        <v>35</v>
      </c>
      <c r="B15" s="10">
        <v>27</v>
      </c>
      <c r="C15" s="10">
        <v>32</v>
      </c>
      <c r="D15" s="10">
        <v>25</v>
      </c>
      <c r="E15" s="10">
        <v>38</v>
      </c>
      <c r="F15" s="10">
        <v>41</v>
      </c>
      <c r="G15" s="10">
        <v>163</v>
      </c>
    </row>
    <row r="16" spans="1:7" x14ac:dyDescent="0.3">
      <c r="A16">
        <v>36</v>
      </c>
      <c r="B16" s="10">
        <v>31</v>
      </c>
      <c r="C16" s="10">
        <v>26</v>
      </c>
      <c r="D16" s="10">
        <v>32</v>
      </c>
      <c r="E16" s="10">
        <v>38</v>
      </c>
      <c r="F16" s="10">
        <v>32</v>
      </c>
      <c r="G16" s="10">
        <v>159</v>
      </c>
    </row>
    <row r="17" spans="1:7" x14ac:dyDescent="0.3">
      <c r="A17">
        <v>40</v>
      </c>
      <c r="B17" s="10">
        <v>37</v>
      </c>
      <c r="C17" s="10">
        <v>37</v>
      </c>
      <c r="D17" s="10">
        <v>46</v>
      </c>
      <c r="E17" s="10">
        <v>24</v>
      </c>
      <c r="F17" s="10">
        <v>26</v>
      </c>
      <c r="G17" s="10">
        <v>170</v>
      </c>
    </row>
    <row r="18" spans="1:7" x14ac:dyDescent="0.3">
      <c r="A18">
        <v>50</v>
      </c>
      <c r="B18" s="10">
        <v>34</v>
      </c>
      <c r="C18" s="10">
        <v>44</v>
      </c>
      <c r="D18" s="10">
        <v>28</v>
      </c>
      <c r="E18" s="10">
        <v>22</v>
      </c>
      <c r="F18" s="10">
        <v>33</v>
      </c>
      <c r="G18" s="10">
        <v>161</v>
      </c>
    </row>
    <row r="19" spans="1:7" x14ac:dyDescent="0.3">
      <c r="A19" t="s">
        <v>81</v>
      </c>
      <c r="B19" s="10">
        <v>192</v>
      </c>
      <c r="C19" s="10">
        <v>225</v>
      </c>
      <c r="D19" s="10">
        <v>192</v>
      </c>
      <c r="E19" s="10">
        <v>190</v>
      </c>
      <c r="F19" s="10">
        <v>201</v>
      </c>
      <c r="G19" s="10">
        <v>1000</v>
      </c>
    </row>
    <row r="23" spans="1:7" x14ac:dyDescent="0.3">
      <c r="A23" s="19" t="s">
        <v>80</v>
      </c>
    </row>
    <row r="24" spans="1:7" x14ac:dyDescent="0.3">
      <c r="A24" s="20">
        <v>2018</v>
      </c>
      <c r="B24" s="10"/>
    </row>
    <row r="25" spans="1:7" x14ac:dyDescent="0.3">
      <c r="A25" s="21" t="s">
        <v>82</v>
      </c>
      <c r="B25" s="10">
        <v>186</v>
      </c>
    </row>
    <row r="26" spans="1:7" x14ac:dyDescent="0.3">
      <c r="A26" s="21" t="s">
        <v>83</v>
      </c>
      <c r="B26" s="6">
        <v>59233.128834355826</v>
      </c>
    </row>
    <row r="27" spans="1:7" x14ac:dyDescent="0.3">
      <c r="A27" s="20">
        <v>2019</v>
      </c>
      <c r="B27" s="10"/>
    </row>
    <row r="28" spans="1:7" x14ac:dyDescent="0.3">
      <c r="A28" s="21" t="s">
        <v>82</v>
      </c>
      <c r="B28" s="10">
        <v>385</v>
      </c>
    </row>
    <row r="29" spans="1:7" x14ac:dyDescent="0.3">
      <c r="A29" s="21" t="s">
        <v>83</v>
      </c>
      <c r="B29" s="6">
        <v>60787.781350482313</v>
      </c>
    </row>
    <row r="30" spans="1:7" x14ac:dyDescent="0.3">
      <c r="A30" s="20">
        <v>2020</v>
      </c>
      <c r="B30" s="10"/>
    </row>
    <row r="31" spans="1:7" x14ac:dyDescent="0.3">
      <c r="A31" s="21" t="s">
        <v>82</v>
      </c>
      <c r="B31" s="10">
        <v>429</v>
      </c>
    </row>
    <row r="32" spans="1:7" x14ac:dyDescent="0.3">
      <c r="A32" s="21" t="s">
        <v>83</v>
      </c>
      <c r="B32" s="6">
        <v>60167.130919220057</v>
      </c>
    </row>
    <row r="33" spans="1:2" x14ac:dyDescent="0.3">
      <c r="A33" s="20" t="s">
        <v>85</v>
      </c>
      <c r="B33" s="10">
        <v>1000</v>
      </c>
    </row>
    <row r="34" spans="1:2" x14ac:dyDescent="0.3">
      <c r="A34" s="20" t="s">
        <v>86</v>
      </c>
      <c r="B34" s="6">
        <v>60216.08643457383</v>
      </c>
    </row>
  </sheetData>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B2:AA27"/>
  <sheetViews>
    <sheetView showGridLines="0" showRowColHeaders="0" topLeftCell="A26" workbookViewId="0">
      <selection activeCell="I27" sqref="I27"/>
    </sheetView>
  </sheetViews>
  <sheetFormatPr defaultRowHeight="14.4" x14ac:dyDescent="0.3"/>
  <cols>
    <col min="1" max="1" width="1.6640625" customWidth="1"/>
    <col min="2" max="5" width="10.33203125" customWidth="1"/>
    <col min="6" max="6" width="2.33203125" customWidth="1"/>
    <col min="7" max="10" width="10.33203125" customWidth="1"/>
    <col min="11" max="11" width="2" customWidth="1"/>
    <col min="12" max="15" width="10.33203125" customWidth="1"/>
    <col min="16" max="16" width="2.88671875" customWidth="1"/>
    <col min="17" max="20" width="10.33203125" customWidth="1"/>
    <col min="21" max="21" width="9.5546875" customWidth="1"/>
    <col min="22" max="22" width="8.88671875" hidden="1" customWidth="1"/>
    <col min="23" max="23" width="13" customWidth="1"/>
    <col min="24" max="24" width="12.5546875" hidden="1" customWidth="1"/>
    <col min="25" max="25" width="13.88671875" hidden="1" customWidth="1"/>
    <col min="26" max="26" width="0" hidden="1" customWidth="1"/>
    <col min="27" max="27" width="15.77734375" hidden="1" customWidth="1"/>
  </cols>
  <sheetData>
    <row r="2" spans="2:27" x14ac:dyDescent="0.3">
      <c r="X2" t="s">
        <v>87</v>
      </c>
      <c r="Y2">
        <f>GETPIVOTDATA("Name",$AA$2)</f>
        <v>1000</v>
      </c>
      <c r="AA2" t="s">
        <v>82</v>
      </c>
    </row>
    <row r="3" spans="2:27" ht="14.4" customHeight="1" x14ac:dyDescent="0.3">
      <c r="X3" t="s">
        <v>88</v>
      </c>
      <c r="Y3" s="6">
        <f>GETPIVOTDATA("Salary",$AA$7)</f>
        <v>60216.08643457383</v>
      </c>
      <c r="AA3" s="10">
        <v>1000</v>
      </c>
    </row>
    <row r="4" spans="2:27" ht="9" hidden="1" customHeight="1" x14ac:dyDescent="0.3">
      <c r="X4" t="s">
        <v>89</v>
      </c>
      <c r="Y4" s="22">
        <f>AVERAGE(HR_Data5[Age])</f>
        <v>35.834000000000003</v>
      </c>
    </row>
    <row r="5" spans="2:27" x14ac:dyDescent="0.3">
      <c r="X5" t="s">
        <v>93</v>
      </c>
      <c r="Y5" s="22">
        <f>AA15</f>
        <v>35.834000000000003</v>
      </c>
    </row>
    <row r="6" spans="2:27" x14ac:dyDescent="0.3">
      <c r="X6" t="s">
        <v>91</v>
      </c>
      <c r="Y6" s="23">
        <f>AVERAGE(HR_Data5[Performance_Score_Num])</f>
        <v>3.0169999999999999</v>
      </c>
    </row>
    <row r="7" spans="2:27" x14ac:dyDescent="0.3">
      <c r="AA7" t="s">
        <v>83</v>
      </c>
    </row>
    <row r="8" spans="2:27" x14ac:dyDescent="0.3">
      <c r="AA8" s="5">
        <v>60216.08643457383</v>
      </c>
    </row>
    <row r="10" spans="2:27" ht="9.6" customHeight="1" x14ac:dyDescent="0.3"/>
    <row r="11" spans="2:27" ht="1.8" customHeight="1" x14ac:dyDescent="0.3">
      <c r="B11" s="9"/>
      <c r="C11" s="9"/>
      <c r="D11" s="9"/>
      <c r="E11" s="9"/>
      <c r="F11" s="9"/>
      <c r="G11" s="9"/>
      <c r="H11" s="9"/>
      <c r="I11" s="9"/>
      <c r="J11" s="9"/>
      <c r="K11" s="9"/>
      <c r="L11" s="9"/>
      <c r="M11" s="9"/>
      <c r="N11" s="9"/>
      <c r="O11" s="9"/>
      <c r="P11" s="9"/>
      <c r="Q11" s="9"/>
      <c r="R11" s="9"/>
      <c r="S11" s="9"/>
      <c r="T11" s="9"/>
    </row>
    <row r="14" spans="2:27" x14ac:dyDescent="0.3">
      <c r="X14" s="19" t="s">
        <v>80</v>
      </c>
      <c r="Y14" t="s">
        <v>82</v>
      </c>
      <c r="AA14" t="s">
        <v>92</v>
      </c>
    </row>
    <row r="15" spans="2:27" x14ac:dyDescent="0.3">
      <c r="X15" s="20" t="s">
        <v>19</v>
      </c>
      <c r="Y15" s="10">
        <v>218</v>
      </c>
      <c r="AA15" s="22">
        <v>35.834000000000003</v>
      </c>
    </row>
    <row r="16" spans="2:27" x14ac:dyDescent="0.3">
      <c r="X16" s="20" t="s">
        <v>12</v>
      </c>
      <c r="Y16" s="10">
        <v>201</v>
      </c>
    </row>
    <row r="17" spans="24:25" x14ac:dyDescent="0.3">
      <c r="X17" s="20" t="s">
        <v>30</v>
      </c>
      <c r="Y17" s="10">
        <v>193</v>
      </c>
    </row>
    <row r="18" spans="24:25" x14ac:dyDescent="0.3">
      <c r="X18" s="20" t="s">
        <v>37</v>
      </c>
      <c r="Y18" s="10">
        <v>186</v>
      </c>
    </row>
    <row r="19" spans="24:25" x14ac:dyDescent="0.3">
      <c r="X19" s="20" t="s">
        <v>26</v>
      </c>
      <c r="Y19" s="10">
        <v>202</v>
      </c>
    </row>
    <row r="20" spans="24:25" x14ac:dyDescent="0.3">
      <c r="X20" s="20" t="s">
        <v>81</v>
      </c>
      <c r="Y20" s="10">
        <v>1000</v>
      </c>
    </row>
    <row r="23" spans="24:25" x14ac:dyDescent="0.3">
      <c r="X23" s="19" t="s">
        <v>80</v>
      </c>
      <c r="Y23" t="s">
        <v>82</v>
      </c>
    </row>
    <row r="24" spans="24:25" x14ac:dyDescent="0.3">
      <c r="X24" s="20">
        <v>2018</v>
      </c>
      <c r="Y24" s="10">
        <v>186</v>
      </c>
    </row>
    <row r="25" spans="24:25" x14ac:dyDescent="0.3">
      <c r="X25" s="20">
        <v>2019</v>
      </c>
      <c r="Y25" s="10">
        <v>385</v>
      </c>
    </row>
    <row r="26" spans="24:25" x14ac:dyDescent="0.3">
      <c r="X26" s="20">
        <v>2020</v>
      </c>
      <c r="Y26" s="10">
        <v>429</v>
      </c>
    </row>
    <row r="27" spans="24:25" x14ac:dyDescent="0.3">
      <c r="X27" s="20" t="s">
        <v>81</v>
      </c>
      <c r="Y27" s="10">
        <v>1000</v>
      </c>
    </row>
  </sheetData>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3661" r:id="rId9" name="Button 109">
              <controlPr defaultSize="0" print="0" autoFill="0" autoPict="0" macro="[0]!refresh_dashboard">
                <anchor moveWithCells="1">
                  <from>
                    <xdr:col>18</xdr:col>
                    <xdr:colOff>68580</xdr:colOff>
                    <xdr:row>0</xdr:row>
                    <xdr:rowOff>121920</xdr:rowOff>
                  </from>
                  <to>
                    <xdr:col>19</xdr:col>
                    <xdr:colOff>601980</xdr:colOff>
                    <xdr:row>2</xdr:row>
                    <xdr:rowOff>106680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92D050"/>
  </sheetPr>
  <dimension ref="B4:M25"/>
  <sheetViews>
    <sheetView topLeftCell="A16" workbookViewId="0">
      <selection activeCell="I35" sqref="I35"/>
    </sheetView>
  </sheetViews>
  <sheetFormatPr defaultRowHeight="14.4" x14ac:dyDescent="0.3"/>
  <cols>
    <col min="2" max="2" width="24.44140625" customWidth="1"/>
    <col min="3" max="3" width="25" customWidth="1"/>
    <col min="4" max="4" width="21.6640625" customWidth="1"/>
    <col min="6" max="6" width="6.77734375" customWidth="1"/>
  </cols>
  <sheetData>
    <row r="4" spans="2:4" ht="1.2" customHeight="1" x14ac:dyDescent="0.3"/>
    <row r="6" spans="2:4" x14ac:dyDescent="0.3">
      <c r="B6" s="24"/>
      <c r="C6" s="25"/>
      <c r="D6" s="26"/>
    </row>
    <row r="7" spans="2:4" x14ac:dyDescent="0.3">
      <c r="B7" s="27"/>
      <c r="C7" s="28"/>
      <c r="D7" s="35"/>
    </row>
    <row r="8" spans="2:4" ht="21" x14ac:dyDescent="0.4">
      <c r="B8" s="34" t="s">
        <v>94</v>
      </c>
      <c r="C8" s="31"/>
      <c r="D8" s="36">
        <v>0.25</v>
      </c>
    </row>
    <row r="11" spans="2:4" ht="9.6" customHeight="1" x14ac:dyDescent="0.3"/>
    <row r="12" spans="2:4" x14ac:dyDescent="0.3">
      <c r="B12" t="s">
        <v>95</v>
      </c>
      <c r="C12" t="s">
        <v>2</v>
      </c>
      <c r="D12" t="s">
        <v>96</v>
      </c>
    </row>
    <row r="13" spans="2:4" x14ac:dyDescent="0.3">
      <c r="B13" t="s">
        <v>97</v>
      </c>
      <c r="C13" s="37">
        <v>50000</v>
      </c>
      <c r="D13" s="37">
        <f>Table5[[#This Row],[Salary]]*$D$8+Table5[[#This Row],[Salary]]</f>
        <v>62500</v>
      </c>
    </row>
    <row r="14" spans="2:4" x14ac:dyDescent="0.3">
      <c r="B14" t="s">
        <v>98</v>
      </c>
      <c r="C14" s="37">
        <v>60000</v>
      </c>
      <c r="D14" s="37">
        <f>Table5[[#This Row],[Salary]]*$D$8+Table5[[#This Row],[Salary]]</f>
        <v>75000</v>
      </c>
    </row>
    <row r="15" spans="2:4" x14ac:dyDescent="0.3">
      <c r="B15" t="s">
        <v>99</v>
      </c>
      <c r="C15" s="37">
        <v>60000</v>
      </c>
      <c r="D15" s="37">
        <f>Table5[[#This Row],[Salary]]*$D$8+Table5[[#This Row],[Salary]]</f>
        <v>75000</v>
      </c>
    </row>
    <row r="16" spans="2:4" x14ac:dyDescent="0.3">
      <c r="B16" t="s">
        <v>100</v>
      </c>
      <c r="C16" s="37">
        <v>50000</v>
      </c>
      <c r="D16" s="37">
        <f>Table5[[#This Row],[Salary]]*$D$8+Table5[[#This Row],[Salary]]</f>
        <v>62500</v>
      </c>
    </row>
    <row r="17" spans="2:13" x14ac:dyDescent="0.3">
      <c r="B17" t="s">
        <v>101</v>
      </c>
      <c r="C17" s="37">
        <v>60000</v>
      </c>
      <c r="D17" s="37">
        <f>Table5[[#This Row],[Salary]]*$D$8+Table5[[#This Row],[Salary]]</f>
        <v>75000</v>
      </c>
    </row>
    <row r="18" spans="2:13" ht="17.399999999999999" customHeight="1" x14ac:dyDescent="0.3"/>
    <row r="20" spans="2:13" ht="14.4" customHeight="1" x14ac:dyDescent="0.3">
      <c r="F20" s="40" t="s">
        <v>104</v>
      </c>
      <c r="G20" s="25"/>
      <c r="H20" s="41">
        <v>0.05</v>
      </c>
      <c r="I20" s="25"/>
      <c r="J20" s="25"/>
      <c r="K20" s="25"/>
      <c r="L20" s="25"/>
      <c r="M20" s="26"/>
    </row>
    <row r="21" spans="2:13" x14ac:dyDescent="0.3">
      <c r="B21" s="24" t="s">
        <v>102</v>
      </c>
      <c r="C21" s="25"/>
      <c r="D21" s="38">
        <f>AVERAGE(Table5[Salary])</f>
        <v>56000</v>
      </c>
      <c r="F21" s="42" t="s">
        <v>105</v>
      </c>
      <c r="G21" s="28"/>
      <c r="H21" s="43">
        <v>0.1</v>
      </c>
      <c r="I21" s="28"/>
      <c r="J21" s="28"/>
      <c r="K21" s="28"/>
      <c r="L21" s="28"/>
      <c r="M21" s="29"/>
    </row>
    <row r="22" spans="2:13" x14ac:dyDescent="0.3">
      <c r="B22" s="30" t="s">
        <v>103</v>
      </c>
      <c r="C22" s="31"/>
      <c r="D22" s="39">
        <f>AVERAGE(Table5[New Salary])</f>
        <v>70000</v>
      </c>
      <c r="F22" s="42" t="s">
        <v>106</v>
      </c>
      <c r="G22" s="28"/>
      <c r="H22" s="43">
        <v>0.2</v>
      </c>
      <c r="I22" s="28"/>
      <c r="J22" s="28"/>
      <c r="K22" s="28"/>
      <c r="L22" s="28"/>
      <c r="M22" s="29"/>
    </row>
    <row r="23" spans="2:13" x14ac:dyDescent="0.3">
      <c r="F23" s="27"/>
      <c r="G23" s="28"/>
      <c r="H23" s="28"/>
      <c r="I23" s="28"/>
      <c r="J23" s="28"/>
      <c r="K23" s="28"/>
      <c r="L23" s="28"/>
      <c r="M23" s="29"/>
    </row>
    <row r="24" spans="2:13" x14ac:dyDescent="0.3">
      <c r="F24" s="44"/>
      <c r="G24" s="32"/>
      <c r="H24" s="32"/>
      <c r="I24" s="32"/>
      <c r="J24" s="32"/>
      <c r="K24" s="32"/>
      <c r="L24" s="32"/>
      <c r="M24" s="35"/>
    </row>
    <row r="25" spans="2:13" ht="15.6" x14ac:dyDescent="0.3">
      <c r="F25" s="46" t="s">
        <v>120</v>
      </c>
      <c r="G25" s="33"/>
      <c r="H25" s="33"/>
      <c r="I25" s="33"/>
      <c r="J25" s="33"/>
      <c r="K25" s="33"/>
      <c r="L25" s="33"/>
      <c r="M25" s="45"/>
    </row>
  </sheetData>
  <scenarios current="2" show="2" sqref="D22">
    <scenario name="Increase 5%" locked="1" count="1" user="Dana Bodea" comment="Created by Dana Bodea on 3/18/2026">
      <inputCells r="D8" val="0.05" numFmtId="9"/>
    </scenario>
    <scenario name="Increase 10%" locked="1" count="1" user="Dana Bodea" comment="Created by Dana Bodea on 3/18/2026">
      <inputCells r="D8" val="0.1" numFmtId="9"/>
    </scenario>
    <scenario name="Increase 20%" locked="1" count="1" user="Dana Bodea" comment="Created by Dana Bodea on 3/18/2026">
      <inputCells r="D8" val="0.2" numFmtId="9"/>
    </scenario>
  </scenario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B0F0"/>
    <outlinePr summaryBelow="0"/>
  </sheetPr>
  <dimension ref="B1:G11"/>
  <sheetViews>
    <sheetView showGridLines="0" workbookViewId="0">
      <selection activeCell="J17" sqref="J17"/>
    </sheetView>
  </sheetViews>
  <sheetFormatPr defaultRowHeight="14.4" outlineLevelRow="1" outlineLevelCol="1" x14ac:dyDescent="0.3"/>
  <cols>
    <col min="3" max="3" width="6.21875" bestFit="1" customWidth="1"/>
    <col min="4" max="7" width="13.109375" bestFit="1" customWidth="1" outlineLevel="1"/>
  </cols>
  <sheetData>
    <row r="1" spans="2:7" ht="15" thickBot="1" x14ac:dyDescent="0.35"/>
    <row r="2" spans="2:7" ht="15.6" x14ac:dyDescent="0.3">
      <c r="B2" s="50" t="s">
        <v>112</v>
      </c>
      <c r="C2" s="50"/>
      <c r="D2" s="55"/>
      <c r="E2" s="55"/>
      <c r="F2" s="55"/>
      <c r="G2" s="55"/>
    </row>
    <row r="3" spans="2:7" ht="15.6" collapsed="1" x14ac:dyDescent="0.3">
      <c r="B3" s="49"/>
      <c r="C3" s="49"/>
      <c r="D3" s="56" t="s">
        <v>114</v>
      </c>
      <c r="E3" s="56" t="s">
        <v>108</v>
      </c>
      <c r="F3" s="56" t="s">
        <v>110</v>
      </c>
      <c r="G3" s="56" t="s">
        <v>111</v>
      </c>
    </row>
    <row r="4" spans="2:7" ht="30.6" hidden="1" outlineLevel="1" x14ac:dyDescent="0.3">
      <c r="B4" s="52"/>
      <c r="C4" s="52"/>
      <c r="D4" s="47"/>
      <c r="E4" s="58" t="s">
        <v>109</v>
      </c>
      <c r="F4" s="58" t="s">
        <v>109</v>
      </c>
      <c r="G4" s="58" t="s">
        <v>109</v>
      </c>
    </row>
    <row r="5" spans="2:7" x14ac:dyDescent="0.3">
      <c r="B5" s="53" t="s">
        <v>113</v>
      </c>
      <c r="C5" s="53"/>
      <c r="D5" s="51"/>
      <c r="E5" s="51"/>
      <c r="F5" s="51"/>
      <c r="G5" s="51"/>
    </row>
    <row r="6" spans="2:7" outlineLevel="1" x14ac:dyDescent="0.3">
      <c r="B6" s="52"/>
      <c r="C6" s="52" t="s">
        <v>107</v>
      </c>
      <c r="D6" s="48">
        <v>0.2</v>
      </c>
      <c r="E6" s="57">
        <v>0.05</v>
      </c>
      <c r="F6" s="57">
        <v>0.1</v>
      </c>
      <c r="G6" s="57">
        <v>0.2</v>
      </c>
    </row>
    <row r="7" spans="2:7" x14ac:dyDescent="0.3">
      <c r="B7" s="53" t="s">
        <v>115</v>
      </c>
      <c r="C7" s="53"/>
      <c r="D7" s="51"/>
      <c r="E7" s="51"/>
      <c r="F7" s="51"/>
      <c r="G7" s="51"/>
    </row>
    <row r="8" spans="2:7" ht="15" outlineLevel="1" thickBot="1" x14ac:dyDescent="0.35">
      <c r="B8" s="54"/>
      <c r="C8" s="54" t="s">
        <v>119</v>
      </c>
      <c r="D8" s="59">
        <v>67200</v>
      </c>
      <c r="E8" s="59">
        <v>58800</v>
      </c>
      <c r="F8" s="59">
        <v>61600</v>
      </c>
      <c r="G8" s="59">
        <v>67200</v>
      </c>
    </row>
    <row r="9" spans="2:7" x14ac:dyDescent="0.3">
      <c r="B9" t="s">
        <v>116</v>
      </c>
    </row>
    <row r="10" spans="2:7" x14ac:dyDescent="0.3">
      <c r="B10" t="s">
        <v>117</v>
      </c>
    </row>
    <row r="11" spans="2:7" x14ac:dyDescent="0.3">
      <c r="B11" t="s">
        <v>118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README</vt:lpstr>
      <vt:lpstr>messy_HR_data</vt:lpstr>
      <vt:lpstr>Data_cleaning</vt:lpstr>
      <vt:lpstr>Conversion_Table_age</vt:lpstr>
      <vt:lpstr>Data_Quality_Check</vt:lpstr>
      <vt:lpstr>Data_Transformations</vt:lpstr>
      <vt:lpstr>Lookup_Functions</vt:lpstr>
      <vt:lpstr>Pivot_Analysis</vt:lpstr>
      <vt:lpstr>Dashboard</vt:lpstr>
      <vt:lpstr>What_If_Analysis</vt:lpstr>
      <vt:lpstr>Scenario 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Dana Bodea</dc:creator>
  <cp:lastModifiedBy>Dana Bodea</cp:lastModifiedBy>
  <dcterms:created xsi:type="dcterms:W3CDTF">2026-03-15T17:10:00Z</dcterms:created>
  <dcterms:modified xsi:type="dcterms:W3CDTF">2026-03-18T13:49:02Z</dcterms:modified>
</cp:coreProperties>
</file>